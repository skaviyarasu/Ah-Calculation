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" sheetId="1" r:id="rId1"/>
    <sheet name="Movements" sheetId="2" r:id="rId2"/>
    <sheet name="Sales" sheetId="3" r:id="rId3"/>
    <sheet name="Config" sheetId="4" r:id="rId4"/>
    <sheet name="PnL_Daily" sheetId="5" r:id="rId5"/>
    <sheet name="PnL_Weekly" sheetId="6" r:id="rId6"/>
    <sheet name="PnL_Monthly" sheetId="7" r:id="rId7"/>
    <sheet name="Analytics" sheetId="8" r:id="rId8"/>
    <sheet name="Dashboard" sheetId="9" r:id="rId9"/>
    <sheet name="README" sheetId="10" r:id="rId10"/>
  </sheets>
  <definedNames>
    <definedName name="Cfg_BaselineDate">Config!$B$2</definedName>
    <definedName name="Cfg_BaselineOpeningValue">Config!$B$3</definedName>
    <definedName name="Cfg_CovWarn">Config!$B$5</definedName>
    <definedName name="Cfg_HiMove">Config!$B$4</definedName>
    <definedName name="Cfg_Today">Config!$B$1</definedName>
    <definedName name="Mov_COGSValue">Movements!$H$2:$H$2052</definedName>
    <definedName name="Mov_Date">Movements!$A$2:$A$2052</definedName>
    <definedName name="Mov_Item">Movements!$B$2:$B$2052</definedName>
    <definedName name="Mov_Qty">Movements!$C$2:$C$2052</definedName>
    <definedName name="Mov_Type">Movements!$D$2:$D$2052</definedName>
    <definedName name="Mov_Value">Movements!$G$2:$G$2052</definedName>
    <definedName name="Sales_Amount">Sales!$E$2:$E$2018</definedName>
    <definedName name="Sales_Date">Sales!$A$2:$A$2018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<sst xmlns="http://schemas.openxmlformats.org/spreadsheetml/2006/main" count="307" uniqueCount="156">
  <si>
    <t>ItemID</t>
  </si>
  <si>
    <t>ItemName</t>
  </si>
  <si>
    <t>Category</t>
  </si>
  <si>
    <t>Unit</t>
  </si>
  <si>
    <t>Cost_No_Tax</t>
  </si>
  <si>
    <t>MinStock</t>
  </si>
  <si>
    <t>MOQ</t>
  </si>
  <si>
    <t>LeadTimeDays</t>
  </si>
  <si>
    <t>SafetyStock</t>
  </si>
  <si>
    <t>ITM-001</t>
  </si>
  <si>
    <t>ITM-002</t>
  </si>
  <si>
    <t>ITM-003</t>
  </si>
  <si>
    <t>ITM-004</t>
  </si>
  <si>
    <t>Lithium Cell 21700</t>
  </si>
  <si>
    <t>BMS 16S 60A</t>
  </si>
  <si>
    <t>Charger 60V 10A</t>
  </si>
  <si>
    <t>PVC Sleeve 21700</t>
  </si>
  <si>
    <t>Cells</t>
  </si>
  <si>
    <t>BMS</t>
  </si>
  <si>
    <t>Charger</t>
  </si>
  <si>
    <t>Consumable</t>
  </si>
  <si>
    <t>pcs</t>
  </si>
  <si>
    <t>m</t>
  </si>
  <si>
    <t>Date</t>
  </si>
  <si>
    <t>Qty</t>
  </si>
  <si>
    <t>Type</t>
  </si>
  <si>
    <t>Reference</t>
  </si>
  <si>
    <t>Remarks</t>
  </si>
  <si>
    <t>Consumption</t>
  </si>
  <si>
    <t>Receipt</t>
  </si>
  <si>
    <t>TXN-9060</t>
  </si>
  <si>
    <t>TXN-7782</t>
  </si>
  <si>
    <t>TXN-3224</t>
  </si>
  <si>
    <t>TXN-7310</t>
  </si>
  <si>
    <t>TXN-8963</t>
  </si>
  <si>
    <t>TXN-3671</t>
  </si>
  <si>
    <t>TXN-6291</t>
  </si>
  <si>
    <t>TXN-6811</t>
  </si>
  <si>
    <t>TXN-4006</t>
  </si>
  <si>
    <t>TXN-4129</t>
  </si>
  <si>
    <t>TXN-8496</t>
  </si>
  <si>
    <t>TXN-4025</t>
  </si>
  <si>
    <t>TXN-2528</t>
  </si>
  <si>
    <t>TXN-8975</t>
  </si>
  <si>
    <t>TXN-1327</t>
  </si>
  <si>
    <t>TXN-9557</t>
  </si>
  <si>
    <t>TXN-6540</t>
  </si>
  <si>
    <t>TXN-3170</t>
  </si>
  <si>
    <t>TXN-3421</t>
  </si>
  <si>
    <t>TXN-5200</t>
  </si>
  <si>
    <t>TXN-4168</t>
  </si>
  <si>
    <t>TXN-4603</t>
  </si>
  <si>
    <t>TXN-6098</t>
  </si>
  <si>
    <t>TXN-6373</t>
  </si>
  <si>
    <t>TXN-4562</t>
  </si>
  <si>
    <t>TXN-5939</t>
  </si>
  <si>
    <t>TXN-3645</t>
  </si>
  <si>
    <t>TXN-8076</t>
  </si>
  <si>
    <t>TXN-5712</t>
  </si>
  <si>
    <t>TXN-1972</t>
  </si>
  <si>
    <t>TXN-2120</t>
  </si>
  <si>
    <t>TXN-7498</t>
  </si>
  <si>
    <t>TXN-2427</t>
  </si>
  <si>
    <t>TXN-9980</t>
  </si>
  <si>
    <t>TXN-1866</t>
  </si>
  <si>
    <t>TXN-9964</t>
  </si>
  <si>
    <t>TXN-8625</t>
  </si>
  <si>
    <t>TXN-9436</t>
  </si>
  <si>
    <t>TXN-3924</t>
  </si>
  <si>
    <t>TXN-3568</t>
  </si>
  <si>
    <t>TXN-1534</t>
  </si>
  <si>
    <t>TXN-9417</t>
  </si>
  <si>
    <t>TXN-4387</t>
  </si>
  <si>
    <t>TXN-6977</t>
  </si>
  <si>
    <t>TXN-9688</t>
  </si>
  <si>
    <t>TXN-6567</t>
  </si>
  <si>
    <t>TXN-8332</t>
  </si>
  <si>
    <t>TXN-7132</t>
  </si>
  <si>
    <t>TXN-5445</t>
  </si>
  <si>
    <t>TXN-8464</t>
  </si>
  <si>
    <t>TXN-5097</t>
  </si>
  <si>
    <t>TXN-3310</t>
  </si>
  <si>
    <t>UnitPrice</t>
  </si>
  <si>
    <t>Amount</t>
  </si>
  <si>
    <t>Key</t>
  </si>
  <si>
    <t>Value</t>
  </si>
  <si>
    <t>Today</t>
  </si>
  <si>
    <t>BaselineDate</t>
  </si>
  <si>
    <t>BaselineOpeningValue</t>
  </si>
  <si>
    <t>HighMovingMonthlyThreshold</t>
  </si>
  <si>
    <t>CoverageWarnDays</t>
  </si>
  <si>
    <t>OpeningValue</t>
  </si>
  <si>
    <t>Purchases</t>
  </si>
  <si>
    <t>ClosingValue</t>
  </si>
  <si>
    <t>COGS_Periodic</t>
  </si>
  <si>
    <t>Revenue</t>
  </si>
  <si>
    <t>GrossProfit</t>
  </si>
  <si>
    <t>StartDate</t>
  </si>
  <si>
    <t>EndDate</t>
  </si>
  <si>
    <t>Label</t>
  </si>
  <si>
    <t>Wk 34 (18-Aug–24-Aug)</t>
  </si>
  <si>
    <t>Wk 35 (25-Aug–31-Aug)</t>
  </si>
  <si>
    <t>Wk 36 (01-Sep–07-Sep)</t>
  </si>
  <si>
    <t>Wk 37 (08-Sep–14-Sep)</t>
  </si>
  <si>
    <t>Wk 38 (15-Sep–21-Sep)</t>
  </si>
  <si>
    <t>Wk 39 (22-Sep–28-Sep)</t>
  </si>
  <si>
    <t>Wk 40 (29-Sep–05-Oct)</t>
  </si>
  <si>
    <t>Wk 41 (06-Oct–12-Oct)</t>
  </si>
  <si>
    <t>Wk 42 (13-Oct–19-Oct)</t>
  </si>
  <si>
    <t>Wk 43 (20-Oct–26-Oct)</t>
  </si>
  <si>
    <t>Wk 44 (27-Oct–02-Nov)</t>
  </si>
  <si>
    <t>Wk 45 (03-Nov–09-Nov)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</si>
  <si>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</si>
  <si>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</si>
  <si>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</si>
  <si>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</si>
  <si>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</si>
  <si>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</si>
  <si>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</si>
  <si>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</si>
  <si>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</si>
  <si>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</si>
  <si>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</si>
  <si>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</si>
  <si>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MonthLabel</t>
  </si>
  <si>
    <t>TotalConsumption</t>
  </si>
  <si>
    <t>MonthlyCOGS</t>
  </si>
  <si>
    <t>COGS_Value</t>
  </si>
  <si>
    <t>OnHand</t>
  </si>
  <si>
    <t>StockValue</t>
  </si>
  <si>
    <t>ThisMonthCons</t>
  </si>
  <si>
    <t>LastMonthCons</t>
  </si>
  <si>
    <t>TwoMonthsAgoCons</t>
  </si>
  <si>
    <t>Avg3MCons</t>
  </si>
  <si>
    <t>HighMover</t>
  </si>
  <si>
    <t>ReorderPoint</t>
  </si>
  <si>
    <t>NeedToOrder</t>
  </si>
  <si>
    <t>SuggestedOrderQty</t>
  </si>
  <si>
    <t>CoverageDays</t>
  </si>
  <si>
    <t>StartOfThisMonth</t>
  </si>
  <si>
    <t>EndOfThisMonth</t>
  </si>
  <si>
    <t>StartOfLastMonth</t>
  </si>
  <si>
    <t>EndOfLastMonth</t>
  </si>
  <si>
    <t>StartOfTwoAgo</t>
  </si>
  <si>
    <t>EndOfTwoAgo</t>
  </si>
  <si>
    <t>Inventory Dashboard + Periodic P&amp;L KPIs</t>
  </si>
  <si>
    <t>As of (Config!Today):</t>
  </si>
  <si>
    <t>Out of Stock (OnHand ≤ 0)</t>
  </si>
  <si>
    <t>Need to Order (OnHand ≤ MinStock)</t>
  </si>
  <si>
    <t>High Movers Insufficient (OnHand &lt; ReorderPoint)</t>
  </si>
  <si>
    <t>Total Stock Value</t>
  </si>
  <si>
    <t>COGS (This Month)</t>
  </si>
  <si>
    <t>List: Out of Stock Items</t>
  </si>
  <si>
    <t>List: Need to Order (with Suggested Order Qty)</t>
  </si>
  <si>
    <t>List: High Movers with Insufficient Stock</t>
  </si>
  <si>
    <t xml:space="preserve">HOW TO USE:
1) Config: set BaselineDate (day before your first movement) and BaselineOpeningValue (₹). Today controls month filters.
2) Items: update master (A:K). Columns after that auto-calc OnHand, StockValue, 3-month consumption, Reorder Point, Suggested Order Qty, CoverageDays.
3) Movements: record receipts (+) and consumptions (−). Value auto from Cost_No_Tax via VLOOKUP.
4) Dashboard: Out of Stock, Need to Order, High Movers insufficient, Total Stock Value, COGS (This Month) + filtered lists.
5) PnL_Daily/Weekly/Monthly: Periodic COGS (Opening + Purchases − Closing), Revenue (if Sales used), Gross Profit.
6) Analytics: 6-month trends for consumption and COGS (charts on Dashboard).
Notes: FILTER requires Excel 365 or Google Sheets. For weighted average/FIFO batches, extend Movements with batch costs.
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</si>
</sst>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Relationship Id="rId1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Consumption (All Items)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Monthly Consumption</c:v>
          </c:tx>
          <c:cat>
            <c:strRef>
              <c:f>Analytics!$A$2:$A$7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Analytics!$D$2:$D$7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COGS (₹)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Monthly COGS</c:v>
          </c:tx>
          <c:cat>
            <c:strRef>
              <c:f>Analytics!$A$2:$A$7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Analytics!$E$2:$E$7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₹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7</xdr:col>
      <xdr:colOff>2638425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7</xdr:col>
      <xdr:colOff>2638425</xdr:colOff>
      <xdr:row>36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0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9" width="18.7109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t="s">
        <v>134</v>
      </c>
      <c r="Q1" t="s">
        <v>135</v>
      </c>
      <c r="R1" t="s">
        <v>136</v>
      </c>
      <c r="S1" t="s">
        <v>137</v>
      </c>
      <c r="T1" t="s">
        <v>138</v>
      </c>
      <c r="V1" t="s">
        <v>139</v>
      </c>
      <c r="W1" t="s">
        <v>140</v>
      </c>
      <c r="X1" t="s">
        <v>141</v>
      </c>
      <c r="Y1" t="s">
        <v>142</v>
      </c>
      <c r="Z1" t="s">
        <v>143</v>
      </c>
      <c r="AA1" t="s">
        <v>144</v>
      </c>
    </row>
    <row r="2" spans="1:27">
      <c r="A2" t="s">
        <v>9</v>
      </c>
      <c r="B2" t="s">
        <v>13</v>
      </c>
      <c r="C2" t="s">
        <v>17</v>
      </c>
      <c r="D2" t="s">
        <v>21</v>
      </c>
      <c r="E2">
        <v>210</v>
      </c>
      <c r="F2">
        <v>500</v>
      </c>
      <c r="G2">
        <v>200</v>
      </c>
      <c r="H2">
        <v>20</v>
      </c>
      <c r="I2">
        <v>300</v>
      </c>
      <c r="J2">
        <f>IF($A2="","", SUMIFS(Mov_Qty, Mov_Item, $A2))</f>
        <v>0</v>
      </c>
      <c r="K2">
        <f>IF($A2="","", J2 * $E2)</f>
        <v>0</v>
      </c>
      <c r="L2">
        <f>IF($A2="","", SUMIFS(-Mov_Qty, Mov_Item, $A2, Mov_Type, "Consumption", Mov_Date, "&gt;="&amp;$V$2, Mov_Date, "&lt;="&amp;$W$2))</f>
        <v>0</v>
      </c>
      <c r="M2">
        <f>IF($A2="","", SUMIFS(-Mov_Qty, Mov_Item, $A2, Mov_Type, "Consumption", Mov_Date, "&gt;="&amp;$X$2, Mov_Date, "&lt;="&amp;$Y$2))</f>
        <v>0</v>
      </c>
      <c r="N2">
        <f>IF($A2="","", SUMIFS(-Mov_Qty, Mov_Item, $A2, Mov_Type, "Consumption", Mov_Date, "&gt;="&amp;$Z$2, Mov_Date, "&lt;="&amp;$AA$2))</f>
        <v>0</v>
      </c>
      <c r="O2">
        <f>IFERROR(AVERAGE(L2:N2),"")</f>
        <v>0</v>
      </c>
      <c r="P2">
        <f>IF(O2&gt;=Cfg_HiMove, "Yes", "")</f>
        <v>0</v>
      </c>
      <c r="Q2">
        <f>IF($A2="","", $I2 + IFERROR(O2/30*$H2,0))</f>
        <v>0</v>
      </c>
      <c r="R2">
        <f>IF($A2="","", IF(J2&lt;=$F2, "Yes", ""))</f>
        <v>0</v>
      </c>
      <c r="S2">
        <f>IF(R2="Yes", CEILING(MAX($G2, Q2-J2), $G2), 0)</f>
        <v>0</v>
      </c>
      <c r="T2">
        <f>IFERROR(J2/(O2/30),"")</f>
        <v>0</v>
      </c>
      <c r="V2">
        <f>EOMONTH(Cfg_Today,-1)+1</f>
        <v>0</v>
      </c>
      <c r="W2">
        <f>EOMONTH(Cfg_Today,0)</f>
        <v>0</v>
      </c>
      <c r="X2">
        <f>EOMONTH(Cfg_Today,-2)+1</f>
        <v>0</v>
      </c>
      <c r="Y2">
        <f>EOMONTH(Cfg_Today,-1)</f>
        <v>0</v>
      </c>
      <c r="Z2">
        <f>EOMONTH(Cfg_Today,-3)+1</f>
        <v>0</v>
      </c>
      <c r="AA2">
        <f>EOMONTH(Cfg_Today,-2)</f>
        <v>0</v>
      </c>
    </row>
    <row r="3" spans="1:27">
      <c r="A3" t="s">
        <v>10</v>
      </c>
      <c r="B3" t="s">
        <v>14</v>
      </c>
      <c r="C3" t="s">
        <v>18</v>
      </c>
      <c r="D3" t="s">
        <v>21</v>
      </c>
      <c r="E3">
        <v>950</v>
      </c>
      <c r="F3">
        <v>50</v>
      </c>
      <c r="G3">
        <v>10</v>
      </c>
      <c r="H3">
        <v>15</v>
      </c>
      <c r="I3">
        <v>30</v>
      </c>
      <c r="J3">
        <f>IF($A3="","", SUMIFS(Mov_Qty, Mov_Item, $A3))</f>
        <v>0</v>
      </c>
      <c r="K3">
        <f>IF($A3="","", J3 * $E3)</f>
        <v>0</v>
      </c>
      <c r="L3">
        <f>IF($A3="","", SUMIFS(-Mov_Qty, Mov_Item, $A3, Mov_Type, "Consumption", Mov_Date, "&gt;="&amp;$V$2, Mov_Date, "&lt;="&amp;$W$2))</f>
        <v>0</v>
      </c>
      <c r="M3">
        <f>IF($A3="","", SUMIFS(-Mov_Qty, Mov_Item, $A3, Mov_Type, "Consumption", Mov_Date, "&gt;="&amp;$X$2, Mov_Date, "&lt;="&amp;$Y$2))</f>
        <v>0</v>
      </c>
      <c r="N3">
        <f>IF($A3="","", SUMIFS(-Mov_Qty, Mov_Item, $A3, Mov_Type, "Consumption", Mov_Date, "&gt;="&amp;$Z$2, Mov_Date, "&lt;="&amp;$AA$2))</f>
        <v>0</v>
      </c>
      <c r="O3">
        <f>IFERROR(AVERAGE(L3:N3),"")</f>
        <v>0</v>
      </c>
      <c r="P3">
        <f>IF(O3&gt;=Cfg_HiMove, "Yes", "")</f>
        <v>0</v>
      </c>
      <c r="Q3">
        <f>IF($A3="","", $I3 + IFERROR(O3/30*$H3,0))</f>
        <v>0</v>
      </c>
      <c r="R3">
        <f>IF($A3="","", IF(J3&lt;=$F3, "Yes", ""))</f>
        <v>0</v>
      </c>
      <c r="S3">
        <f>IF(R3="Yes", CEILING(MAX($G3, Q3-J3), $G3), 0)</f>
        <v>0</v>
      </c>
      <c r="T3">
        <f>IFERROR(J3/(O3/30),"")</f>
        <v>0</v>
      </c>
    </row>
    <row r="4" spans="1:27">
      <c r="A4" t="s">
        <v>11</v>
      </c>
      <c r="B4" t="s">
        <v>15</v>
      </c>
      <c r="C4" t="s">
        <v>19</v>
      </c>
      <c r="D4" t="s">
        <v>21</v>
      </c>
      <c r="E4">
        <v>1800</v>
      </c>
      <c r="F4">
        <v>20</v>
      </c>
      <c r="G4">
        <v>5</v>
      </c>
      <c r="H4">
        <v>10</v>
      </c>
      <c r="I4">
        <v>10</v>
      </c>
      <c r="J4">
        <f>IF($A4="","", SUMIFS(Mov_Qty, Mov_Item, $A4))</f>
        <v>0</v>
      </c>
      <c r="K4">
        <f>IF($A4="","", J4 * $E4)</f>
        <v>0</v>
      </c>
      <c r="L4">
        <f>IF($A4="","", SUMIFS(-Mov_Qty, Mov_Item, $A4, Mov_Type, "Consumption", Mov_Date, "&gt;="&amp;$V$2, Mov_Date, "&lt;="&amp;$W$2))</f>
        <v>0</v>
      </c>
      <c r="M4">
        <f>IF($A4="","", SUMIFS(-Mov_Qty, Mov_Item, $A4, Mov_Type, "Consumption", Mov_Date, "&gt;="&amp;$X$2, Mov_Date, "&lt;="&amp;$Y$2))</f>
        <v>0</v>
      </c>
      <c r="N4">
        <f>IF($A4="","", SUMIFS(-Mov_Qty, Mov_Item, $A4, Mov_Type, "Consumption", Mov_Date, "&gt;="&amp;$Z$2, Mov_Date, "&lt;="&amp;$AA$2))</f>
        <v>0</v>
      </c>
      <c r="O4">
        <f>IFERROR(AVERAGE(L4:N4),"")</f>
        <v>0</v>
      </c>
      <c r="P4">
        <f>IF(O4&gt;=Cfg_HiMove, "Yes", "")</f>
        <v>0</v>
      </c>
      <c r="Q4">
        <f>IF($A4="","", $I4 + IFERROR(O4/30*$H4,0))</f>
        <v>0</v>
      </c>
      <c r="R4">
        <f>IF($A4="","", IF(J4&lt;=$F4, "Yes", ""))</f>
        <v>0</v>
      </c>
      <c r="S4">
        <f>IF(R4="Yes", CEILING(MAX($G4, Q4-J4), $G4), 0)</f>
        <v>0</v>
      </c>
      <c r="T4">
        <f>IFERROR(J4/(O4/30),"")</f>
        <v>0</v>
      </c>
    </row>
    <row r="5" spans="1:27">
      <c r="A5" t="s">
        <v>12</v>
      </c>
      <c r="B5" t="s">
        <v>16</v>
      </c>
      <c r="C5" t="s">
        <v>20</v>
      </c>
      <c r="D5" t="s">
        <v>22</v>
      </c>
      <c r="E5">
        <v>4.5</v>
      </c>
      <c r="F5">
        <v>1000</v>
      </c>
      <c r="G5">
        <v>2000</v>
      </c>
      <c r="H5">
        <v>7</v>
      </c>
      <c r="I5">
        <v>500</v>
      </c>
      <c r="J5">
        <f>IF($A5="","", SUMIFS(Mov_Qty, Mov_Item, $A5))</f>
        <v>0</v>
      </c>
      <c r="K5">
        <f>IF($A5="","", J5 * $E5)</f>
        <v>0</v>
      </c>
      <c r="L5">
        <f>IF($A5="","", SUMIFS(-Mov_Qty, Mov_Item, $A5, Mov_Type, "Consumption", Mov_Date, "&gt;="&amp;$V$2, Mov_Date, "&lt;="&amp;$W$2))</f>
        <v>0</v>
      </c>
      <c r="M5">
        <f>IF($A5="","", SUMIFS(-Mov_Qty, Mov_Item, $A5, Mov_Type, "Consumption", Mov_Date, "&gt;="&amp;$X$2, Mov_Date, "&lt;="&amp;$Y$2))</f>
        <v>0</v>
      </c>
      <c r="N5">
        <f>IF($A5="","", SUMIFS(-Mov_Qty, Mov_Item, $A5, Mov_Type, "Consumption", Mov_Date, "&gt;="&amp;$Z$2, Mov_Date, "&lt;="&amp;$AA$2))</f>
        <v>0</v>
      </c>
      <c r="O5">
        <f>IFERROR(AVERAGE(L5:N5),"")</f>
        <v>0</v>
      </c>
      <c r="P5">
        <f>IF(O5&gt;=Cfg_HiMove, "Yes", "")</f>
        <v>0</v>
      </c>
      <c r="Q5">
        <f>IF($A5="","", $I5 + IFERROR(O5/30*$H5,0))</f>
        <v>0</v>
      </c>
      <c r="R5">
        <f>IF($A5="","", IF(J5&lt;=$F5, "Yes", ""))</f>
        <v>0</v>
      </c>
      <c r="S5">
        <f>IF(R5="Yes", CEILING(MAX($G5, Q5-J5), $G5), 0)</f>
        <v>0</v>
      </c>
      <c r="T5">
        <f>IFERROR(J5/(O5/30),"")</f>
        <v>0</v>
      </c>
    </row>
    <row r="6" spans="1:27">
      <c r="J6">
        <f>IF($A6="","", SUMIFS(Mov_Qty, Mov_Item, $A6))</f>
        <v>0</v>
      </c>
      <c r="K6">
        <f>IF($A6="","", J6 * $E6)</f>
        <v>0</v>
      </c>
      <c r="L6">
        <f>IF($A6="","", SUMIFS(-Mov_Qty, Mov_Item, $A6, Mov_Type, "Consumption", Mov_Date, "&gt;="&amp;$V$2, Mov_Date, "&lt;="&amp;$W$2))</f>
        <v>0</v>
      </c>
      <c r="M6">
        <f>IF($A6="","", SUMIFS(-Mov_Qty, Mov_Item, $A6, Mov_Type, "Consumption", Mov_Date, "&gt;="&amp;$X$2, Mov_Date, "&lt;="&amp;$Y$2))</f>
        <v>0</v>
      </c>
      <c r="N6">
        <f>IF($A6="","", SUMIFS(-Mov_Qty, Mov_Item, $A6, Mov_Type, "Consumption", Mov_Date, "&gt;="&amp;$Z$2, Mov_Date, "&lt;="&amp;$AA$2))</f>
        <v>0</v>
      </c>
      <c r="O6">
        <f>IFERROR(AVERAGE(L6:N6),"")</f>
        <v>0</v>
      </c>
      <c r="P6">
        <f>IF(O6&gt;=Cfg_HiMove, "Yes", "")</f>
        <v>0</v>
      </c>
      <c r="Q6">
        <f>IF($A6="","", $I6 + IFERROR(O6/30*$H6,0))</f>
        <v>0</v>
      </c>
      <c r="R6">
        <f>IF($A6="","", IF(J6&lt;=$F6, "Yes", ""))</f>
        <v>0</v>
      </c>
      <c r="S6">
        <f>IF(R6="Yes", CEILING(MAX($G6, Q6-J6), $G6), 0)</f>
        <v>0</v>
      </c>
      <c r="T6">
        <f>IFERROR(J6/(O6/30),"")</f>
        <v>0</v>
      </c>
    </row>
    <row r="7" spans="1:27">
      <c r="J7">
        <f>IF($A7="","", SUMIFS(Mov_Qty, Mov_Item, $A7))</f>
        <v>0</v>
      </c>
      <c r="K7">
        <f>IF($A7="","", J7 * $E7)</f>
        <v>0</v>
      </c>
      <c r="L7">
        <f>IF($A7="","", SUMIFS(-Mov_Qty, Mov_Item, $A7, Mov_Type, "Consumption", Mov_Date, "&gt;="&amp;$V$2, Mov_Date, "&lt;="&amp;$W$2))</f>
        <v>0</v>
      </c>
      <c r="M7">
        <f>IF($A7="","", SUMIFS(-Mov_Qty, Mov_Item, $A7, Mov_Type, "Consumption", Mov_Date, "&gt;="&amp;$X$2, Mov_Date, "&lt;="&amp;$Y$2))</f>
        <v>0</v>
      </c>
      <c r="N7">
        <f>IF($A7="","", SUMIFS(-Mov_Qty, Mov_Item, $A7, Mov_Type, "Consumption", Mov_Date, "&gt;="&amp;$Z$2, Mov_Date, "&lt;="&amp;$AA$2))</f>
        <v>0</v>
      </c>
      <c r="O7">
        <f>IFERROR(AVERAGE(L7:N7),"")</f>
        <v>0</v>
      </c>
      <c r="P7">
        <f>IF(O7&gt;=Cfg_HiMove, "Yes", "")</f>
        <v>0</v>
      </c>
      <c r="Q7">
        <f>IF($A7="","", $I7 + IFERROR(O7/30*$H7,0))</f>
        <v>0</v>
      </c>
      <c r="R7">
        <f>IF($A7="","", IF(J7&lt;=$F7, "Yes", ""))</f>
        <v>0</v>
      </c>
      <c r="S7">
        <f>IF(R7="Yes", CEILING(MAX($G7, Q7-J7), $G7), 0)</f>
        <v>0</v>
      </c>
      <c r="T7">
        <f>IFERROR(J7/(O7/30),"")</f>
        <v>0</v>
      </c>
    </row>
    <row r="8" spans="1:27">
      <c r="J8">
        <f>IF($A8="","", SUMIFS(Mov_Qty, Mov_Item, $A8))</f>
        <v>0</v>
      </c>
      <c r="K8">
        <f>IF($A8="","", J8 * $E8)</f>
        <v>0</v>
      </c>
      <c r="L8">
        <f>IF($A8="","", SUMIFS(-Mov_Qty, Mov_Item, $A8, Mov_Type, "Consumption", Mov_Date, "&gt;="&amp;$V$2, Mov_Date, "&lt;="&amp;$W$2))</f>
        <v>0</v>
      </c>
      <c r="M8">
        <f>IF($A8="","", SUMIFS(-Mov_Qty, Mov_Item, $A8, Mov_Type, "Consumption", Mov_Date, "&gt;="&amp;$X$2, Mov_Date, "&lt;="&amp;$Y$2))</f>
        <v>0</v>
      </c>
      <c r="N8">
        <f>IF($A8="","", SUMIFS(-Mov_Qty, Mov_Item, $A8, Mov_Type, "Consumption", Mov_Date, "&gt;="&amp;$Z$2, Mov_Date, "&lt;="&amp;$AA$2))</f>
        <v>0</v>
      </c>
      <c r="O8">
        <f>IFERROR(AVERAGE(L8:N8),"")</f>
        <v>0</v>
      </c>
      <c r="P8">
        <f>IF(O8&gt;=Cfg_HiMove, "Yes", "")</f>
        <v>0</v>
      </c>
      <c r="Q8">
        <f>IF($A8="","", $I8 + IFERROR(O8/30*$H8,0))</f>
        <v>0</v>
      </c>
      <c r="R8">
        <f>IF($A8="","", IF(J8&lt;=$F8, "Yes", ""))</f>
        <v>0</v>
      </c>
      <c r="S8">
        <f>IF(R8="Yes", CEILING(MAX($G8, Q8-J8), $G8), 0)</f>
        <v>0</v>
      </c>
      <c r="T8">
        <f>IFERROR(J8/(O8/30),"")</f>
        <v>0</v>
      </c>
    </row>
    <row r="9" spans="1:27">
      <c r="J9">
        <f>IF($A9="","", SUMIFS(Mov_Qty, Mov_Item, $A9))</f>
        <v>0</v>
      </c>
      <c r="K9">
        <f>IF($A9="","", J9 * $E9)</f>
        <v>0</v>
      </c>
      <c r="L9">
        <f>IF($A9="","", SUMIFS(-Mov_Qty, Mov_Item, $A9, Mov_Type, "Consumption", Mov_Date, "&gt;="&amp;$V$2, Mov_Date, "&lt;="&amp;$W$2))</f>
        <v>0</v>
      </c>
      <c r="M9">
        <f>IF($A9="","", SUMIFS(-Mov_Qty, Mov_Item, $A9, Mov_Type, "Consumption", Mov_Date, "&gt;="&amp;$X$2, Mov_Date, "&lt;="&amp;$Y$2))</f>
        <v>0</v>
      </c>
      <c r="N9">
        <f>IF($A9="","", SUMIFS(-Mov_Qty, Mov_Item, $A9, Mov_Type, "Consumption", Mov_Date, "&gt;="&amp;$Z$2, Mov_Date, "&lt;="&amp;$AA$2))</f>
        <v>0</v>
      </c>
      <c r="O9">
        <f>IFERROR(AVERAGE(L9:N9),"")</f>
        <v>0</v>
      </c>
      <c r="P9">
        <f>IF(O9&gt;=Cfg_HiMove, "Yes", "")</f>
        <v>0</v>
      </c>
      <c r="Q9">
        <f>IF($A9="","", $I9 + IFERROR(O9/30*$H9,0))</f>
        <v>0</v>
      </c>
      <c r="R9">
        <f>IF($A9="","", IF(J9&lt;=$F9, "Yes", ""))</f>
        <v>0</v>
      </c>
      <c r="S9">
        <f>IF(R9="Yes", CEILING(MAX($G9, Q9-J9), $G9), 0)</f>
        <v>0</v>
      </c>
      <c r="T9">
        <f>IFERROR(J9/(O9/30),"")</f>
        <v>0</v>
      </c>
    </row>
    <row r="10" spans="1:27">
      <c r="J10">
        <f>IF($A10="","", SUMIFS(Mov_Qty, Mov_Item, $A10))</f>
        <v>0</v>
      </c>
      <c r="K10">
        <f>IF($A10="","", J10 * $E10)</f>
        <v>0</v>
      </c>
      <c r="L10">
        <f>IF($A10="","", SUMIFS(-Mov_Qty, Mov_Item, $A10, Mov_Type, "Consumption", Mov_Date, "&gt;="&amp;$V$2, Mov_Date, "&lt;="&amp;$W$2))</f>
        <v>0</v>
      </c>
      <c r="M10">
        <f>IF($A10="","", SUMIFS(-Mov_Qty, Mov_Item, $A10, Mov_Type, "Consumption", Mov_Date, "&gt;="&amp;$X$2, Mov_Date, "&lt;="&amp;$Y$2))</f>
        <v>0</v>
      </c>
      <c r="N10">
        <f>IF($A10="","", SUMIFS(-Mov_Qty, Mov_Item, $A10, Mov_Type, "Consumption", Mov_Date, "&gt;="&amp;$Z$2, Mov_Date, "&lt;="&amp;$AA$2))</f>
        <v>0</v>
      </c>
      <c r="O10">
        <f>IFERROR(AVERAGE(L10:N10),"")</f>
        <v>0</v>
      </c>
      <c r="P10">
        <f>IF(O10&gt;=Cfg_HiMove, "Yes", "")</f>
        <v>0</v>
      </c>
      <c r="Q10">
        <f>IF($A10="","", $I10 + IFERROR(O10/30*$H10,0))</f>
        <v>0</v>
      </c>
      <c r="R10">
        <f>IF($A10="","", IF(J10&lt;=$F10, "Yes", ""))</f>
        <v>0</v>
      </c>
      <c r="S10">
        <f>IF(R10="Yes", CEILING(MAX($G10, Q10-J10), $G10), 0)</f>
        <v>0</v>
      </c>
      <c r="T10">
        <f>IFERROR(J10/(O10/30),"")</f>
        <v>0</v>
      </c>
    </row>
    <row r="11" spans="1:27">
      <c r="J11">
        <f>IF($A11="","", SUMIFS(Mov_Qty, Mov_Item, $A11))</f>
        <v>0</v>
      </c>
      <c r="K11">
        <f>IF($A11="","", J11 * $E11)</f>
        <v>0</v>
      </c>
      <c r="L11">
        <f>IF($A11="","", SUMIFS(-Mov_Qty, Mov_Item, $A11, Mov_Type, "Consumption", Mov_Date, "&gt;="&amp;$V$2, Mov_Date, "&lt;="&amp;$W$2))</f>
        <v>0</v>
      </c>
      <c r="M11">
        <f>IF($A11="","", SUMIFS(-Mov_Qty, Mov_Item, $A11, Mov_Type, "Consumption", Mov_Date, "&gt;="&amp;$X$2, Mov_Date, "&lt;="&amp;$Y$2))</f>
        <v>0</v>
      </c>
      <c r="N11">
        <f>IF($A11="","", SUMIFS(-Mov_Qty, Mov_Item, $A11, Mov_Type, "Consumption", Mov_Date, "&gt;="&amp;$Z$2, Mov_Date, "&lt;="&amp;$AA$2))</f>
        <v>0</v>
      </c>
      <c r="O11">
        <f>IFERROR(AVERAGE(L11:N11),"")</f>
        <v>0</v>
      </c>
      <c r="P11">
        <f>IF(O11&gt;=Cfg_HiMove, "Yes", "")</f>
        <v>0</v>
      </c>
      <c r="Q11">
        <f>IF($A11="","", $I11 + IFERROR(O11/30*$H11,0))</f>
        <v>0</v>
      </c>
      <c r="R11">
        <f>IF($A11="","", IF(J11&lt;=$F11, "Yes", ""))</f>
        <v>0</v>
      </c>
      <c r="S11">
        <f>IF(R11="Yes", CEILING(MAX($G11, Q11-J11), $G11), 0)</f>
        <v>0</v>
      </c>
      <c r="T11">
        <f>IFERROR(J11/(O11/30),"")</f>
        <v>0</v>
      </c>
    </row>
    <row r="12" spans="1:27">
      <c r="J12">
        <f>IF($A12="","", SUMIFS(Mov_Qty, Mov_Item, $A12))</f>
        <v>0</v>
      </c>
      <c r="K12">
        <f>IF($A12="","", J12 * $E12)</f>
        <v>0</v>
      </c>
      <c r="L12">
        <f>IF($A12="","", SUMIFS(-Mov_Qty, Mov_Item, $A12, Mov_Type, "Consumption", Mov_Date, "&gt;="&amp;$V$2, Mov_Date, "&lt;="&amp;$W$2))</f>
        <v>0</v>
      </c>
      <c r="M12">
        <f>IF($A12="","", SUMIFS(-Mov_Qty, Mov_Item, $A12, Mov_Type, "Consumption", Mov_Date, "&gt;="&amp;$X$2, Mov_Date, "&lt;="&amp;$Y$2))</f>
        <v>0</v>
      </c>
      <c r="N12">
        <f>IF($A12="","", SUMIFS(-Mov_Qty, Mov_Item, $A12, Mov_Type, "Consumption", Mov_Date, "&gt;="&amp;$Z$2, Mov_Date, "&lt;="&amp;$AA$2))</f>
        <v>0</v>
      </c>
      <c r="O12">
        <f>IFERROR(AVERAGE(L12:N12),"")</f>
        <v>0</v>
      </c>
      <c r="P12">
        <f>IF(O12&gt;=Cfg_HiMove, "Yes", "")</f>
        <v>0</v>
      </c>
      <c r="Q12">
        <f>IF($A12="","", $I12 + IFERROR(O12/30*$H12,0))</f>
        <v>0</v>
      </c>
      <c r="R12">
        <f>IF($A12="","", IF(J12&lt;=$F12, "Yes", ""))</f>
        <v>0</v>
      </c>
      <c r="S12">
        <f>IF(R12="Yes", CEILING(MAX($G12, Q12-J12), $G12), 0)</f>
        <v>0</v>
      </c>
      <c r="T12">
        <f>IFERROR(J12/(O12/30),"")</f>
        <v>0</v>
      </c>
    </row>
    <row r="13" spans="1:27">
      <c r="J13">
        <f>IF($A13="","", SUMIFS(Mov_Qty, Mov_Item, $A13))</f>
        <v>0</v>
      </c>
      <c r="K13">
        <f>IF($A13="","", J13 * $E13)</f>
        <v>0</v>
      </c>
      <c r="L13">
        <f>IF($A13="","", SUMIFS(-Mov_Qty, Mov_Item, $A13, Mov_Type, "Consumption", Mov_Date, "&gt;="&amp;$V$2, Mov_Date, "&lt;="&amp;$W$2))</f>
        <v>0</v>
      </c>
      <c r="M13">
        <f>IF($A13="","", SUMIFS(-Mov_Qty, Mov_Item, $A13, Mov_Type, "Consumption", Mov_Date, "&gt;="&amp;$X$2, Mov_Date, "&lt;="&amp;$Y$2))</f>
        <v>0</v>
      </c>
      <c r="N13">
        <f>IF($A13="","", SUMIFS(-Mov_Qty, Mov_Item, $A13, Mov_Type, "Consumption", Mov_Date, "&gt;="&amp;$Z$2, Mov_Date, "&lt;="&amp;$AA$2))</f>
        <v>0</v>
      </c>
      <c r="O13">
        <f>IFERROR(AVERAGE(L13:N13),"")</f>
        <v>0</v>
      </c>
      <c r="P13">
        <f>IF(O13&gt;=Cfg_HiMove, "Yes", "")</f>
        <v>0</v>
      </c>
      <c r="Q13">
        <f>IF($A13="","", $I13 + IFERROR(O13/30*$H13,0))</f>
        <v>0</v>
      </c>
      <c r="R13">
        <f>IF($A13="","", IF(J13&lt;=$F13, "Yes", ""))</f>
        <v>0</v>
      </c>
      <c r="S13">
        <f>IF(R13="Yes", CEILING(MAX($G13, Q13-J13), $G13), 0)</f>
        <v>0</v>
      </c>
      <c r="T13">
        <f>IFERROR(J13/(O13/30),"")</f>
        <v>0</v>
      </c>
    </row>
    <row r="14" spans="1:27">
      <c r="J14">
        <f>IF($A14="","", SUMIFS(Mov_Qty, Mov_Item, $A14))</f>
        <v>0</v>
      </c>
      <c r="K14">
        <f>IF($A14="","", J14 * $E14)</f>
        <v>0</v>
      </c>
      <c r="L14">
        <f>IF($A14="","", SUMIFS(-Mov_Qty, Mov_Item, $A14, Mov_Type, "Consumption", Mov_Date, "&gt;="&amp;$V$2, Mov_Date, "&lt;="&amp;$W$2))</f>
        <v>0</v>
      </c>
      <c r="M14">
        <f>IF($A14="","", SUMIFS(-Mov_Qty, Mov_Item, $A14, Mov_Type, "Consumption", Mov_Date, "&gt;="&amp;$X$2, Mov_Date, "&lt;="&amp;$Y$2))</f>
        <v>0</v>
      </c>
      <c r="N14">
        <f>IF($A14="","", SUMIFS(-Mov_Qty, Mov_Item, $A14, Mov_Type, "Consumption", Mov_Date, "&gt;="&amp;$Z$2, Mov_Date, "&lt;="&amp;$AA$2))</f>
        <v>0</v>
      </c>
      <c r="O14">
        <f>IFERROR(AVERAGE(L14:N14),"")</f>
        <v>0</v>
      </c>
      <c r="P14">
        <f>IF(O14&gt;=Cfg_HiMove, "Yes", "")</f>
        <v>0</v>
      </c>
      <c r="Q14">
        <f>IF($A14="","", $I14 + IFERROR(O14/30*$H14,0))</f>
        <v>0</v>
      </c>
      <c r="R14">
        <f>IF($A14="","", IF(J14&lt;=$F14, "Yes", ""))</f>
        <v>0</v>
      </c>
      <c r="S14">
        <f>IF(R14="Yes", CEILING(MAX($G14, Q14-J14), $G14), 0)</f>
        <v>0</v>
      </c>
      <c r="T14">
        <f>IFERROR(J14/(O14/30),"")</f>
        <v>0</v>
      </c>
    </row>
    <row r="15" spans="1:27">
      <c r="J15">
        <f>IF($A15="","", SUMIFS(Mov_Qty, Mov_Item, $A15))</f>
        <v>0</v>
      </c>
      <c r="K15">
        <f>IF($A15="","", J15 * $E15)</f>
        <v>0</v>
      </c>
      <c r="L15">
        <f>IF($A15="","", SUMIFS(-Mov_Qty, Mov_Item, $A15, Mov_Type, "Consumption", Mov_Date, "&gt;="&amp;$V$2, Mov_Date, "&lt;="&amp;$W$2))</f>
        <v>0</v>
      </c>
      <c r="M15">
        <f>IF($A15="","", SUMIFS(-Mov_Qty, Mov_Item, $A15, Mov_Type, "Consumption", Mov_Date, "&gt;="&amp;$X$2, Mov_Date, "&lt;="&amp;$Y$2))</f>
        <v>0</v>
      </c>
      <c r="N15">
        <f>IF($A15="","", SUMIFS(-Mov_Qty, Mov_Item, $A15, Mov_Type, "Consumption", Mov_Date, "&gt;="&amp;$Z$2, Mov_Date, "&lt;="&amp;$AA$2))</f>
        <v>0</v>
      </c>
      <c r="O15">
        <f>IFERROR(AVERAGE(L15:N15),"")</f>
        <v>0</v>
      </c>
      <c r="P15">
        <f>IF(O15&gt;=Cfg_HiMove, "Yes", "")</f>
        <v>0</v>
      </c>
      <c r="Q15">
        <f>IF($A15="","", $I15 + IFERROR(O15/30*$H15,0))</f>
        <v>0</v>
      </c>
      <c r="R15">
        <f>IF($A15="","", IF(J15&lt;=$F15, "Yes", ""))</f>
        <v>0</v>
      </c>
      <c r="S15">
        <f>IF(R15="Yes", CEILING(MAX($G15, Q15-J15), $G15), 0)</f>
        <v>0</v>
      </c>
      <c r="T15">
        <f>IFERROR(J15/(O15/30),"")</f>
        <v>0</v>
      </c>
    </row>
    <row r="16" spans="1:27">
      <c r="J16">
        <f>IF($A16="","", SUMIFS(Mov_Qty, Mov_Item, $A16))</f>
        <v>0</v>
      </c>
      <c r="K16">
        <f>IF($A16="","", J16 * $E16)</f>
        <v>0</v>
      </c>
      <c r="L16">
        <f>IF($A16="","", SUMIFS(-Mov_Qty, Mov_Item, $A16, Mov_Type, "Consumption", Mov_Date, "&gt;="&amp;$V$2, Mov_Date, "&lt;="&amp;$W$2))</f>
        <v>0</v>
      </c>
      <c r="M16">
        <f>IF($A16="","", SUMIFS(-Mov_Qty, Mov_Item, $A16, Mov_Type, "Consumption", Mov_Date, "&gt;="&amp;$X$2, Mov_Date, "&lt;="&amp;$Y$2))</f>
        <v>0</v>
      </c>
      <c r="N16">
        <f>IF($A16="","", SUMIFS(-Mov_Qty, Mov_Item, $A16, Mov_Type, "Consumption", Mov_Date, "&gt;="&amp;$Z$2, Mov_Date, "&lt;="&amp;$AA$2))</f>
        <v>0</v>
      </c>
      <c r="O16">
        <f>IFERROR(AVERAGE(L16:N16),"")</f>
        <v>0</v>
      </c>
      <c r="P16">
        <f>IF(O16&gt;=Cfg_HiMove, "Yes", "")</f>
        <v>0</v>
      </c>
      <c r="Q16">
        <f>IF($A16="","", $I16 + IFERROR(O16/30*$H16,0))</f>
        <v>0</v>
      </c>
      <c r="R16">
        <f>IF($A16="","", IF(J16&lt;=$F16, "Yes", ""))</f>
        <v>0</v>
      </c>
      <c r="S16">
        <f>IF(R16="Yes", CEILING(MAX($G16, Q16-J16), $G16), 0)</f>
        <v>0</v>
      </c>
      <c r="T16">
        <f>IFERROR(J16/(O16/30),"")</f>
        <v>0</v>
      </c>
    </row>
    <row r="17" spans="10:20">
      <c r="J17">
        <f>IF($A17="","", SUMIFS(Mov_Qty, Mov_Item, $A17))</f>
        <v>0</v>
      </c>
      <c r="K17">
        <f>IF($A17="","", J17 * $E17)</f>
        <v>0</v>
      </c>
      <c r="L17">
        <f>IF($A17="","", SUMIFS(-Mov_Qty, Mov_Item, $A17, Mov_Type, "Consumption", Mov_Date, "&gt;="&amp;$V$2, Mov_Date, "&lt;="&amp;$W$2))</f>
        <v>0</v>
      </c>
      <c r="M17">
        <f>IF($A17="","", SUMIFS(-Mov_Qty, Mov_Item, $A17, Mov_Type, "Consumption", Mov_Date, "&gt;="&amp;$X$2, Mov_Date, "&lt;="&amp;$Y$2))</f>
        <v>0</v>
      </c>
      <c r="N17">
        <f>IF($A17="","", SUMIFS(-Mov_Qty, Mov_Item, $A17, Mov_Type, "Consumption", Mov_Date, "&gt;="&amp;$Z$2, Mov_Date, "&lt;="&amp;$AA$2))</f>
        <v>0</v>
      </c>
      <c r="O17">
        <f>IFERROR(AVERAGE(L17:N17),"")</f>
        <v>0</v>
      </c>
      <c r="P17">
        <f>IF(O17&gt;=Cfg_HiMove, "Yes", "")</f>
        <v>0</v>
      </c>
      <c r="Q17">
        <f>IF($A17="","", $I17 + IFERROR(O17/30*$H17,0))</f>
        <v>0</v>
      </c>
      <c r="R17">
        <f>IF($A17="","", IF(J17&lt;=$F17, "Yes", ""))</f>
        <v>0</v>
      </c>
      <c r="S17">
        <f>IF(R17="Yes", CEILING(MAX($G17, Q17-J17), $G17), 0)</f>
        <v>0</v>
      </c>
      <c r="T17">
        <f>IFERROR(J17/(O17/30),"")</f>
        <v>0</v>
      </c>
    </row>
    <row r="18" spans="10:20">
      <c r="J18">
        <f>IF($A18="","", SUMIFS(Mov_Qty, Mov_Item, $A18))</f>
        <v>0</v>
      </c>
      <c r="K18">
        <f>IF($A18="","", J18 * $E18)</f>
        <v>0</v>
      </c>
      <c r="L18">
        <f>IF($A18="","", SUMIFS(-Mov_Qty, Mov_Item, $A18, Mov_Type, "Consumption", Mov_Date, "&gt;="&amp;$V$2, Mov_Date, "&lt;="&amp;$W$2))</f>
        <v>0</v>
      </c>
      <c r="M18">
        <f>IF($A18="","", SUMIFS(-Mov_Qty, Mov_Item, $A18, Mov_Type, "Consumption", Mov_Date, "&gt;="&amp;$X$2, Mov_Date, "&lt;="&amp;$Y$2))</f>
        <v>0</v>
      </c>
      <c r="N18">
        <f>IF($A18="","", SUMIFS(-Mov_Qty, Mov_Item, $A18, Mov_Type, "Consumption", Mov_Date, "&gt;="&amp;$Z$2, Mov_Date, "&lt;="&amp;$AA$2))</f>
        <v>0</v>
      </c>
      <c r="O18">
        <f>IFERROR(AVERAGE(L18:N18),"")</f>
        <v>0</v>
      </c>
      <c r="P18">
        <f>IF(O18&gt;=Cfg_HiMove, "Yes", "")</f>
        <v>0</v>
      </c>
      <c r="Q18">
        <f>IF($A18="","", $I18 + IFERROR(O18/30*$H18,0))</f>
        <v>0</v>
      </c>
      <c r="R18">
        <f>IF($A18="","", IF(J18&lt;=$F18, "Yes", ""))</f>
        <v>0</v>
      </c>
      <c r="S18">
        <f>IF(R18="Yes", CEILING(MAX($G18, Q18-J18), $G18), 0)</f>
        <v>0</v>
      </c>
      <c r="T18">
        <f>IFERROR(J18/(O18/30),"")</f>
        <v>0</v>
      </c>
    </row>
    <row r="19" spans="10:20">
      <c r="J19">
        <f>IF($A19="","", SUMIFS(Mov_Qty, Mov_Item, $A19))</f>
        <v>0</v>
      </c>
      <c r="K19">
        <f>IF($A19="","", J19 * $E19)</f>
        <v>0</v>
      </c>
      <c r="L19">
        <f>IF($A19="","", SUMIFS(-Mov_Qty, Mov_Item, $A19, Mov_Type, "Consumption", Mov_Date, "&gt;="&amp;$V$2, Mov_Date, "&lt;="&amp;$W$2))</f>
        <v>0</v>
      </c>
      <c r="M19">
        <f>IF($A19="","", SUMIFS(-Mov_Qty, Mov_Item, $A19, Mov_Type, "Consumption", Mov_Date, "&gt;="&amp;$X$2, Mov_Date, "&lt;="&amp;$Y$2))</f>
        <v>0</v>
      </c>
      <c r="N19">
        <f>IF($A19="","", SUMIFS(-Mov_Qty, Mov_Item, $A19, Mov_Type, "Consumption", Mov_Date, "&gt;="&amp;$Z$2, Mov_Date, "&lt;="&amp;$AA$2))</f>
        <v>0</v>
      </c>
      <c r="O19">
        <f>IFERROR(AVERAGE(L19:N19),"")</f>
        <v>0</v>
      </c>
      <c r="P19">
        <f>IF(O19&gt;=Cfg_HiMove, "Yes", "")</f>
        <v>0</v>
      </c>
      <c r="Q19">
        <f>IF($A19="","", $I19 + IFERROR(O19/30*$H19,0))</f>
        <v>0</v>
      </c>
      <c r="R19">
        <f>IF($A19="","", IF(J19&lt;=$F19, "Yes", ""))</f>
        <v>0</v>
      </c>
      <c r="S19">
        <f>IF(R19="Yes", CEILING(MAX($G19, Q19-J19), $G19), 0)</f>
        <v>0</v>
      </c>
      <c r="T19">
        <f>IFERROR(J19/(O19/30),"")</f>
        <v>0</v>
      </c>
    </row>
    <row r="20" spans="10:20">
      <c r="J20">
        <f>IF($A20="","", SUMIFS(Mov_Qty, Mov_Item, $A20))</f>
        <v>0</v>
      </c>
      <c r="K20">
        <f>IF($A20="","", J20 * $E20)</f>
        <v>0</v>
      </c>
      <c r="L20">
        <f>IF($A20="","", SUMIFS(-Mov_Qty, Mov_Item, $A20, Mov_Type, "Consumption", Mov_Date, "&gt;="&amp;$V$2, Mov_Date, "&lt;="&amp;$W$2))</f>
        <v>0</v>
      </c>
      <c r="M20">
        <f>IF($A20="","", SUMIFS(-Mov_Qty, Mov_Item, $A20, Mov_Type, "Consumption", Mov_Date, "&gt;="&amp;$X$2, Mov_Date, "&lt;="&amp;$Y$2))</f>
        <v>0</v>
      </c>
      <c r="N20">
        <f>IF($A20="","", SUMIFS(-Mov_Qty, Mov_Item, $A20, Mov_Type, "Consumption", Mov_Date, "&gt;="&amp;$Z$2, Mov_Date, "&lt;="&amp;$AA$2))</f>
        <v>0</v>
      </c>
      <c r="O20">
        <f>IFERROR(AVERAGE(L20:N20),"")</f>
        <v>0</v>
      </c>
      <c r="P20">
        <f>IF(O20&gt;=Cfg_HiMove, "Yes", "")</f>
        <v>0</v>
      </c>
      <c r="Q20">
        <f>IF($A20="","", $I20 + IFERROR(O20/30*$H20,0))</f>
        <v>0</v>
      </c>
      <c r="R20">
        <f>IF($A20="","", IF(J20&lt;=$F20, "Yes", ""))</f>
        <v>0</v>
      </c>
      <c r="S20">
        <f>IF(R20="Yes", CEILING(MAX($G20, Q20-J20), $G20), 0)</f>
        <v>0</v>
      </c>
      <c r="T20">
        <f>IFERROR(J20/(O20/30),"")</f>
        <v>0</v>
      </c>
    </row>
    <row r="21" spans="10:20">
      <c r="J21">
        <f>IF($A21="","", SUMIFS(Mov_Qty, Mov_Item, $A21))</f>
        <v>0</v>
      </c>
      <c r="K21">
        <f>IF($A21="","", J21 * $E21)</f>
        <v>0</v>
      </c>
      <c r="L21">
        <f>IF($A21="","", SUMIFS(-Mov_Qty, Mov_Item, $A21, Mov_Type, "Consumption", Mov_Date, "&gt;="&amp;$V$2, Mov_Date, "&lt;="&amp;$W$2))</f>
        <v>0</v>
      </c>
      <c r="M21">
        <f>IF($A21="","", SUMIFS(-Mov_Qty, Mov_Item, $A21, Mov_Type, "Consumption", Mov_Date, "&gt;="&amp;$X$2, Mov_Date, "&lt;="&amp;$Y$2))</f>
        <v>0</v>
      </c>
      <c r="N21">
        <f>IF($A21="","", SUMIFS(-Mov_Qty, Mov_Item, $A21, Mov_Type, "Consumption", Mov_Date, "&gt;="&amp;$Z$2, Mov_Date, "&lt;="&amp;$AA$2))</f>
        <v>0</v>
      </c>
      <c r="O21">
        <f>IFERROR(AVERAGE(L21:N21),"")</f>
        <v>0</v>
      </c>
      <c r="P21">
        <f>IF(O21&gt;=Cfg_HiMove, "Yes", "")</f>
        <v>0</v>
      </c>
      <c r="Q21">
        <f>IF($A21="","", $I21 + IFERROR(O21/30*$H21,0))</f>
        <v>0</v>
      </c>
      <c r="R21">
        <f>IF($A21="","", IF(J21&lt;=$F21, "Yes", ""))</f>
        <v>0</v>
      </c>
      <c r="S21">
        <f>IF(R21="Yes", CEILING(MAX($G21, Q21-J21), $G21), 0)</f>
        <v>0</v>
      </c>
      <c r="T21">
        <f>IFERROR(J21/(O21/30),"")</f>
        <v>0</v>
      </c>
    </row>
    <row r="22" spans="10:20">
      <c r="J22">
        <f>IF($A22="","", SUMIFS(Mov_Qty, Mov_Item, $A22))</f>
        <v>0</v>
      </c>
      <c r="K22">
        <f>IF($A22="","", J22 * $E22)</f>
        <v>0</v>
      </c>
      <c r="L22">
        <f>IF($A22="","", SUMIFS(-Mov_Qty, Mov_Item, $A22, Mov_Type, "Consumption", Mov_Date, "&gt;="&amp;$V$2, Mov_Date, "&lt;="&amp;$W$2))</f>
        <v>0</v>
      </c>
      <c r="M22">
        <f>IF($A22="","", SUMIFS(-Mov_Qty, Mov_Item, $A22, Mov_Type, "Consumption", Mov_Date, "&gt;="&amp;$X$2, Mov_Date, "&lt;="&amp;$Y$2))</f>
        <v>0</v>
      </c>
      <c r="N22">
        <f>IF($A22="","", SUMIFS(-Mov_Qty, Mov_Item, $A22, Mov_Type, "Consumption", Mov_Date, "&gt;="&amp;$Z$2, Mov_Date, "&lt;="&amp;$AA$2))</f>
        <v>0</v>
      </c>
      <c r="O22">
        <f>IFERROR(AVERAGE(L22:N22),"")</f>
        <v>0</v>
      </c>
      <c r="P22">
        <f>IF(O22&gt;=Cfg_HiMove, "Yes", "")</f>
        <v>0</v>
      </c>
      <c r="Q22">
        <f>IF($A22="","", $I22 + IFERROR(O22/30*$H22,0))</f>
        <v>0</v>
      </c>
      <c r="R22">
        <f>IF($A22="","", IF(J22&lt;=$F22, "Yes", ""))</f>
        <v>0</v>
      </c>
      <c r="S22">
        <f>IF(R22="Yes", CEILING(MAX($G22, Q22-J22), $G22), 0)</f>
        <v>0</v>
      </c>
      <c r="T22">
        <f>IFERROR(J22/(O22/30),"")</f>
        <v>0</v>
      </c>
    </row>
    <row r="23" spans="10:20">
      <c r="J23">
        <f>IF($A23="","", SUMIFS(Mov_Qty, Mov_Item, $A23))</f>
        <v>0</v>
      </c>
      <c r="K23">
        <f>IF($A23="","", J23 * $E23)</f>
        <v>0</v>
      </c>
      <c r="L23">
        <f>IF($A23="","", SUMIFS(-Mov_Qty, Mov_Item, $A23, Mov_Type, "Consumption", Mov_Date, "&gt;="&amp;$V$2, Mov_Date, "&lt;="&amp;$W$2))</f>
        <v>0</v>
      </c>
      <c r="M23">
        <f>IF($A23="","", SUMIFS(-Mov_Qty, Mov_Item, $A23, Mov_Type, "Consumption", Mov_Date, "&gt;="&amp;$X$2, Mov_Date, "&lt;="&amp;$Y$2))</f>
        <v>0</v>
      </c>
      <c r="N23">
        <f>IF($A23="","", SUMIFS(-Mov_Qty, Mov_Item, $A23, Mov_Type, "Consumption", Mov_Date, "&gt;="&amp;$Z$2, Mov_Date, "&lt;="&amp;$AA$2))</f>
        <v>0</v>
      </c>
      <c r="O23">
        <f>IFERROR(AVERAGE(L23:N23),"")</f>
        <v>0</v>
      </c>
      <c r="P23">
        <f>IF(O23&gt;=Cfg_HiMove, "Yes", "")</f>
        <v>0</v>
      </c>
      <c r="Q23">
        <f>IF($A23="","", $I23 + IFERROR(O23/30*$H23,0))</f>
        <v>0</v>
      </c>
      <c r="R23">
        <f>IF($A23="","", IF(J23&lt;=$F23, "Yes", ""))</f>
        <v>0</v>
      </c>
      <c r="S23">
        <f>IF(R23="Yes", CEILING(MAX($G23, Q23-J23), $G23), 0)</f>
        <v>0</v>
      </c>
      <c r="T23">
        <f>IFERROR(J23/(O23/30),"")</f>
        <v>0</v>
      </c>
    </row>
    <row r="24" spans="10:20">
      <c r="J24">
        <f>IF($A24="","", SUMIFS(Mov_Qty, Mov_Item, $A24))</f>
        <v>0</v>
      </c>
      <c r="K24">
        <f>IF($A24="","", J24 * $E24)</f>
        <v>0</v>
      </c>
      <c r="L24">
        <f>IF($A24="","", SUMIFS(-Mov_Qty, Mov_Item, $A24, Mov_Type, "Consumption", Mov_Date, "&gt;="&amp;$V$2, Mov_Date, "&lt;="&amp;$W$2))</f>
        <v>0</v>
      </c>
      <c r="M24">
        <f>IF($A24="","", SUMIFS(-Mov_Qty, Mov_Item, $A24, Mov_Type, "Consumption", Mov_Date, "&gt;="&amp;$X$2, Mov_Date, "&lt;="&amp;$Y$2))</f>
        <v>0</v>
      </c>
      <c r="N24">
        <f>IF($A24="","", SUMIFS(-Mov_Qty, Mov_Item, $A24, Mov_Type, "Consumption", Mov_Date, "&gt;="&amp;$Z$2, Mov_Date, "&lt;="&amp;$AA$2))</f>
        <v>0</v>
      </c>
      <c r="O24">
        <f>IFERROR(AVERAGE(L24:N24),"")</f>
        <v>0</v>
      </c>
      <c r="P24">
        <f>IF(O24&gt;=Cfg_HiMove, "Yes", "")</f>
        <v>0</v>
      </c>
      <c r="Q24">
        <f>IF($A24="","", $I24 + IFERROR(O24/30*$H24,0))</f>
        <v>0</v>
      </c>
      <c r="R24">
        <f>IF($A24="","", IF(J24&lt;=$F24, "Yes", ""))</f>
        <v>0</v>
      </c>
      <c r="S24">
        <f>IF(R24="Yes", CEILING(MAX($G24, Q24-J24), $G24), 0)</f>
        <v>0</v>
      </c>
      <c r="T24">
        <f>IFERROR(J24/(O24/30),"")</f>
        <v>0</v>
      </c>
    </row>
    <row r="25" spans="10:20">
      <c r="J25">
        <f>IF($A25="","", SUMIFS(Mov_Qty, Mov_Item, $A25))</f>
        <v>0</v>
      </c>
      <c r="K25">
        <f>IF($A25="","", J25 * $E25)</f>
        <v>0</v>
      </c>
      <c r="L25">
        <f>IF($A25="","", SUMIFS(-Mov_Qty, Mov_Item, $A25, Mov_Type, "Consumption", Mov_Date, "&gt;="&amp;$V$2, Mov_Date, "&lt;="&amp;$W$2))</f>
        <v>0</v>
      </c>
      <c r="M25">
        <f>IF($A25="","", SUMIFS(-Mov_Qty, Mov_Item, $A25, Mov_Type, "Consumption", Mov_Date, "&gt;="&amp;$X$2, Mov_Date, "&lt;="&amp;$Y$2))</f>
        <v>0</v>
      </c>
      <c r="N25">
        <f>IF($A25="","", SUMIFS(-Mov_Qty, Mov_Item, $A25, Mov_Type, "Consumption", Mov_Date, "&gt;="&amp;$Z$2, Mov_Date, "&lt;="&amp;$AA$2))</f>
        <v>0</v>
      </c>
      <c r="O25">
        <f>IFERROR(AVERAGE(L25:N25),"")</f>
        <v>0</v>
      </c>
      <c r="P25">
        <f>IF(O25&gt;=Cfg_HiMove, "Yes", "")</f>
        <v>0</v>
      </c>
      <c r="Q25">
        <f>IF($A25="","", $I25 + IFERROR(O25/30*$H25,0))</f>
        <v>0</v>
      </c>
      <c r="R25">
        <f>IF($A25="","", IF(J25&lt;=$F25, "Yes", ""))</f>
        <v>0</v>
      </c>
      <c r="S25">
        <f>IF(R25="Yes", CEILING(MAX($G25, Q25-J25), $G25), 0)</f>
        <v>0</v>
      </c>
      <c r="T25">
        <f>IFERROR(J25/(O25/30),"")</f>
        <v>0</v>
      </c>
    </row>
    <row r="26" spans="10:20">
      <c r="J26">
        <f>IF($A26="","", SUMIFS(Mov_Qty, Mov_Item, $A26))</f>
        <v>0</v>
      </c>
      <c r="K26">
        <f>IF($A26="","", J26 * $E26)</f>
        <v>0</v>
      </c>
      <c r="L26">
        <f>IF($A26="","", SUMIFS(-Mov_Qty, Mov_Item, $A26, Mov_Type, "Consumption", Mov_Date, "&gt;="&amp;$V$2, Mov_Date, "&lt;="&amp;$W$2))</f>
        <v>0</v>
      </c>
      <c r="M26">
        <f>IF($A26="","", SUMIFS(-Mov_Qty, Mov_Item, $A26, Mov_Type, "Consumption", Mov_Date, "&gt;="&amp;$X$2, Mov_Date, "&lt;="&amp;$Y$2))</f>
        <v>0</v>
      </c>
      <c r="N26">
        <f>IF($A26="","", SUMIFS(-Mov_Qty, Mov_Item, $A26, Mov_Type, "Consumption", Mov_Date, "&gt;="&amp;$Z$2, Mov_Date, "&lt;="&amp;$AA$2))</f>
        <v>0</v>
      </c>
      <c r="O26">
        <f>IFERROR(AVERAGE(L26:N26),"")</f>
        <v>0</v>
      </c>
      <c r="P26">
        <f>IF(O26&gt;=Cfg_HiMove, "Yes", "")</f>
        <v>0</v>
      </c>
      <c r="Q26">
        <f>IF($A26="","", $I26 + IFERROR(O26/30*$H26,0))</f>
        <v>0</v>
      </c>
      <c r="R26">
        <f>IF($A26="","", IF(J26&lt;=$F26, "Yes", ""))</f>
        <v>0</v>
      </c>
      <c r="S26">
        <f>IF(R26="Yes", CEILING(MAX($G26, Q26-J26), $G26), 0)</f>
        <v>0</v>
      </c>
      <c r="T26">
        <f>IFERROR(J26/(O26/30),"")</f>
        <v>0</v>
      </c>
    </row>
    <row r="27" spans="10:20">
      <c r="J27">
        <f>IF($A27="","", SUMIFS(Mov_Qty, Mov_Item, $A27))</f>
        <v>0</v>
      </c>
      <c r="K27">
        <f>IF($A27="","", J27 * $E27)</f>
        <v>0</v>
      </c>
      <c r="L27">
        <f>IF($A27="","", SUMIFS(-Mov_Qty, Mov_Item, $A27, Mov_Type, "Consumption", Mov_Date, "&gt;="&amp;$V$2, Mov_Date, "&lt;="&amp;$W$2))</f>
        <v>0</v>
      </c>
      <c r="M27">
        <f>IF($A27="","", SUMIFS(-Mov_Qty, Mov_Item, $A27, Mov_Type, "Consumption", Mov_Date, "&gt;="&amp;$X$2, Mov_Date, "&lt;="&amp;$Y$2))</f>
        <v>0</v>
      </c>
      <c r="N27">
        <f>IF($A27="","", SUMIFS(-Mov_Qty, Mov_Item, $A27, Mov_Type, "Consumption", Mov_Date, "&gt;="&amp;$Z$2, Mov_Date, "&lt;="&amp;$AA$2))</f>
        <v>0</v>
      </c>
      <c r="O27">
        <f>IFERROR(AVERAGE(L27:N27),"")</f>
        <v>0</v>
      </c>
      <c r="P27">
        <f>IF(O27&gt;=Cfg_HiMove, "Yes", "")</f>
        <v>0</v>
      </c>
      <c r="Q27">
        <f>IF($A27="","", $I27 + IFERROR(O27/30*$H27,0))</f>
        <v>0</v>
      </c>
      <c r="R27">
        <f>IF($A27="","", IF(J27&lt;=$F27, "Yes", ""))</f>
        <v>0</v>
      </c>
      <c r="S27">
        <f>IF(R27="Yes", CEILING(MAX($G27, Q27-J27), $G27), 0)</f>
        <v>0</v>
      </c>
      <c r="T27">
        <f>IFERROR(J27/(O27/30),"")</f>
        <v>0</v>
      </c>
    </row>
    <row r="28" spans="10:20">
      <c r="J28">
        <f>IF($A28="","", SUMIFS(Mov_Qty, Mov_Item, $A28))</f>
        <v>0</v>
      </c>
      <c r="K28">
        <f>IF($A28="","", J28 * $E28)</f>
        <v>0</v>
      </c>
      <c r="L28">
        <f>IF($A28="","", SUMIFS(-Mov_Qty, Mov_Item, $A28, Mov_Type, "Consumption", Mov_Date, "&gt;="&amp;$V$2, Mov_Date, "&lt;="&amp;$W$2))</f>
        <v>0</v>
      </c>
      <c r="M28">
        <f>IF($A28="","", SUMIFS(-Mov_Qty, Mov_Item, $A28, Mov_Type, "Consumption", Mov_Date, "&gt;="&amp;$X$2, Mov_Date, "&lt;="&amp;$Y$2))</f>
        <v>0</v>
      </c>
      <c r="N28">
        <f>IF($A28="","", SUMIFS(-Mov_Qty, Mov_Item, $A28, Mov_Type, "Consumption", Mov_Date, "&gt;="&amp;$Z$2, Mov_Date, "&lt;="&amp;$AA$2))</f>
        <v>0</v>
      </c>
      <c r="O28">
        <f>IFERROR(AVERAGE(L28:N28),"")</f>
        <v>0</v>
      </c>
      <c r="P28">
        <f>IF(O28&gt;=Cfg_HiMove, "Yes", "")</f>
        <v>0</v>
      </c>
      <c r="Q28">
        <f>IF($A28="","", $I28 + IFERROR(O28/30*$H28,0))</f>
        <v>0</v>
      </c>
      <c r="R28">
        <f>IF($A28="","", IF(J28&lt;=$F28, "Yes", ""))</f>
        <v>0</v>
      </c>
      <c r="S28">
        <f>IF(R28="Yes", CEILING(MAX($G28, Q28-J28), $G28), 0)</f>
        <v>0</v>
      </c>
      <c r="T28">
        <f>IFERROR(J28/(O28/30),"")</f>
        <v>0</v>
      </c>
    </row>
    <row r="29" spans="10:20">
      <c r="J29">
        <f>IF($A29="","", SUMIFS(Mov_Qty, Mov_Item, $A29))</f>
        <v>0</v>
      </c>
      <c r="K29">
        <f>IF($A29="","", J29 * $E29)</f>
        <v>0</v>
      </c>
      <c r="L29">
        <f>IF($A29="","", SUMIFS(-Mov_Qty, Mov_Item, $A29, Mov_Type, "Consumption", Mov_Date, "&gt;="&amp;$V$2, Mov_Date, "&lt;="&amp;$W$2))</f>
        <v>0</v>
      </c>
      <c r="M29">
        <f>IF($A29="","", SUMIFS(-Mov_Qty, Mov_Item, $A29, Mov_Type, "Consumption", Mov_Date, "&gt;="&amp;$X$2, Mov_Date, "&lt;="&amp;$Y$2))</f>
        <v>0</v>
      </c>
      <c r="N29">
        <f>IF($A29="","", SUMIFS(-Mov_Qty, Mov_Item, $A29, Mov_Type, "Consumption", Mov_Date, "&gt;="&amp;$Z$2, Mov_Date, "&lt;="&amp;$AA$2))</f>
        <v>0</v>
      </c>
      <c r="O29">
        <f>IFERROR(AVERAGE(L29:N29),"")</f>
        <v>0</v>
      </c>
      <c r="P29">
        <f>IF(O29&gt;=Cfg_HiMove, "Yes", "")</f>
        <v>0</v>
      </c>
      <c r="Q29">
        <f>IF($A29="","", $I29 + IFERROR(O29/30*$H29,0))</f>
        <v>0</v>
      </c>
      <c r="R29">
        <f>IF($A29="","", IF(J29&lt;=$F29, "Yes", ""))</f>
        <v>0</v>
      </c>
      <c r="S29">
        <f>IF(R29="Yes", CEILING(MAX($G29, Q29-J29), $G29), 0)</f>
        <v>0</v>
      </c>
      <c r="T29">
        <f>IFERROR(J29/(O29/30),"")</f>
        <v>0</v>
      </c>
    </row>
    <row r="30" spans="10:20">
      <c r="J30">
        <f>IF($A30="","", SUMIFS(Mov_Qty, Mov_Item, $A30))</f>
        <v>0</v>
      </c>
      <c r="K30">
        <f>IF($A30="","", J30 * $E30)</f>
        <v>0</v>
      </c>
      <c r="L30">
        <f>IF($A30="","", SUMIFS(-Mov_Qty, Mov_Item, $A30, Mov_Type, "Consumption", Mov_Date, "&gt;="&amp;$V$2, Mov_Date, "&lt;="&amp;$W$2))</f>
        <v>0</v>
      </c>
      <c r="M30">
        <f>IF($A30="","", SUMIFS(-Mov_Qty, Mov_Item, $A30, Mov_Type, "Consumption", Mov_Date, "&gt;="&amp;$X$2, Mov_Date, "&lt;="&amp;$Y$2))</f>
        <v>0</v>
      </c>
      <c r="N30">
        <f>IF($A30="","", SUMIFS(-Mov_Qty, Mov_Item, $A30, Mov_Type, "Consumption", Mov_Date, "&gt;="&amp;$Z$2, Mov_Date, "&lt;="&amp;$AA$2))</f>
        <v>0</v>
      </c>
      <c r="O30">
        <f>IFERROR(AVERAGE(L30:N30),"")</f>
        <v>0</v>
      </c>
      <c r="P30">
        <f>IF(O30&gt;=Cfg_HiMove, "Yes", "")</f>
        <v>0</v>
      </c>
      <c r="Q30">
        <f>IF($A30="","", $I30 + IFERROR(O30/30*$H30,0))</f>
        <v>0</v>
      </c>
      <c r="R30">
        <f>IF($A30="","", IF(J30&lt;=$F30, "Yes", ""))</f>
        <v>0</v>
      </c>
      <c r="S30">
        <f>IF(R30="Yes", CEILING(MAX($G30, Q30-J30), $G30), 0)</f>
        <v>0</v>
      </c>
      <c r="T30">
        <f>IFERROR(J30/(O30/30),"")</f>
        <v>0</v>
      </c>
    </row>
    <row r="31" spans="10:20">
      <c r="J31">
        <f>IF($A31="","", SUMIFS(Mov_Qty, Mov_Item, $A31))</f>
        <v>0</v>
      </c>
      <c r="K31">
        <f>IF($A31="","", J31 * $E31)</f>
        <v>0</v>
      </c>
      <c r="L31">
        <f>IF($A31="","", SUMIFS(-Mov_Qty, Mov_Item, $A31, Mov_Type, "Consumption", Mov_Date, "&gt;="&amp;$V$2, Mov_Date, "&lt;="&amp;$W$2))</f>
        <v>0</v>
      </c>
      <c r="M31">
        <f>IF($A31="","", SUMIFS(-Mov_Qty, Mov_Item, $A31, Mov_Type, "Consumption", Mov_Date, "&gt;="&amp;$X$2, Mov_Date, "&lt;="&amp;$Y$2))</f>
        <v>0</v>
      </c>
      <c r="N31">
        <f>IF($A31="","", SUMIFS(-Mov_Qty, Mov_Item, $A31, Mov_Type, "Consumption", Mov_Date, "&gt;="&amp;$Z$2, Mov_Date, "&lt;="&amp;$AA$2))</f>
        <v>0</v>
      </c>
      <c r="O31">
        <f>IFERROR(AVERAGE(L31:N31),"")</f>
        <v>0</v>
      </c>
      <c r="P31">
        <f>IF(O31&gt;=Cfg_HiMove, "Yes", "")</f>
        <v>0</v>
      </c>
      <c r="Q31">
        <f>IF($A31="","", $I31 + IFERROR(O31/30*$H31,0))</f>
        <v>0</v>
      </c>
      <c r="R31">
        <f>IF($A31="","", IF(J31&lt;=$F31, "Yes", ""))</f>
        <v>0</v>
      </c>
      <c r="S31">
        <f>IF(R31="Yes", CEILING(MAX($G31, Q31-J31), $G31), 0)</f>
        <v>0</v>
      </c>
      <c r="T31">
        <f>IFERROR(J31/(O31/30),"")</f>
        <v>0</v>
      </c>
    </row>
    <row r="32" spans="10:20">
      <c r="J32">
        <f>IF($A32="","", SUMIFS(Mov_Qty, Mov_Item, $A32))</f>
        <v>0</v>
      </c>
      <c r="K32">
        <f>IF($A32="","", J32 * $E32)</f>
        <v>0</v>
      </c>
      <c r="L32">
        <f>IF($A32="","", SUMIFS(-Mov_Qty, Mov_Item, $A32, Mov_Type, "Consumption", Mov_Date, "&gt;="&amp;$V$2, Mov_Date, "&lt;="&amp;$W$2))</f>
        <v>0</v>
      </c>
      <c r="M32">
        <f>IF($A32="","", SUMIFS(-Mov_Qty, Mov_Item, $A32, Mov_Type, "Consumption", Mov_Date, "&gt;="&amp;$X$2, Mov_Date, "&lt;="&amp;$Y$2))</f>
        <v>0</v>
      </c>
      <c r="N32">
        <f>IF($A32="","", SUMIFS(-Mov_Qty, Mov_Item, $A32, Mov_Type, "Consumption", Mov_Date, "&gt;="&amp;$Z$2, Mov_Date, "&lt;="&amp;$AA$2))</f>
        <v>0</v>
      </c>
      <c r="O32">
        <f>IFERROR(AVERAGE(L32:N32),"")</f>
        <v>0</v>
      </c>
      <c r="P32">
        <f>IF(O32&gt;=Cfg_HiMove, "Yes", "")</f>
        <v>0</v>
      </c>
      <c r="Q32">
        <f>IF($A32="","", $I32 + IFERROR(O32/30*$H32,0))</f>
        <v>0</v>
      </c>
      <c r="R32">
        <f>IF($A32="","", IF(J32&lt;=$F32, "Yes", ""))</f>
        <v>0</v>
      </c>
      <c r="S32">
        <f>IF(R32="Yes", CEILING(MAX($G32, Q32-J32), $G32), 0)</f>
        <v>0</v>
      </c>
      <c r="T32">
        <f>IFERROR(J32/(O32/30),"")</f>
        <v>0</v>
      </c>
    </row>
    <row r="33" spans="10:20">
      <c r="J33">
        <f>IF($A33="","", SUMIFS(Mov_Qty, Mov_Item, $A33))</f>
        <v>0</v>
      </c>
      <c r="K33">
        <f>IF($A33="","", J33 * $E33)</f>
        <v>0</v>
      </c>
      <c r="L33">
        <f>IF($A33="","", SUMIFS(-Mov_Qty, Mov_Item, $A33, Mov_Type, "Consumption", Mov_Date, "&gt;="&amp;$V$2, Mov_Date, "&lt;="&amp;$W$2))</f>
        <v>0</v>
      </c>
      <c r="M33">
        <f>IF($A33="","", SUMIFS(-Mov_Qty, Mov_Item, $A33, Mov_Type, "Consumption", Mov_Date, "&gt;="&amp;$X$2, Mov_Date, "&lt;="&amp;$Y$2))</f>
        <v>0</v>
      </c>
      <c r="N33">
        <f>IF($A33="","", SUMIFS(-Mov_Qty, Mov_Item, $A33, Mov_Type, "Consumption", Mov_Date, "&gt;="&amp;$Z$2, Mov_Date, "&lt;="&amp;$AA$2))</f>
        <v>0</v>
      </c>
      <c r="O33">
        <f>IFERROR(AVERAGE(L33:N33),"")</f>
        <v>0</v>
      </c>
      <c r="P33">
        <f>IF(O33&gt;=Cfg_HiMove, "Yes", "")</f>
        <v>0</v>
      </c>
      <c r="Q33">
        <f>IF($A33="","", $I33 + IFERROR(O33/30*$H33,0))</f>
        <v>0</v>
      </c>
      <c r="R33">
        <f>IF($A33="","", IF(J33&lt;=$F33, "Yes", ""))</f>
        <v>0</v>
      </c>
      <c r="S33">
        <f>IF(R33="Yes", CEILING(MAX($G33, Q33-J33), $G33), 0)</f>
        <v>0</v>
      </c>
      <c r="T33">
        <f>IFERROR(J33/(O33/30),"")</f>
        <v>0</v>
      </c>
    </row>
    <row r="34" spans="10:20">
      <c r="J34">
        <f>IF($A34="","", SUMIFS(Mov_Qty, Mov_Item, $A34))</f>
        <v>0</v>
      </c>
      <c r="K34">
        <f>IF($A34="","", J34 * $E34)</f>
        <v>0</v>
      </c>
      <c r="L34">
        <f>IF($A34="","", SUMIFS(-Mov_Qty, Mov_Item, $A34, Mov_Type, "Consumption", Mov_Date, "&gt;="&amp;$V$2, Mov_Date, "&lt;="&amp;$W$2))</f>
        <v>0</v>
      </c>
      <c r="M34">
        <f>IF($A34="","", SUMIFS(-Mov_Qty, Mov_Item, $A34, Mov_Type, "Consumption", Mov_Date, "&gt;="&amp;$X$2, Mov_Date, "&lt;="&amp;$Y$2))</f>
        <v>0</v>
      </c>
      <c r="N34">
        <f>IF($A34="","", SUMIFS(-Mov_Qty, Mov_Item, $A34, Mov_Type, "Consumption", Mov_Date, "&gt;="&amp;$Z$2, Mov_Date, "&lt;="&amp;$AA$2))</f>
        <v>0</v>
      </c>
      <c r="O34">
        <f>IFERROR(AVERAGE(L34:N34),"")</f>
        <v>0</v>
      </c>
      <c r="P34">
        <f>IF(O34&gt;=Cfg_HiMove, "Yes", "")</f>
        <v>0</v>
      </c>
      <c r="Q34">
        <f>IF($A34="","", $I34 + IFERROR(O34/30*$H34,0))</f>
        <v>0</v>
      </c>
      <c r="R34">
        <f>IF($A34="","", IF(J34&lt;=$F34, "Yes", ""))</f>
        <v>0</v>
      </c>
      <c r="S34">
        <f>IF(R34="Yes", CEILING(MAX($G34, Q34-J34), $G34), 0)</f>
        <v>0</v>
      </c>
      <c r="T34">
        <f>IFERROR(J34/(O34/30),"")</f>
        <v>0</v>
      </c>
    </row>
    <row r="35" spans="10:20">
      <c r="J35">
        <f>IF($A35="","", SUMIFS(Mov_Qty, Mov_Item, $A35))</f>
        <v>0</v>
      </c>
      <c r="K35">
        <f>IF($A35="","", J35 * $E35)</f>
        <v>0</v>
      </c>
      <c r="L35">
        <f>IF($A35="","", SUMIFS(-Mov_Qty, Mov_Item, $A35, Mov_Type, "Consumption", Mov_Date, "&gt;="&amp;$V$2, Mov_Date, "&lt;="&amp;$W$2))</f>
        <v>0</v>
      </c>
      <c r="M35">
        <f>IF($A35="","", SUMIFS(-Mov_Qty, Mov_Item, $A35, Mov_Type, "Consumption", Mov_Date, "&gt;="&amp;$X$2, Mov_Date, "&lt;="&amp;$Y$2))</f>
        <v>0</v>
      </c>
      <c r="N35">
        <f>IF($A35="","", SUMIFS(-Mov_Qty, Mov_Item, $A35, Mov_Type, "Consumption", Mov_Date, "&gt;="&amp;$Z$2, Mov_Date, "&lt;="&amp;$AA$2))</f>
        <v>0</v>
      </c>
      <c r="O35">
        <f>IFERROR(AVERAGE(L35:N35),"")</f>
        <v>0</v>
      </c>
      <c r="P35">
        <f>IF(O35&gt;=Cfg_HiMove, "Yes", "")</f>
        <v>0</v>
      </c>
      <c r="Q35">
        <f>IF($A35="","", $I35 + IFERROR(O35/30*$H35,0))</f>
        <v>0</v>
      </c>
      <c r="R35">
        <f>IF($A35="","", IF(J35&lt;=$F35, "Yes", ""))</f>
        <v>0</v>
      </c>
      <c r="S35">
        <f>IF(R35="Yes", CEILING(MAX($G35, Q35-J35), $G35), 0)</f>
        <v>0</v>
      </c>
      <c r="T35">
        <f>IFERROR(J35/(O35/30),"")</f>
        <v>0</v>
      </c>
    </row>
    <row r="36" spans="10:20">
      <c r="J36">
        <f>IF($A36="","", SUMIFS(Mov_Qty, Mov_Item, $A36))</f>
        <v>0</v>
      </c>
      <c r="K36">
        <f>IF($A36="","", J36 * $E36)</f>
        <v>0</v>
      </c>
      <c r="L36">
        <f>IF($A36="","", SUMIFS(-Mov_Qty, Mov_Item, $A36, Mov_Type, "Consumption", Mov_Date, "&gt;="&amp;$V$2, Mov_Date, "&lt;="&amp;$W$2))</f>
        <v>0</v>
      </c>
      <c r="M36">
        <f>IF($A36="","", SUMIFS(-Mov_Qty, Mov_Item, $A36, Mov_Type, "Consumption", Mov_Date, "&gt;="&amp;$X$2, Mov_Date, "&lt;="&amp;$Y$2))</f>
        <v>0</v>
      </c>
      <c r="N36">
        <f>IF($A36="","", SUMIFS(-Mov_Qty, Mov_Item, $A36, Mov_Type, "Consumption", Mov_Date, "&gt;="&amp;$Z$2, Mov_Date, "&lt;="&amp;$AA$2))</f>
        <v>0</v>
      </c>
      <c r="O36">
        <f>IFERROR(AVERAGE(L36:N36),"")</f>
        <v>0</v>
      </c>
      <c r="P36">
        <f>IF(O36&gt;=Cfg_HiMove, "Yes", "")</f>
        <v>0</v>
      </c>
      <c r="Q36">
        <f>IF($A36="","", $I36 + IFERROR(O36/30*$H36,0))</f>
        <v>0</v>
      </c>
      <c r="R36">
        <f>IF($A36="","", IF(J36&lt;=$F36, "Yes", ""))</f>
        <v>0</v>
      </c>
      <c r="S36">
        <f>IF(R36="Yes", CEILING(MAX($G36, Q36-J36), $G36), 0)</f>
        <v>0</v>
      </c>
      <c r="T36">
        <f>IFERROR(J36/(O36/30),"")</f>
        <v>0</v>
      </c>
    </row>
    <row r="37" spans="10:20">
      <c r="J37">
        <f>IF($A37="","", SUMIFS(Mov_Qty, Mov_Item, $A37))</f>
        <v>0</v>
      </c>
      <c r="K37">
        <f>IF($A37="","", J37 * $E37)</f>
        <v>0</v>
      </c>
      <c r="L37">
        <f>IF($A37="","", SUMIFS(-Mov_Qty, Mov_Item, $A37, Mov_Type, "Consumption", Mov_Date, "&gt;="&amp;$V$2, Mov_Date, "&lt;="&amp;$W$2))</f>
        <v>0</v>
      </c>
      <c r="M37">
        <f>IF($A37="","", SUMIFS(-Mov_Qty, Mov_Item, $A37, Mov_Type, "Consumption", Mov_Date, "&gt;="&amp;$X$2, Mov_Date, "&lt;="&amp;$Y$2))</f>
        <v>0</v>
      </c>
      <c r="N37">
        <f>IF($A37="","", SUMIFS(-Mov_Qty, Mov_Item, $A37, Mov_Type, "Consumption", Mov_Date, "&gt;="&amp;$Z$2, Mov_Date, "&lt;="&amp;$AA$2))</f>
        <v>0</v>
      </c>
      <c r="O37">
        <f>IFERROR(AVERAGE(L37:N37),"")</f>
        <v>0</v>
      </c>
      <c r="P37">
        <f>IF(O37&gt;=Cfg_HiMove, "Yes", "")</f>
        <v>0</v>
      </c>
      <c r="Q37">
        <f>IF($A37="","", $I37 + IFERROR(O37/30*$H37,0))</f>
        <v>0</v>
      </c>
      <c r="R37">
        <f>IF($A37="","", IF(J37&lt;=$F37, "Yes", ""))</f>
        <v>0</v>
      </c>
      <c r="S37">
        <f>IF(R37="Yes", CEILING(MAX($G37, Q37-J37), $G37), 0)</f>
        <v>0</v>
      </c>
      <c r="T37">
        <f>IFERROR(J37/(O37/30),"")</f>
        <v>0</v>
      </c>
    </row>
    <row r="38" spans="10:20">
      <c r="J38">
        <f>IF($A38="","", SUMIFS(Mov_Qty, Mov_Item, $A38))</f>
        <v>0</v>
      </c>
      <c r="K38">
        <f>IF($A38="","", J38 * $E38)</f>
        <v>0</v>
      </c>
      <c r="L38">
        <f>IF($A38="","", SUMIFS(-Mov_Qty, Mov_Item, $A38, Mov_Type, "Consumption", Mov_Date, "&gt;="&amp;$V$2, Mov_Date, "&lt;="&amp;$W$2))</f>
        <v>0</v>
      </c>
      <c r="M38">
        <f>IF($A38="","", SUMIFS(-Mov_Qty, Mov_Item, $A38, Mov_Type, "Consumption", Mov_Date, "&gt;="&amp;$X$2, Mov_Date, "&lt;="&amp;$Y$2))</f>
        <v>0</v>
      </c>
      <c r="N38">
        <f>IF($A38="","", SUMIFS(-Mov_Qty, Mov_Item, $A38, Mov_Type, "Consumption", Mov_Date, "&gt;="&amp;$Z$2, Mov_Date, "&lt;="&amp;$AA$2))</f>
        <v>0</v>
      </c>
      <c r="O38">
        <f>IFERROR(AVERAGE(L38:N38),"")</f>
        <v>0</v>
      </c>
      <c r="P38">
        <f>IF(O38&gt;=Cfg_HiMove, "Yes", "")</f>
        <v>0</v>
      </c>
      <c r="Q38">
        <f>IF($A38="","", $I38 + IFERROR(O38/30*$H38,0))</f>
        <v>0</v>
      </c>
      <c r="R38">
        <f>IF($A38="","", IF(J38&lt;=$F38, "Yes", ""))</f>
        <v>0</v>
      </c>
      <c r="S38">
        <f>IF(R38="Yes", CEILING(MAX($G38, Q38-J38), $G38), 0)</f>
        <v>0</v>
      </c>
      <c r="T38">
        <f>IFERROR(J38/(O38/30),"")</f>
        <v>0</v>
      </c>
    </row>
    <row r="39" spans="10:20">
      <c r="J39">
        <f>IF($A39="","", SUMIFS(Mov_Qty, Mov_Item, $A39))</f>
        <v>0</v>
      </c>
      <c r="K39">
        <f>IF($A39="","", J39 * $E39)</f>
        <v>0</v>
      </c>
      <c r="L39">
        <f>IF($A39="","", SUMIFS(-Mov_Qty, Mov_Item, $A39, Mov_Type, "Consumption", Mov_Date, "&gt;="&amp;$V$2, Mov_Date, "&lt;="&amp;$W$2))</f>
        <v>0</v>
      </c>
      <c r="M39">
        <f>IF($A39="","", SUMIFS(-Mov_Qty, Mov_Item, $A39, Mov_Type, "Consumption", Mov_Date, "&gt;="&amp;$X$2, Mov_Date, "&lt;="&amp;$Y$2))</f>
        <v>0</v>
      </c>
      <c r="N39">
        <f>IF($A39="","", SUMIFS(-Mov_Qty, Mov_Item, $A39, Mov_Type, "Consumption", Mov_Date, "&gt;="&amp;$Z$2, Mov_Date, "&lt;="&amp;$AA$2))</f>
        <v>0</v>
      </c>
      <c r="O39">
        <f>IFERROR(AVERAGE(L39:N39),"")</f>
        <v>0</v>
      </c>
      <c r="P39">
        <f>IF(O39&gt;=Cfg_HiMove, "Yes", "")</f>
        <v>0</v>
      </c>
      <c r="Q39">
        <f>IF($A39="","", $I39 + IFERROR(O39/30*$H39,0))</f>
        <v>0</v>
      </c>
      <c r="R39">
        <f>IF($A39="","", IF(J39&lt;=$F39, "Yes", ""))</f>
        <v>0</v>
      </c>
      <c r="S39">
        <f>IF(R39="Yes", CEILING(MAX($G39, Q39-J39), $G39), 0)</f>
        <v>0</v>
      </c>
      <c r="T39">
        <f>IFERROR(J39/(O39/30),"")</f>
        <v>0</v>
      </c>
    </row>
    <row r="40" spans="10:20">
      <c r="J40">
        <f>IF($A40="","", SUMIFS(Mov_Qty, Mov_Item, $A40))</f>
        <v>0</v>
      </c>
      <c r="K40">
        <f>IF($A40="","", J40 * $E40)</f>
        <v>0</v>
      </c>
      <c r="L40">
        <f>IF($A40="","", SUMIFS(-Mov_Qty, Mov_Item, $A40, Mov_Type, "Consumption", Mov_Date, "&gt;="&amp;$V$2, Mov_Date, "&lt;="&amp;$W$2))</f>
        <v>0</v>
      </c>
      <c r="M40">
        <f>IF($A40="","", SUMIFS(-Mov_Qty, Mov_Item, $A40, Mov_Type, "Consumption", Mov_Date, "&gt;="&amp;$X$2, Mov_Date, "&lt;="&amp;$Y$2))</f>
        <v>0</v>
      </c>
      <c r="N40">
        <f>IF($A40="","", SUMIFS(-Mov_Qty, Mov_Item, $A40, Mov_Type, "Consumption", Mov_Date, "&gt;="&amp;$Z$2, Mov_Date, "&lt;="&amp;$AA$2))</f>
        <v>0</v>
      </c>
      <c r="O40">
        <f>IFERROR(AVERAGE(L40:N40),"")</f>
        <v>0</v>
      </c>
      <c r="P40">
        <f>IF(O40&gt;=Cfg_HiMove, "Yes", "")</f>
        <v>0</v>
      </c>
      <c r="Q40">
        <f>IF($A40="","", $I40 + IFERROR(O40/30*$H40,0))</f>
        <v>0</v>
      </c>
      <c r="R40">
        <f>IF($A40="","", IF(J40&lt;=$F40, "Yes", ""))</f>
        <v>0</v>
      </c>
      <c r="S40">
        <f>IF(R40="Yes", CEILING(MAX($G40, Q40-J40), $G40), 0)</f>
        <v>0</v>
      </c>
      <c r="T40">
        <f>IFERROR(J40/(O40/30),"")</f>
        <v>0</v>
      </c>
    </row>
    <row r="41" spans="10:20">
      <c r="J41">
        <f>IF($A41="","", SUMIFS(Mov_Qty, Mov_Item, $A41))</f>
        <v>0</v>
      </c>
      <c r="K41">
        <f>IF($A41="","", J41 * $E41)</f>
        <v>0</v>
      </c>
      <c r="L41">
        <f>IF($A41="","", SUMIFS(-Mov_Qty, Mov_Item, $A41, Mov_Type, "Consumption", Mov_Date, "&gt;="&amp;$V$2, Mov_Date, "&lt;="&amp;$W$2))</f>
        <v>0</v>
      </c>
      <c r="M41">
        <f>IF($A41="","", SUMIFS(-Mov_Qty, Mov_Item, $A41, Mov_Type, "Consumption", Mov_Date, "&gt;="&amp;$X$2, Mov_Date, "&lt;="&amp;$Y$2))</f>
        <v>0</v>
      </c>
      <c r="N41">
        <f>IF($A41="","", SUMIFS(-Mov_Qty, Mov_Item, $A41, Mov_Type, "Consumption", Mov_Date, "&gt;="&amp;$Z$2, Mov_Date, "&lt;="&amp;$AA$2))</f>
        <v>0</v>
      </c>
      <c r="O41">
        <f>IFERROR(AVERAGE(L41:N41),"")</f>
        <v>0</v>
      </c>
      <c r="P41">
        <f>IF(O41&gt;=Cfg_HiMove, "Yes", "")</f>
        <v>0</v>
      </c>
      <c r="Q41">
        <f>IF($A41="","", $I41 + IFERROR(O41/30*$H41,0))</f>
        <v>0</v>
      </c>
      <c r="R41">
        <f>IF($A41="","", IF(J41&lt;=$F41, "Yes", ""))</f>
        <v>0</v>
      </c>
      <c r="S41">
        <f>IF(R41="Yes", CEILING(MAX($G41, Q41-J41), $G41), 0)</f>
        <v>0</v>
      </c>
      <c r="T41">
        <f>IFERROR(J41/(O41/30),"")</f>
        <v>0</v>
      </c>
    </row>
    <row r="42" spans="10:20">
      <c r="J42">
        <f>IF($A42="","", SUMIFS(Mov_Qty, Mov_Item, $A42))</f>
        <v>0</v>
      </c>
      <c r="K42">
        <f>IF($A42="","", J42 * $E42)</f>
        <v>0</v>
      </c>
      <c r="L42">
        <f>IF($A42="","", SUMIFS(-Mov_Qty, Mov_Item, $A42, Mov_Type, "Consumption", Mov_Date, "&gt;="&amp;$V$2, Mov_Date, "&lt;="&amp;$W$2))</f>
        <v>0</v>
      </c>
      <c r="M42">
        <f>IF($A42="","", SUMIFS(-Mov_Qty, Mov_Item, $A42, Mov_Type, "Consumption", Mov_Date, "&gt;="&amp;$X$2, Mov_Date, "&lt;="&amp;$Y$2))</f>
        <v>0</v>
      </c>
      <c r="N42">
        <f>IF($A42="","", SUMIFS(-Mov_Qty, Mov_Item, $A42, Mov_Type, "Consumption", Mov_Date, "&gt;="&amp;$Z$2, Mov_Date, "&lt;="&amp;$AA$2))</f>
        <v>0</v>
      </c>
      <c r="O42">
        <f>IFERROR(AVERAGE(L42:N42),"")</f>
        <v>0</v>
      </c>
      <c r="P42">
        <f>IF(O42&gt;=Cfg_HiMove, "Yes", "")</f>
        <v>0</v>
      </c>
      <c r="Q42">
        <f>IF($A42="","", $I42 + IFERROR(O42/30*$H42,0))</f>
        <v>0</v>
      </c>
      <c r="R42">
        <f>IF($A42="","", IF(J42&lt;=$F42, "Yes", ""))</f>
        <v>0</v>
      </c>
      <c r="S42">
        <f>IF(R42="Yes", CEILING(MAX($G42, Q42-J42), $G42), 0)</f>
        <v>0</v>
      </c>
      <c r="T42">
        <f>IFERROR(J42/(O42/30),"")</f>
        <v>0</v>
      </c>
    </row>
    <row r="43" spans="10:20">
      <c r="J43">
        <f>IF($A43="","", SUMIFS(Mov_Qty, Mov_Item, $A43))</f>
        <v>0</v>
      </c>
      <c r="K43">
        <f>IF($A43="","", J43 * $E43)</f>
        <v>0</v>
      </c>
      <c r="L43">
        <f>IF($A43="","", SUMIFS(-Mov_Qty, Mov_Item, $A43, Mov_Type, "Consumption", Mov_Date, "&gt;="&amp;$V$2, Mov_Date, "&lt;="&amp;$W$2))</f>
        <v>0</v>
      </c>
      <c r="M43">
        <f>IF($A43="","", SUMIFS(-Mov_Qty, Mov_Item, $A43, Mov_Type, "Consumption", Mov_Date, "&gt;="&amp;$X$2, Mov_Date, "&lt;="&amp;$Y$2))</f>
        <v>0</v>
      </c>
      <c r="N43">
        <f>IF($A43="","", SUMIFS(-Mov_Qty, Mov_Item, $A43, Mov_Type, "Consumption", Mov_Date, "&gt;="&amp;$Z$2, Mov_Date, "&lt;="&amp;$AA$2))</f>
        <v>0</v>
      </c>
      <c r="O43">
        <f>IFERROR(AVERAGE(L43:N43),"")</f>
        <v>0</v>
      </c>
      <c r="P43">
        <f>IF(O43&gt;=Cfg_HiMove, "Yes", "")</f>
        <v>0</v>
      </c>
      <c r="Q43">
        <f>IF($A43="","", $I43 + IFERROR(O43/30*$H43,0))</f>
        <v>0</v>
      </c>
      <c r="R43">
        <f>IF($A43="","", IF(J43&lt;=$F43, "Yes", ""))</f>
        <v>0</v>
      </c>
      <c r="S43">
        <f>IF(R43="Yes", CEILING(MAX($G43, Q43-J43), $G43), 0)</f>
        <v>0</v>
      </c>
      <c r="T43">
        <f>IFERROR(J43/(O43/30),"")</f>
        <v>0</v>
      </c>
    </row>
    <row r="44" spans="10:20">
      <c r="J44">
        <f>IF($A44="","", SUMIFS(Mov_Qty, Mov_Item, $A44))</f>
        <v>0</v>
      </c>
      <c r="K44">
        <f>IF($A44="","", J44 * $E44)</f>
        <v>0</v>
      </c>
      <c r="L44">
        <f>IF($A44="","", SUMIFS(-Mov_Qty, Mov_Item, $A44, Mov_Type, "Consumption", Mov_Date, "&gt;="&amp;$V$2, Mov_Date, "&lt;="&amp;$W$2))</f>
        <v>0</v>
      </c>
      <c r="M44">
        <f>IF($A44="","", SUMIFS(-Mov_Qty, Mov_Item, $A44, Mov_Type, "Consumption", Mov_Date, "&gt;="&amp;$X$2, Mov_Date, "&lt;="&amp;$Y$2))</f>
        <v>0</v>
      </c>
      <c r="N44">
        <f>IF($A44="","", SUMIFS(-Mov_Qty, Mov_Item, $A44, Mov_Type, "Consumption", Mov_Date, "&gt;="&amp;$Z$2, Mov_Date, "&lt;="&amp;$AA$2))</f>
        <v>0</v>
      </c>
      <c r="O44">
        <f>IFERROR(AVERAGE(L44:N44),"")</f>
        <v>0</v>
      </c>
      <c r="P44">
        <f>IF(O44&gt;=Cfg_HiMove, "Yes", "")</f>
        <v>0</v>
      </c>
      <c r="Q44">
        <f>IF($A44="","", $I44 + IFERROR(O44/30*$H44,0))</f>
        <v>0</v>
      </c>
      <c r="R44">
        <f>IF($A44="","", IF(J44&lt;=$F44, "Yes", ""))</f>
        <v>0</v>
      </c>
      <c r="S44">
        <f>IF(R44="Yes", CEILING(MAX($G44, Q44-J44), $G44), 0)</f>
        <v>0</v>
      </c>
      <c r="T44">
        <f>IFERROR(J44/(O44/30),"")</f>
        <v>0</v>
      </c>
    </row>
    <row r="45" spans="10:20">
      <c r="J45">
        <f>IF($A45="","", SUMIFS(Mov_Qty, Mov_Item, $A45))</f>
        <v>0</v>
      </c>
      <c r="K45">
        <f>IF($A45="","", J45 * $E45)</f>
        <v>0</v>
      </c>
      <c r="L45">
        <f>IF($A45="","", SUMIFS(-Mov_Qty, Mov_Item, $A45, Mov_Type, "Consumption", Mov_Date, "&gt;="&amp;$V$2, Mov_Date, "&lt;="&amp;$W$2))</f>
        <v>0</v>
      </c>
      <c r="M45">
        <f>IF($A45="","", SUMIFS(-Mov_Qty, Mov_Item, $A45, Mov_Type, "Consumption", Mov_Date, "&gt;="&amp;$X$2, Mov_Date, "&lt;="&amp;$Y$2))</f>
        <v>0</v>
      </c>
      <c r="N45">
        <f>IF($A45="","", SUMIFS(-Mov_Qty, Mov_Item, $A45, Mov_Type, "Consumption", Mov_Date, "&gt;="&amp;$Z$2, Mov_Date, "&lt;="&amp;$AA$2))</f>
        <v>0</v>
      </c>
      <c r="O45">
        <f>IFERROR(AVERAGE(L45:N45),"")</f>
        <v>0</v>
      </c>
      <c r="P45">
        <f>IF(O45&gt;=Cfg_HiMove, "Yes", "")</f>
        <v>0</v>
      </c>
      <c r="Q45">
        <f>IF($A45="","", $I45 + IFERROR(O45/30*$H45,0))</f>
        <v>0</v>
      </c>
      <c r="R45">
        <f>IF($A45="","", IF(J45&lt;=$F45, "Yes", ""))</f>
        <v>0</v>
      </c>
      <c r="S45">
        <f>IF(R45="Yes", CEILING(MAX($G45, Q45-J45), $G45), 0)</f>
        <v>0</v>
      </c>
      <c r="T45">
        <f>IFERROR(J45/(O45/30),"")</f>
        <v>0</v>
      </c>
    </row>
    <row r="46" spans="10:20">
      <c r="J46">
        <f>IF($A46="","", SUMIFS(Mov_Qty, Mov_Item, $A46))</f>
        <v>0</v>
      </c>
      <c r="K46">
        <f>IF($A46="","", J46 * $E46)</f>
        <v>0</v>
      </c>
      <c r="L46">
        <f>IF($A46="","", SUMIFS(-Mov_Qty, Mov_Item, $A46, Mov_Type, "Consumption", Mov_Date, "&gt;="&amp;$V$2, Mov_Date, "&lt;="&amp;$W$2))</f>
        <v>0</v>
      </c>
      <c r="M46">
        <f>IF($A46="","", SUMIFS(-Mov_Qty, Mov_Item, $A46, Mov_Type, "Consumption", Mov_Date, "&gt;="&amp;$X$2, Mov_Date, "&lt;="&amp;$Y$2))</f>
        <v>0</v>
      </c>
      <c r="N46">
        <f>IF($A46="","", SUMIFS(-Mov_Qty, Mov_Item, $A46, Mov_Type, "Consumption", Mov_Date, "&gt;="&amp;$Z$2, Mov_Date, "&lt;="&amp;$AA$2))</f>
        <v>0</v>
      </c>
      <c r="O46">
        <f>IFERROR(AVERAGE(L46:N46),"")</f>
        <v>0</v>
      </c>
      <c r="P46">
        <f>IF(O46&gt;=Cfg_HiMove, "Yes", "")</f>
        <v>0</v>
      </c>
      <c r="Q46">
        <f>IF($A46="","", $I46 + IFERROR(O46/30*$H46,0))</f>
        <v>0</v>
      </c>
      <c r="R46">
        <f>IF($A46="","", IF(J46&lt;=$F46, "Yes", ""))</f>
        <v>0</v>
      </c>
      <c r="S46">
        <f>IF(R46="Yes", CEILING(MAX($G46, Q46-J46), $G46), 0)</f>
        <v>0</v>
      </c>
      <c r="T46">
        <f>IFERROR(J46/(O46/30),"")</f>
        <v>0</v>
      </c>
    </row>
    <row r="47" spans="10:20">
      <c r="J47">
        <f>IF($A47="","", SUMIFS(Mov_Qty, Mov_Item, $A47))</f>
        <v>0</v>
      </c>
      <c r="K47">
        <f>IF($A47="","", J47 * $E47)</f>
        <v>0</v>
      </c>
      <c r="L47">
        <f>IF($A47="","", SUMIFS(-Mov_Qty, Mov_Item, $A47, Mov_Type, "Consumption", Mov_Date, "&gt;="&amp;$V$2, Mov_Date, "&lt;="&amp;$W$2))</f>
        <v>0</v>
      </c>
      <c r="M47">
        <f>IF($A47="","", SUMIFS(-Mov_Qty, Mov_Item, $A47, Mov_Type, "Consumption", Mov_Date, "&gt;="&amp;$X$2, Mov_Date, "&lt;="&amp;$Y$2))</f>
        <v>0</v>
      </c>
      <c r="N47">
        <f>IF($A47="","", SUMIFS(-Mov_Qty, Mov_Item, $A47, Mov_Type, "Consumption", Mov_Date, "&gt;="&amp;$Z$2, Mov_Date, "&lt;="&amp;$AA$2))</f>
        <v>0</v>
      </c>
      <c r="O47">
        <f>IFERROR(AVERAGE(L47:N47),"")</f>
        <v>0</v>
      </c>
      <c r="P47">
        <f>IF(O47&gt;=Cfg_HiMove, "Yes", "")</f>
        <v>0</v>
      </c>
      <c r="Q47">
        <f>IF($A47="","", $I47 + IFERROR(O47/30*$H47,0))</f>
        <v>0</v>
      </c>
      <c r="R47">
        <f>IF($A47="","", IF(J47&lt;=$F47, "Yes", ""))</f>
        <v>0</v>
      </c>
      <c r="S47">
        <f>IF(R47="Yes", CEILING(MAX($G47, Q47-J47), $G47), 0)</f>
        <v>0</v>
      </c>
      <c r="T47">
        <f>IFERROR(J47/(O47/30),"")</f>
        <v>0</v>
      </c>
    </row>
    <row r="48" spans="10:20">
      <c r="J48">
        <f>IF($A48="","", SUMIFS(Mov_Qty, Mov_Item, $A48))</f>
        <v>0</v>
      </c>
      <c r="K48">
        <f>IF($A48="","", J48 * $E48)</f>
        <v>0</v>
      </c>
      <c r="L48">
        <f>IF($A48="","", SUMIFS(-Mov_Qty, Mov_Item, $A48, Mov_Type, "Consumption", Mov_Date, "&gt;="&amp;$V$2, Mov_Date, "&lt;="&amp;$W$2))</f>
        <v>0</v>
      </c>
      <c r="M48">
        <f>IF($A48="","", SUMIFS(-Mov_Qty, Mov_Item, $A48, Mov_Type, "Consumption", Mov_Date, "&gt;="&amp;$X$2, Mov_Date, "&lt;="&amp;$Y$2))</f>
        <v>0</v>
      </c>
      <c r="N48">
        <f>IF($A48="","", SUMIFS(-Mov_Qty, Mov_Item, $A48, Mov_Type, "Consumption", Mov_Date, "&gt;="&amp;$Z$2, Mov_Date, "&lt;="&amp;$AA$2))</f>
        <v>0</v>
      </c>
      <c r="O48">
        <f>IFERROR(AVERAGE(L48:N48),"")</f>
        <v>0</v>
      </c>
      <c r="P48">
        <f>IF(O48&gt;=Cfg_HiMove, "Yes", "")</f>
        <v>0</v>
      </c>
      <c r="Q48">
        <f>IF($A48="","", $I48 + IFERROR(O48/30*$H48,0))</f>
        <v>0</v>
      </c>
      <c r="R48">
        <f>IF($A48="","", IF(J48&lt;=$F48, "Yes", ""))</f>
        <v>0</v>
      </c>
      <c r="S48">
        <f>IF(R48="Yes", CEILING(MAX($G48, Q48-J48), $G48), 0)</f>
        <v>0</v>
      </c>
      <c r="T48">
        <f>IFERROR(J48/(O48/30),"")</f>
        <v>0</v>
      </c>
    </row>
    <row r="49" spans="10:20">
      <c r="J49">
        <f>IF($A49="","", SUMIFS(Mov_Qty, Mov_Item, $A49))</f>
        <v>0</v>
      </c>
      <c r="K49">
        <f>IF($A49="","", J49 * $E49)</f>
        <v>0</v>
      </c>
      <c r="L49">
        <f>IF($A49="","", SUMIFS(-Mov_Qty, Mov_Item, $A49, Mov_Type, "Consumption", Mov_Date, "&gt;="&amp;$V$2, Mov_Date, "&lt;="&amp;$W$2))</f>
        <v>0</v>
      </c>
      <c r="M49">
        <f>IF($A49="","", SUMIFS(-Mov_Qty, Mov_Item, $A49, Mov_Type, "Consumption", Mov_Date, "&gt;="&amp;$X$2, Mov_Date, "&lt;="&amp;$Y$2))</f>
        <v>0</v>
      </c>
      <c r="N49">
        <f>IF($A49="","", SUMIFS(-Mov_Qty, Mov_Item, $A49, Mov_Type, "Consumption", Mov_Date, "&gt;="&amp;$Z$2, Mov_Date, "&lt;="&amp;$AA$2))</f>
        <v>0</v>
      </c>
      <c r="O49">
        <f>IFERROR(AVERAGE(L49:N49),"")</f>
        <v>0</v>
      </c>
      <c r="P49">
        <f>IF(O49&gt;=Cfg_HiMove, "Yes", "")</f>
        <v>0</v>
      </c>
      <c r="Q49">
        <f>IF($A49="","", $I49 + IFERROR(O49/30*$H49,0))</f>
        <v>0</v>
      </c>
      <c r="R49">
        <f>IF($A49="","", IF(J49&lt;=$F49, "Yes", ""))</f>
        <v>0</v>
      </c>
      <c r="S49">
        <f>IF(R49="Yes", CEILING(MAX($G49, Q49-J49), $G49), 0)</f>
        <v>0</v>
      </c>
      <c r="T49">
        <f>IFERROR(J49/(O49/30),"")</f>
        <v>0</v>
      </c>
    </row>
    <row r="50" spans="10:20">
      <c r="J50">
        <f>IF($A50="","", SUMIFS(Mov_Qty, Mov_Item, $A50))</f>
        <v>0</v>
      </c>
      <c r="K50">
        <f>IF($A50="","", J50 * $E50)</f>
        <v>0</v>
      </c>
      <c r="L50">
        <f>IF($A50="","", SUMIFS(-Mov_Qty, Mov_Item, $A50, Mov_Type, "Consumption", Mov_Date, "&gt;="&amp;$V$2, Mov_Date, "&lt;="&amp;$W$2))</f>
        <v>0</v>
      </c>
      <c r="M50">
        <f>IF($A50="","", SUMIFS(-Mov_Qty, Mov_Item, $A50, Mov_Type, "Consumption", Mov_Date, "&gt;="&amp;$X$2, Mov_Date, "&lt;="&amp;$Y$2))</f>
        <v>0</v>
      </c>
      <c r="N50">
        <f>IF($A50="","", SUMIFS(-Mov_Qty, Mov_Item, $A50, Mov_Type, "Consumption", Mov_Date, "&gt;="&amp;$Z$2, Mov_Date, "&lt;="&amp;$AA$2))</f>
        <v>0</v>
      </c>
      <c r="O50">
        <f>IFERROR(AVERAGE(L50:N50),"")</f>
        <v>0</v>
      </c>
      <c r="P50">
        <f>IF(O50&gt;=Cfg_HiMove, "Yes", "")</f>
        <v>0</v>
      </c>
      <c r="Q50">
        <f>IF($A50="","", $I50 + IFERROR(O50/30*$H50,0))</f>
        <v>0</v>
      </c>
      <c r="R50">
        <f>IF($A50="","", IF(J50&lt;=$F50, "Yes", ""))</f>
        <v>0</v>
      </c>
      <c r="S50">
        <f>IF(R50="Yes", CEILING(MAX($G50, Q50-J50), $G50), 0)</f>
        <v>0</v>
      </c>
      <c r="T50">
        <f>IFERROR(J50/(O50/30),"")</f>
        <v>0</v>
      </c>
    </row>
    <row r="51" spans="10:20">
      <c r="J51">
        <f>IF($A51="","", SUMIFS(Mov_Qty, Mov_Item, $A51))</f>
        <v>0</v>
      </c>
      <c r="K51">
        <f>IF($A51="","", J51 * $E51)</f>
        <v>0</v>
      </c>
      <c r="L51">
        <f>IF($A51="","", SUMIFS(-Mov_Qty, Mov_Item, $A51, Mov_Type, "Consumption", Mov_Date, "&gt;="&amp;$V$2, Mov_Date, "&lt;="&amp;$W$2))</f>
        <v>0</v>
      </c>
      <c r="M51">
        <f>IF($A51="","", SUMIFS(-Mov_Qty, Mov_Item, $A51, Mov_Type, "Consumption", Mov_Date, "&gt;="&amp;$X$2, Mov_Date, "&lt;="&amp;$Y$2))</f>
        <v>0</v>
      </c>
      <c r="N51">
        <f>IF($A51="","", SUMIFS(-Mov_Qty, Mov_Item, $A51, Mov_Type, "Consumption", Mov_Date, "&gt;="&amp;$Z$2, Mov_Date, "&lt;="&amp;$AA$2))</f>
        <v>0</v>
      </c>
      <c r="O51">
        <f>IFERROR(AVERAGE(L51:N51),"")</f>
        <v>0</v>
      </c>
      <c r="P51">
        <f>IF(O51&gt;=Cfg_HiMove, "Yes", "")</f>
        <v>0</v>
      </c>
      <c r="Q51">
        <f>IF($A51="","", $I51 + IFERROR(O51/30*$H51,0))</f>
        <v>0</v>
      </c>
      <c r="R51">
        <f>IF($A51="","", IF(J51&lt;=$F51, "Yes", ""))</f>
        <v>0</v>
      </c>
      <c r="S51">
        <f>IF(R51="Yes", CEILING(MAX($G51, Q51-J51), $G51), 0)</f>
        <v>0</v>
      </c>
      <c r="T51">
        <f>IFERROR(J51/(O51/30),"")</f>
        <v>0</v>
      </c>
    </row>
    <row r="52" spans="10:20">
      <c r="J52">
        <f>IF($A52="","", SUMIFS(Mov_Qty, Mov_Item, $A52))</f>
        <v>0</v>
      </c>
      <c r="K52">
        <f>IF($A52="","", J52 * $E52)</f>
        <v>0</v>
      </c>
      <c r="L52">
        <f>IF($A52="","", SUMIFS(-Mov_Qty, Mov_Item, $A52, Mov_Type, "Consumption", Mov_Date, "&gt;="&amp;$V$2, Mov_Date, "&lt;="&amp;$W$2))</f>
        <v>0</v>
      </c>
      <c r="M52">
        <f>IF($A52="","", SUMIFS(-Mov_Qty, Mov_Item, $A52, Mov_Type, "Consumption", Mov_Date, "&gt;="&amp;$X$2, Mov_Date, "&lt;="&amp;$Y$2))</f>
        <v>0</v>
      </c>
      <c r="N52">
        <f>IF($A52="","", SUMIFS(-Mov_Qty, Mov_Item, $A52, Mov_Type, "Consumption", Mov_Date, "&gt;="&amp;$Z$2, Mov_Date, "&lt;="&amp;$AA$2))</f>
        <v>0</v>
      </c>
      <c r="O52">
        <f>IFERROR(AVERAGE(L52:N52),"")</f>
        <v>0</v>
      </c>
      <c r="P52">
        <f>IF(O52&gt;=Cfg_HiMove, "Yes", "")</f>
        <v>0</v>
      </c>
      <c r="Q52">
        <f>IF($A52="","", $I52 + IFERROR(O52/30*$H52,0))</f>
        <v>0</v>
      </c>
      <c r="R52">
        <f>IF($A52="","", IF(J52&lt;=$F52, "Yes", ""))</f>
        <v>0</v>
      </c>
      <c r="S52">
        <f>IF(R52="Yes", CEILING(MAX($G52, Q52-J52), $G52), 0)</f>
        <v>0</v>
      </c>
      <c r="T52">
        <f>IFERROR(J52/(O52/30),"")</f>
        <v>0</v>
      </c>
    </row>
    <row r="53" spans="10:20">
      <c r="J53">
        <f>IF($A53="","", SUMIFS(Mov_Qty, Mov_Item, $A53))</f>
        <v>0</v>
      </c>
      <c r="K53">
        <f>IF($A53="","", J53 * $E53)</f>
        <v>0</v>
      </c>
      <c r="L53">
        <f>IF($A53="","", SUMIFS(-Mov_Qty, Mov_Item, $A53, Mov_Type, "Consumption", Mov_Date, "&gt;="&amp;$V$2, Mov_Date, "&lt;="&amp;$W$2))</f>
        <v>0</v>
      </c>
      <c r="M53">
        <f>IF($A53="","", SUMIFS(-Mov_Qty, Mov_Item, $A53, Mov_Type, "Consumption", Mov_Date, "&gt;="&amp;$X$2, Mov_Date, "&lt;="&amp;$Y$2))</f>
        <v>0</v>
      </c>
      <c r="N53">
        <f>IF($A53="","", SUMIFS(-Mov_Qty, Mov_Item, $A53, Mov_Type, "Consumption", Mov_Date, "&gt;="&amp;$Z$2, Mov_Date, "&lt;="&amp;$AA$2))</f>
        <v>0</v>
      </c>
      <c r="O53">
        <f>IFERROR(AVERAGE(L53:N53),"")</f>
        <v>0</v>
      </c>
      <c r="P53">
        <f>IF(O53&gt;=Cfg_HiMove, "Yes", "")</f>
        <v>0</v>
      </c>
      <c r="Q53">
        <f>IF($A53="","", $I53 + IFERROR(O53/30*$H53,0))</f>
        <v>0</v>
      </c>
      <c r="R53">
        <f>IF($A53="","", IF(J53&lt;=$F53, "Yes", ""))</f>
        <v>0</v>
      </c>
      <c r="S53">
        <f>IF(R53="Yes", CEILING(MAX($G53, Q53-J53), $G53), 0)</f>
        <v>0</v>
      </c>
      <c r="T53">
        <f>IFERROR(J53/(O53/30),"")</f>
        <v>0</v>
      </c>
    </row>
    <row r="54" spans="10:20">
      <c r="J54">
        <f>IF($A54="","", SUMIFS(Mov_Qty, Mov_Item, $A54))</f>
        <v>0</v>
      </c>
      <c r="K54">
        <f>IF($A54="","", J54 * $E54)</f>
        <v>0</v>
      </c>
      <c r="L54">
        <f>IF($A54="","", SUMIFS(-Mov_Qty, Mov_Item, $A54, Mov_Type, "Consumption", Mov_Date, "&gt;="&amp;$V$2, Mov_Date, "&lt;="&amp;$W$2))</f>
        <v>0</v>
      </c>
      <c r="M54">
        <f>IF($A54="","", SUMIFS(-Mov_Qty, Mov_Item, $A54, Mov_Type, "Consumption", Mov_Date, "&gt;="&amp;$X$2, Mov_Date, "&lt;="&amp;$Y$2))</f>
        <v>0</v>
      </c>
      <c r="N54">
        <f>IF($A54="","", SUMIFS(-Mov_Qty, Mov_Item, $A54, Mov_Type, "Consumption", Mov_Date, "&gt;="&amp;$Z$2, Mov_Date, "&lt;="&amp;$AA$2))</f>
        <v>0</v>
      </c>
      <c r="O54">
        <f>IFERROR(AVERAGE(L54:N54),"")</f>
        <v>0</v>
      </c>
      <c r="P54">
        <f>IF(O54&gt;=Cfg_HiMove, "Yes", "")</f>
        <v>0</v>
      </c>
      <c r="Q54">
        <f>IF($A54="","", $I54 + IFERROR(O54/30*$H54,0))</f>
        <v>0</v>
      </c>
      <c r="R54">
        <f>IF($A54="","", IF(J54&lt;=$F54, "Yes", ""))</f>
        <v>0</v>
      </c>
      <c r="S54">
        <f>IF(R54="Yes", CEILING(MAX($G54, Q54-J54), $G54), 0)</f>
        <v>0</v>
      </c>
      <c r="T54">
        <f>IFERROR(J54/(O54/30),"")</f>
        <v>0</v>
      </c>
    </row>
    <row r="55" spans="10:20">
      <c r="J55">
        <f>IF($A55="","", SUMIFS(Mov_Qty, Mov_Item, $A55))</f>
        <v>0</v>
      </c>
      <c r="K55">
        <f>IF($A55="","", J55 * $E55)</f>
        <v>0</v>
      </c>
      <c r="L55">
        <f>IF($A55="","", SUMIFS(-Mov_Qty, Mov_Item, $A55, Mov_Type, "Consumption", Mov_Date, "&gt;="&amp;$V$2, Mov_Date, "&lt;="&amp;$W$2))</f>
        <v>0</v>
      </c>
      <c r="M55">
        <f>IF($A55="","", SUMIFS(-Mov_Qty, Mov_Item, $A55, Mov_Type, "Consumption", Mov_Date, "&gt;="&amp;$X$2, Mov_Date, "&lt;="&amp;$Y$2))</f>
        <v>0</v>
      </c>
      <c r="N55">
        <f>IF($A55="","", SUMIFS(-Mov_Qty, Mov_Item, $A55, Mov_Type, "Consumption", Mov_Date, "&gt;="&amp;$Z$2, Mov_Date, "&lt;="&amp;$AA$2))</f>
        <v>0</v>
      </c>
      <c r="O55">
        <f>IFERROR(AVERAGE(L55:N55),"")</f>
        <v>0</v>
      </c>
      <c r="P55">
        <f>IF(O55&gt;=Cfg_HiMove, "Yes", "")</f>
        <v>0</v>
      </c>
      <c r="Q55">
        <f>IF($A55="","", $I55 + IFERROR(O55/30*$H55,0))</f>
        <v>0</v>
      </c>
      <c r="R55">
        <f>IF($A55="","", IF(J55&lt;=$F55, "Yes", ""))</f>
        <v>0</v>
      </c>
      <c r="S55">
        <f>IF(R55="Yes", CEILING(MAX($G55, Q55-J55), $G55), 0)</f>
        <v>0</v>
      </c>
      <c r="T55">
        <f>IFERROR(J55/(O55/30),"")</f>
        <v>0</v>
      </c>
    </row>
    <row r="56" spans="10:20">
      <c r="J56">
        <f>IF($A56="","", SUMIFS(Mov_Qty, Mov_Item, $A56))</f>
        <v>0</v>
      </c>
      <c r="K56">
        <f>IF($A56="","", J56 * $E56)</f>
        <v>0</v>
      </c>
      <c r="L56">
        <f>IF($A56="","", SUMIFS(-Mov_Qty, Mov_Item, $A56, Mov_Type, "Consumption", Mov_Date, "&gt;="&amp;$V$2, Mov_Date, "&lt;="&amp;$W$2))</f>
        <v>0</v>
      </c>
      <c r="M56">
        <f>IF($A56="","", SUMIFS(-Mov_Qty, Mov_Item, $A56, Mov_Type, "Consumption", Mov_Date, "&gt;="&amp;$X$2, Mov_Date, "&lt;="&amp;$Y$2))</f>
        <v>0</v>
      </c>
      <c r="N56">
        <f>IF($A56="","", SUMIFS(-Mov_Qty, Mov_Item, $A56, Mov_Type, "Consumption", Mov_Date, "&gt;="&amp;$Z$2, Mov_Date, "&lt;="&amp;$AA$2))</f>
        <v>0</v>
      </c>
      <c r="O56">
        <f>IFERROR(AVERAGE(L56:N56),"")</f>
        <v>0</v>
      </c>
      <c r="P56">
        <f>IF(O56&gt;=Cfg_HiMove, "Yes", "")</f>
        <v>0</v>
      </c>
      <c r="Q56">
        <f>IF($A56="","", $I56 + IFERROR(O56/30*$H56,0))</f>
        <v>0</v>
      </c>
      <c r="R56">
        <f>IF($A56="","", IF(J56&lt;=$F56, "Yes", ""))</f>
        <v>0</v>
      </c>
      <c r="S56">
        <f>IF(R56="Yes", CEILING(MAX($G56, Q56-J56), $G56), 0)</f>
        <v>0</v>
      </c>
      <c r="T56">
        <f>IFERROR(J56/(O56/30),"")</f>
        <v>0</v>
      </c>
    </row>
    <row r="57" spans="10:20">
      <c r="J57">
        <f>IF($A57="","", SUMIFS(Mov_Qty, Mov_Item, $A57))</f>
        <v>0</v>
      </c>
      <c r="K57">
        <f>IF($A57="","", J57 * $E57)</f>
        <v>0</v>
      </c>
      <c r="L57">
        <f>IF($A57="","", SUMIFS(-Mov_Qty, Mov_Item, $A57, Mov_Type, "Consumption", Mov_Date, "&gt;="&amp;$V$2, Mov_Date, "&lt;="&amp;$W$2))</f>
        <v>0</v>
      </c>
      <c r="M57">
        <f>IF($A57="","", SUMIFS(-Mov_Qty, Mov_Item, $A57, Mov_Type, "Consumption", Mov_Date, "&gt;="&amp;$X$2, Mov_Date, "&lt;="&amp;$Y$2))</f>
        <v>0</v>
      </c>
      <c r="N57">
        <f>IF($A57="","", SUMIFS(-Mov_Qty, Mov_Item, $A57, Mov_Type, "Consumption", Mov_Date, "&gt;="&amp;$Z$2, Mov_Date, "&lt;="&amp;$AA$2))</f>
        <v>0</v>
      </c>
      <c r="O57">
        <f>IFERROR(AVERAGE(L57:N57),"")</f>
        <v>0</v>
      </c>
      <c r="P57">
        <f>IF(O57&gt;=Cfg_HiMove, "Yes", "")</f>
        <v>0</v>
      </c>
      <c r="Q57">
        <f>IF($A57="","", $I57 + IFERROR(O57/30*$H57,0))</f>
        <v>0</v>
      </c>
      <c r="R57">
        <f>IF($A57="","", IF(J57&lt;=$F57, "Yes", ""))</f>
        <v>0</v>
      </c>
      <c r="S57">
        <f>IF(R57="Yes", CEILING(MAX($G57, Q57-J57), $G57), 0)</f>
        <v>0</v>
      </c>
      <c r="T57">
        <f>IFERROR(J57/(O57/30),"")</f>
        <v>0</v>
      </c>
    </row>
    <row r="58" spans="10:20">
      <c r="J58">
        <f>IF($A58="","", SUMIFS(Mov_Qty, Mov_Item, $A58))</f>
        <v>0</v>
      </c>
      <c r="K58">
        <f>IF($A58="","", J58 * $E58)</f>
        <v>0</v>
      </c>
      <c r="L58">
        <f>IF($A58="","", SUMIFS(-Mov_Qty, Mov_Item, $A58, Mov_Type, "Consumption", Mov_Date, "&gt;="&amp;$V$2, Mov_Date, "&lt;="&amp;$W$2))</f>
        <v>0</v>
      </c>
      <c r="M58">
        <f>IF($A58="","", SUMIFS(-Mov_Qty, Mov_Item, $A58, Mov_Type, "Consumption", Mov_Date, "&gt;="&amp;$X$2, Mov_Date, "&lt;="&amp;$Y$2))</f>
        <v>0</v>
      </c>
      <c r="N58">
        <f>IF($A58="","", SUMIFS(-Mov_Qty, Mov_Item, $A58, Mov_Type, "Consumption", Mov_Date, "&gt;="&amp;$Z$2, Mov_Date, "&lt;="&amp;$AA$2))</f>
        <v>0</v>
      </c>
      <c r="O58">
        <f>IFERROR(AVERAGE(L58:N58),"")</f>
        <v>0</v>
      </c>
      <c r="P58">
        <f>IF(O58&gt;=Cfg_HiMove, "Yes", "")</f>
        <v>0</v>
      </c>
      <c r="Q58">
        <f>IF($A58="","", $I58 + IFERROR(O58/30*$H58,0))</f>
        <v>0</v>
      </c>
      <c r="R58">
        <f>IF($A58="","", IF(J58&lt;=$F58, "Yes", ""))</f>
        <v>0</v>
      </c>
      <c r="S58">
        <f>IF(R58="Yes", CEILING(MAX($G58, Q58-J58), $G58), 0)</f>
        <v>0</v>
      </c>
      <c r="T58">
        <f>IFERROR(J58/(O58/30),"")</f>
        <v>0</v>
      </c>
    </row>
    <row r="59" spans="10:20">
      <c r="J59">
        <f>IF($A59="","", SUMIFS(Mov_Qty, Mov_Item, $A59))</f>
        <v>0</v>
      </c>
      <c r="K59">
        <f>IF($A59="","", J59 * $E59)</f>
        <v>0</v>
      </c>
      <c r="L59">
        <f>IF($A59="","", SUMIFS(-Mov_Qty, Mov_Item, $A59, Mov_Type, "Consumption", Mov_Date, "&gt;="&amp;$V$2, Mov_Date, "&lt;="&amp;$W$2))</f>
        <v>0</v>
      </c>
      <c r="M59">
        <f>IF($A59="","", SUMIFS(-Mov_Qty, Mov_Item, $A59, Mov_Type, "Consumption", Mov_Date, "&gt;="&amp;$X$2, Mov_Date, "&lt;="&amp;$Y$2))</f>
        <v>0</v>
      </c>
      <c r="N59">
        <f>IF($A59="","", SUMIFS(-Mov_Qty, Mov_Item, $A59, Mov_Type, "Consumption", Mov_Date, "&gt;="&amp;$Z$2, Mov_Date, "&lt;="&amp;$AA$2))</f>
        <v>0</v>
      </c>
      <c r="O59">
        <f>IFERROR(AVERAGE(L59:N59),"")</f>
        <v>0</v>
      </c>
      <c r="P59">
        <f>IF(O59&gt;=Cfg_HiMove, "Yes", "")</f>
        <v>0</v>
      </c>
      <c r="Q59">
        <f>IF($A59="","", $I59 + IFERROR(O59/30*$H59,0))</f>
        <v>0</v>
      </c>
      <c r="R59">
        <f>IF($A59="","", IF(J59&lt;=$F59, "Yes", ""))</f>
        <v>0</v>
      </c>
      <c r="S59">
        <f>IF(R59="Yes", CEILING(MAX($G59, Q59-J59), $G59), 0)</f>
        <v>0</v>
      </c>
      <c r="T59">
        <f>IFERROR(J59/(O59/30),"")</f>
        <v>0</v>
      </c>
    </row>
    <row r="60" spans="10:20">
      <c r="J60">
        <f>IF($A60="","", SUMIFS(Mov_Qty, Mov_Item, $A60))</f>
        <v>0</v>
      </c>
      <c r="K60">
        <f>IF($A60="","", J60 * $E60)</f>
        <v>0</v>
      </c>
      <c r="L60">
        <f>IF($A60="","", SUMIFS(-Mov_Qty, Mov_Item, $A60, Mov_Type, "Consumption", Mov_Date, "&gt;="&amp;$V$2, Mov_Date, "&lt;="&amp;$W$2))</f>
        <v>0</v>
      </c>
      <c r="M60">
        <f>IF($A60="","", SUMIFS(-Mov_Qty, Mov_Item, $A60, Mov_Type, "Consumption", Mov_Date, "&gt;="&amp;$X$2, Mov_Date, "&lt;="&amp;$Y$2))</f>
        <v>0</v>
      </c>
      <c r="N60">
        <f>IF($A60="","", SUMIFS(-Mov_Qty, Mov_Item, $A60, Mov_Type, "Consumption", Mov_Date, "&gt;="&amp;$Z$2, Mov_Date, "&lt;="&amp;$AA$2))</f>
        <v>0</v>
      </c>
      <c r="O60">
        <f>IFERROR(AVERAGE(L60:N60),"")</f>
        <v>0</v>
      </c>
      <c r="P60">
        <f>IF(O60&gt;=Cfg_HiMove, "Yes", "")</f>
        <v>0</v>
      </c>
      <c r="Q60">
        <f>IF($A60="","", $I60 + IFERROR(O60/30*$H60,0))</f>
        <v>0</v>
      </c>
      <c r="R60">
        <f>IF($A60="","", IF(J60&lt;=$F60, "Yes", ""))</f>
        <v>0</v>
      </c>
      <c r="S60">
        <f>IF(R60="Yes", CEILING(MAX($G60, Q60-J60), $G60), 0)</f>
        <v>0</v>
      </c>
      <c r="T60">
        <f>IFERROR(J60/(O60/30),"")</f>
        <v>0</v>
      </c>
    </row>
    <row r="61" spans="10:20">
      <c r="J61">
        <f>IF($A61="","", SUMIFS(Mov_Qty, Mov_Item, $A61))</f>
        <v>0</v>
      </c>
      <c r="K61">
        <f>IF($A61="","", J61 * $E61)</f>
        <v>0</v>
      </c>
      <c r="L61">
        <f>IF($A61="","", SUMIFS(-Mov_Qty, Mov_Item, $A61, Mov_Type, "Consumption", Mov_Date, "&gt;="&amp;$V$2, Mov_Date, "&lt;="&amp;$W$2))</f>
        <v>0</v>
      </c>
      <c r="M61">
        <f>IF($A61="","", SUMIFS(-Mov_Qty, Mov_Item, $A61, Mov_Type, "Consumption", Mov_Date, "&gt;="&amp;$X$2, Mov_Date, "&lt;="&amp;$Y$2))</f>
        <v>0</v>
      </c>
      <c r="N61">
        <f>IF($A61="","", SUMIFS(-Mov_Qty, Mov_Item, $A61, Mov_Type, "Consumption", Mov_Date, "&gt;="&amp;$Z$2, Mov_Date, "&lt;="&amp;$AA$2))</f>
        <v>0</v>
      </c>
      <c r="O61">
        <f>IFERROR(AVERAGE(L61:N61),"")</f>
        <v>0</v>
      </c>
      <c r="P61">
        <f>IF(O61&gt;=Cfg_HiMove, "Yes", "")</f>
        <v>0</v>
      </c>
      <c r="Q61">
        <f>IF($A61="","", $I61 + IFERROR(O61/30*$H61,0))</f>
        <v>0</v>
      </c>
      <c r="R61">
        <f>IF($A61="","", IF(J61&lt;=$F61, "Yes", ""))</f>
        <v>0</v>
      </c>
      <c r="S61">
        <f>IF(R61="Yes", CEILING(MAX($G61, Q61-J61), $G61), 0)</f>
        <v>0</v>
      </c>
      <c r="T61">
        <f>IFERROR(J61/(O61/30),"")</f>
        <v>0</v>
      </c>
    </row>
    <row r="62" spans="10:20">
      <c r="J62">
        <f>IF($A62="","", SUMIFS(Mov_Qty, Mov_Item, $A62))</f>
        <v>0</v>
      </c>
      <c r="K62">
        <f>IF($A62="","", J62 * $E62)</f>
        <v>0</v>
      </c>
      <c r="L62">
        <f>IF($A62="","", SUMIFS(-Mov_Qty, Mov_Item, $A62, Mov_Type, "Consumption", Mov_Date, "&gt;="&amp;$V$2, Mov_Date, "&lt;="&amp;$W$2))</f>
        <v>0</v>
      </c>
      <c r="M62">
        <f>IF($A62="","", SUMIFS(-Mov_Qty, Mov_Item, $A62, Mov_Type, "Consumption", Mov_Date, "&gt;="&amp;$X$2, Mov_Date, "&lt;="&amp;$Y$2))</f>
        <v>0</v>
      </c>
      <c r="N62">
        <f>IF($A62="","", SUMIFS(-Mov_Qty, Mov_Item, $A62, Mov_Type, "Consumption", Mov_Date, "&gt;="&amp;$Z$2, Mov_Date, "&lt;="&amp;$AA$2))</f>
        <v>0</v>
      </c>
      <c r="O62">
        <f>IFERROR(AVERAGE(L62:N62),"")</f>
        <v>0</v>
      </c>
      <c r="P62">
        <f>IF(O62&gt;=Cfg_HiMove, "Yes", "")</f>
        <v>0</v>
      </c>
      <c r="Q62">
        <f>IF($A62="","", $I62 + IFERROR(O62/30*$H62,0))</f>
        <v>0</v>
      </c>
      <c r="R62">
        <f>IF($A62="","", IF(J62&lt;=$F62, "Yes", ""))</f>
        <v>0</v>
      </c>
      <c r="S62">
        <f>IF(R62="Yes", CEILING(MAX($G62, Q62-J62), $G62), 0)</f>
        <v>0</v>
      </c>
      <c r="T62">
        <f>IFERROR(J62/(O62/30),"")</f>
        <v>0</v>
      </c>
    </row>
    <row r="63" spans="10:20">
      <c r="J63">
        <f>IF($A63="","", SUMIFS(Mov_Qty, Mov_Item, $A63))</f>
        <v>0</v>
      </c>
      <c r="K63">
        <f>IF($A63="","", J63 * $E63)</f>
        <v>0</v>
      </c>
      <c r="L63">
        <f>IF($A63="","", SUMIFS(-Mov_Qty, Mov_Item, $A63, Mov_Type, "Consumption", Mov_Date, "&gt;="&amp;$V$2, Mov_Date, "&lt;="&amp;$W$2))</f>
        <v>0</v>
      </c>
      <c r="M63">
        <f>IF($A63="","", SUMIFS(-Mov_Qty, Mov_Item, $A63, Mov_Type, "Consumption", Mov_Date, "&gt;="&amp;$X$2, Mov_Date, "&lt;="&amp;$Y$2))</f>
        <v>0</v>
      </c>
      <c r="N63">
        <f>IF($A63="","", SUMIFS(-Mov_Qty, Mov_Item, $A63, Mov_Type, "Consumption", Mov_Date, "&gt;="&amp;$Z$2, Mov_Date, "&lt;="&amp;$AA$2))</f>
        <v>0</v>
      </c>
      <c r="O63">
        <f>IFERROR(AVERAGE(L63:N63),"")</f>
        <v>0</v>
      </c>
      <c r="P63">
        <f>IF(O63&gt;=Cfg_HiMove, "Yes", "")</f>
        <v>0</v>
      </c>
      <c r="Q63">
        <f>IF($A63="","", $I63 + IFERROR(O63/30*$H63,0))</f>
        <v>0</v>
      </c>
      <c r="R63">
        <f>IF($A63="","", IF(J63&lt;=$F63, "Yes", ""))</f>
        <v>0</v>
      </c>
      <c r="S63">
        <f>IF(R63="Yes", CEILING(MAX($G63, Q63-J63), $G63), 0)</f>
        <v>0</v>
      </c>
      <c r="T63">
        <f>IFERROR(J63/(O63/30),"")</f>
        <v>0</v>
      </c>
    </row>
    <row r="64" spans="10:20">
      <c r="J64">
        <f>IF($A64="","", SUMIFS(Mov_Qty, Mov_Item, $A64))</f>
        <v>0</v>
      </c>
      <c r="K64">
        <f>IF($A64="","", J64 * $E64)</f>
        <v>0</v>
      </c>
      <c r="L64">
        <f>IF($A64="","", SUMIFS(-Mov_Qty, Mov_Item, $A64, Mov_Type, "Consumption", Mov_Date, "&gt;="&amp;$V$2, Mov_Date, "&lt;="&amp;$W$2))</f>
        <v>0</v>
      </c>
      <c r="M64">
        <f>IF($A64="","", SUMIFS(-Mov_Qty, Mov_Item, $A64, Mov_Type, "Consumption", Mov_Date, "&gt;="&amp;$X$2, Mov_Date, "&lt;="&amp;$Y$2))</f>
        <v>0</v>
      </c>
      <c r="N64">
        <f>IF($A64="","", SUMIFS(-Mov_Qty, Mov_Item, $A64, Mov_Type, "Consumption", Mov_Date, "&gt;="&amp;$Z$2, Mov_Date, "&lt;="&amp;$AA$2))</f>
        <v>0</v>
      </c>
      <c r="O64">
        <f>IFERROR(AVERAGE(L64:N64),"")</f>
        <v>0</v>
      </c>
      <c r="P64">
        <f>IF(O64&gt;=Cfg_HiMove, "Yes", "")</f>
        <v>0</v>
      </c>
      <c r="Q64">
        <f>IF($A64="","", $I64 + IFERROR(O64/30*$H64,0))</f>
        <v>0</v>
      </c>
      <c r="R64">
        <f>IF($A64="","", IF(J64&lt;=$F64, "Yes", ""))</f>
        <v>0</v>
      </c>
      <c r="S64">
        <f>IF(R64="Yes", CEILING(MAX($G64, Q64-J64), $G64), 0)</f>
        <v>0</v>
      </c>
      <c r="T64">
        <f>IFERROR(J64/(O64/30),"")</f>
        <v>0</v>
      </c>
    </row>
    <row r="65" spans="10:20">
      <c r="J65">
        <f>IF($A65="","", SUMIFS(Mov_Qty, Mov_Item, $A65))</f>
        <v>0</v>
      </c>
      <c r="K65">
        <f>IF($A65="","", J65 * $E65)</f>
        <v>0</v>
      </c>
      <c r="L65">
        <f>IF($A65="","", SUMIFS(-Mov_Qty, Mov_Item, $A65, Mov_Type, "Consumption", Mov_Date, "&gt;="&amp;$V$2, Mov_Date, "&lt;="&amp;$W$2))</f>
        <v>0</v>
      </c>
      <c r="M65">
        <f>IF($A65="","", SUMIFS(-Mov_Qty, Mov_Item, $A65, Mov_Type, "Consumption", Mov_Date, "&gt;="&amp;$X$2, Mov_Date, "&lt;="&amp;$Y$2))</f>
        <v>0</v>
      </c>
      <c r="N65">
        <f>IF($A65="","", SUMIFS(-Mov_Qty, Mov_Item, $A65, Mov_Type, "Consumption", Mov_Date, "&gt;="&amp;$Z$2, Mov_Date, "&lt;="&amp;$AA$2))</f>
        <v>0</v>
      </c>
      <c r="O65">
        <f>IFERROR(AVERAGE(L65:N65),"")</f>
        <v>0</v>
      </c>
      <c r="P65">
        <f>IF(O65&gt;=Cfg_HiMove, "Yes", "")</f>
        <v>0</v>
      </c>
      <c r="Q65">
        <f>IF($A65="","", $I65 + IFERROR(O65/30*$H65,0))</f>
        <v>0</v>
      </c>
      <c r="R65">
        <f>IF($A65="","", IF(J65&lt;=$F65, "Yes", ""))</f>
        <v>0</v>
      </c>
      <c r="S65">
        <f>IF(R65="Yes", CEILING(MAX($G65, Q65-J65), $G65), 0)</f>
        <v>0</v>
      </c>
      <c r="T65">
        <f>IFERROR(J65/(O65/30),"")</f>
        <v>0</v>
      </c>
    </row>
    <row r="66" spans="10:20">
      <c r="J66">
        <f>IF($A66="","", SUMIFS(Mov_Qty, Mov_Item, $A66))</f>
        <v>0</v>
      </c>
      <c r="K66">
        <f>IF($A66="","", J66 * $E66)</f>
        <v>0</v>
      </c>
      <c r="L66">
        <f>IF($A66="","", SUMIFS(-Mov_Qty, Mov_Item, $A66, Mov_Type, "Consumption", Mov_Date, "&gt;="&amp;$V$2, Mov_Date, "&lt;="&amp;$W$2))</f>
        <v>0</v>
      </c>
      <c r="M66">
        <f>IF($A66="","", SUMIFS(-Mov_Qty, Mov_Item, $A66, Mov_Type, "Consumption", Mov_Date, "&gt;="&amp;$X$2, Mov_Date, "&lt;="&amp;$Y$2))</f>
        <v>0</v>
      </c>
      <c r="N66">
        <f>IF($A66="","", SUMIFS(-Mov_Qty, Mov_Item, $A66, Mov_Type, "Consumption", Mov_Date, "&gt;="&amp;$Z$2, Mov_Date, "&lt;="&amp;$AA$2))</f>
        <v>0</v>
      </c>
      <c r="O66">
        <f>IFERROR(AVERAGE(L66:N66),"")</f>
        <v>0</v>
      </c>
      <c r="P66">
        <f>IF(O66&gt;=Cfg_HiMove, "Yes", "")</f>
        <v>0</v>
      </c>
      <c r="Q66">
        <f>IF($A66="","", $I66 + IFERROR(O66/30*$H66,0))</f>
        <v>0</v>
      </c>
      <c r="R66">
        <f>IF($A66="","", IF(J66&lt;=$F66, "Yes", ""))</f>
        <v>0</v>
      </c>
      <c r="S66">
        <f>IF(R66="Yes", CEILING(MAX($G66, Q66-J66), $G66), 0)</f>
        <v>0</v>
      </c>
      <c r="T66">
        <f>IFERROR(J66/(O66/30),"")</f>
        <v>0</v>
      </c>
    </row>
    <row r="67" spans="10:20">
      <c r="J67">
        <f>IF($A67="","", SUMIFS(Mov_Qty, Mov_Item, $A67))</f>
        <v>0</v>
      </c>
      <c r="K67">
        <f>IF($A67="","", J67 * $E67)</f>
        <v>0</v>
      </c>
      <c r="L67">
        <f>IF($A67="","", SUMIFS(-Mov_Qty, Mov_Item, $A67, Mov_Type, "Consumption", Mov_Date, "&gt;="&amp;$V$2, Mov_Date, "&lt;="&amp;$W$2))</f>
        <v>0</v>
      </c>
      <c r="M67">
        <f>IF($A67="","", SUMIFS(-Mov_Qty, Mov_Item, $A67, Mov_Type, "Consumption", Mov_Date, "&gt;="&amp;$X$2, Mov_Date, "&lt;="&amp;$Y$2))</f>
        <v>0</v>
      </c>
      <c r="N67">
        <f>IF($A67="","", SUMIFS(-Mov_Qty, Mov_Item, $A67, Mov_Type, "Consumption", Mov_Date, "&gt;="&amp;$Z$2, Mov_Date, "&lt;="&amp;$AA$2))</f>
        <v>0</v>
      </c>
      <c r="O67">
        <f>IFERROR(AVERAGE(L67:N67),"")</f>
        <v>0</v>
      </c>
      <c r="P67">
        <f>IF(O67&gt;=Cfg_HiMove, "Yes", "")</f>
        <v>0</v>
      </c>
      <c r="Q67">
        <f>IF($A67="","", $I67 + IFERROR(O67/30*$H67,0))</f>
        <v>0</v>
      </c>
      <c r="R67">
        <f>IF($A67="","", IF(J67&lt;=$F67, "Yes", ""))</f>
        <v>0</v>
      </c>
      <c r="S67">
        <f>IF(R67="Yes", CEILING(MAX($G67, Q67-J67), $G67), 0)</f>
        <v>0</v>
      </c>
      <c r="T67">
        <f>IFERROR(J67/(O67/30),"")</f>
        <v>0</v>
      </c>
    </row>
    <row r="68" spans="10:20">
      <c r="J68">
        <f>IF($A68="","", SUMIFS(Mov_Qty, Mov_Item, $A68))</f>
        <v>0</v>
      </c>
      <c r="K68">
        <f>IF($A68="","", J68 * $E68)</f>
        <v>0</v>
      </c>
      <c r="L68">
        <f>IF($A68="","", SUMIFS(-Mov_Qty, Mov_Item, $A68, Mov_Type, "Consumption", Mov_Date, "&gt;="&amp;$V$2, Mov_Date, "&lt;="&amp;$W$2))</f>
        <v>0</v>
      </c>
      <c r="M68">
        <f>IF($A68="","", SUMIFS(-Mov_Qty, Mov_Item, $A68, Mov_Type, "Consumption", Mov_Date, "&gt;="&amp;$X$2, Mov_Date, "&lt;="&amp;$Y$2))</f>
        <v>0</v>
      </c>
      <c r="N68">
        <f>IF($A68="","", SUMIFS(-Mov_Qty, Mov_Item, $A68, Mov_Type, "Consumption", Mov_Date, "&gt;="&amp;$Z$2, Mov_Date, "&lt;="&amp;$AA$2))</f>
        <v>0</v>
      </c>
      <c r="O68">
        <f>IFERROR(AVERAGE(L68:N68),"")</f>
        <v>0</v>
      </c>
      <c r="P68">
        <f>IF(O68&gt;=Cfg_HiMove, "Yes", "")</f>
        <v>0</v>
      </c>
      <c r="Q68">
        <f>IF($A68="","", $I68 + IFERROR(O68/30*$H68,0))</f>
        <v>0</v>
      </c>
      <c r="R68">
        <f>IF($A68="","", IF(J68&lt;=$F68, "Yes", ""))</f>
        <v>0</v>
      </c>
      <c r="S68">
        <f>IF(R68="Yes", CEILING(MAX($G68, Q68-J68), $G68), 0)</f>
        <v>0</v>
      </c>
      <c r="T68">
        <f>IFERROR(J68/(O68/30),"")</f>
        <v>0</v>
      </c>
    </row>
    <row r="69" spans="10:20">
      <c r="J69">
        <f>IF($A69="","", SUMIFS(Mov_Qty, Mov_Item, $A69))</f>
        <v>0</v>
      </c>
      <c r="K69">
        <f>IF($A69="","", J69 * $E69)</f>
        <v>0</v>
      </c>
      <c r="L69">
        <f>IF($A69="","", SUMIFS(-Mov_Qty, Mov_Item, $A69, Mov_Type, "Consumption", Mov_Date, "&gt;="&amp;$V$2, Mov_Date, "&lt;="&amp;$W$2))</f>
        <v>0</v>
      </c>
      <c r="M69">
        <f>IF($A69="","", SUMIFS(-Mov_Qty, Mov_Item, $A69, Mov_Type, "Consumption", Mov_Date, "&gt;="&amp;$X$2, Mov_Date, "&lt;="&amp;$Y$2))</f>
        <v>0</v>
      </c>
      <c r="N69">
        <f>IF($A69="","", SUMIFS(-Mov_Qty, Mov_Item, $A69, Mov_Type, "Consumption", Mov_Date, "&gt;="&amp;$Z$2, Mov_Date, "&lt;="&amp;$AA$2))</f>
        <v>0</v>
      </c>
      <c r="O69">
        <f>IFERROR(AVERAGE(L69:N69),"")</f>
        <v>0</v>
      </c>
      <c r="P69">
        <f>IF(O69&gt;=Cfg_HiMove, "Yes", "")</f>
        <v>0</v>
      </c>
      <c r="Q69">
        <f>IF($A69="","", $I69 + IFERROR(O69/30*$H69,0))</f>
        <v>0</v>
      </c>
      <c r="R69">
        <f>IF($A69="","", IF(J69&lt;=$F69, "Yes", ""))</f>
        <v>0</v>
      </c>
      <c r="S69">
        <f>IF(R69="Yes", CEILING(MAX($G69, Q69-J69), $G69), 0)</f>
        <v>0</v>
      </c>
      <c r="T69">
        <f>IFERROR(J69/(O69/30),"")</f>
        <v>0</v>
      </c>
    </row>
    <row r="70" spans="10:20">
      <c r="J70">
        <f>IF($A70="","", SUMIFS(Mov_Qty, Mov_Item, $A70))</f>
        <v>0</v>
      </c>
      <c r="K70">
        <f>IF($A70="","", J70 * $E70)</f>
        <v>0</v>
      </c>
      <c r="L70">
        <f>IF($A70="","", SUMIFS(-Mov_Qty, Mov_Item, $A70, Mov_Type, "Consumption", Mov_Date, "&gt;="&amp;$V$2, Mov_Date, "&lt;="&amp;$W$2))</f>
        <v>0</v>
      </c>
      <c r="M70">
        <f>IF($A70="","", SUMIFS(-Mov_Qty, Mov_Item, $A70, Mov_Type, "Consumption", Mov_Date, "&gt;="&amp;$X$2, Mov_Date, "&lt;="&amp;$Y$2))</f>
        <v>0</v>
      </c>
      <c r="N70">
        <f>IF($A70="","", SUMIFS(-Mov_Qty, Mov_Item, $A70, Mov_Type, "Consumption", Mov_Date, "&gt;="&amp;$Z$2, Mov_Date, "&lt;="&amp;$AA$2))</f>
        <v>0</v>
      </c>
      <c r="O70">
        <f>IFERROR(AVERAGE(L70:N70),"")</f>
        <v>0</v>
      </c>
      <c r="P70">
        <f>IF(O70&gt;=Cfg_HiMove, "Yes", "")</f>
        <v>0</v>
      </c>
      <c r="Q70">
        <f>IF($A70="","", $I70 + IFERROR(O70/30*$H70,0))</f>
        <v>0</v>
      </c>
      <c r="R70">
        <f>IF($A70="","", IF(J70&lt;=$F70, "Yes", ""))</f>
        <v>0</v>
      </c>
      <c r="S70">
        <f>IF(R70="Yes", CEILING(MAX($G70, Q70-J70), $G70), 0)</f>
        <v>0</v>
      </c>
      <c r="T70">
        <f>IFERROR(J70/(O70/30),"")</f>
        <v>0</v>
      </c>
    </row>
    <row r="71" spans="10:20">
      <c r="J71">
        <f>IF($A71="","", SUMIFS(Mov_Qty, Mov_Item, $A71))</f>
        <v>0</v>
      </c>
      <c r="K71">
        <f>IF($A71="","", J71 * $E71)</f>
        <v>0</v>
      </c>
      <c r="L71">
        <f>IF($A71="","", SUMIFS(-Mov_Qty, Mov_Item, $A71, Mov_Type, "Consumption", Mov_Date, "&gt;="&amp;$V$2, Mov_Date, "&lt;="&amp;$W$2))</f>
        <v>0</v>
      </c>
      <c r="M71">
        <f>IF($A71="","", SUMIFS(-Mov_Qty, Mov_Item, $A71, Mov_Type, "Consumption", Mov_Date, "&gt;="&amp;$X$2, Mov_Date, "&lt;="&amp;$Y$2))</f>
        <v>0</v>
      </c>
      <c r="N71">
        <f>IF($A71="","", SUMIFS(-Mov_Qty, Mov_Item, $A71, Mov_Type, "Consumption", Mov_Date, "&gt;="&amp;$Z$2, Mov_Date, "&lt;="&amp;$AA$2))</f>
        <v>0</v>
      </c>
      <c r="O71">
        <f>IFERROR(AVERAGE(L71:N71),"")</f>
        <v>0</v>
      </c>
      <c r="P71">
        <f>IF(O71&gt;=Cfg_HiMove, "Yes", "")</f>
        <v>0</v>
      </c>
      <c r="Q71">
        <f>IF($A71="","", $I71 + IFERROR(O71/30*$H71,0))</f>
        <v>0</v>
      </c>
      <c r="R71">
        <f>IF($A71="","", IF(J71&lt;=$F71, "Yes", ""))</f>
        <v>0</v>
      </c>
      <c r="S71">
        <f>IF(R71="Yes", CEILING(MAX($G71, Q71-J71), $G71), 0)</f>
        <v>0</v>
      </c>
      <c r="T71">
        <f>IFERROR(J71/(O71/30),"")</f>
        <v>0</v>
      </c>
    </row>
    <row r="72" spans="10:20">
      <c r="J72">
        <f>IF($A72="","", SUMIFS(Mov_Qty, Mov_Item, $A72))</f>
        <v>0</v>
      </c>
      <c r="K72">
        <f>IF($A72="","", J72 * $E72)</f>
        <v>0</v>
      </c>
      <c r="L72">
        <f>IF($A72="","", SUMIFS(-Mov_Qty, Mov_Item, $A72, Mov_Type, "Consumption", Mov_Date, "&gt;="&amp;$V$2, Mov_Date, "&lt;="&amp;$W$2))</f>
        <v>0</v>
      </c>
      <c r="M72">
        <f>IF($A72="","", SUMIFS(-Mov_Qty, Mov_Item, $A72, Mov_Type, "Consumption", Mov_Date, "&gt;="&amp;$X$2, Mov_Date, "&lt;="&amp;$Y$2))</f>
        <v>0</v>
      </c>
      <c r="N72">
        <f>IF($A72="","", SUMIFS(-Mov_Qty, Mov_Item, $A72, Mov_Type, "Consumption", Mov_Date, "&gt;="&amp;$Z$2, Mov_Date, "&lt;="&amp;$AA$2))</f>
        <v>0</v>
      </c>
      <c r="O72">
        <f>IFERROR(AVERAGE(L72:N72),"")</f>
        <v>0</v>
      </c>
      <c r="P72">
        <f>IF(O72&gt;=Cfg_HiMove, "Yes", "")</f>
        <v>0</v>
      </c>
      <c r="Q72">
        <f>IF($A72="","", $I72 + IFERROR(O72/30*$H72,0))</f>
        <v>0</v>
      </c>
      <c r="R72">
        <f>IF($A72="","", IF(J72&lt;=$F72, "Yes", ""))</f>
        <v>0</v>
      </c>
      <c r="S72">
        <f>IF(R72="Yes", CEILING(MAX($G72, Q72-J72), $G72), 0)</f>
        <v>0</v>
      </c>
      <c r="T72">
        <f>IFERROR(J72/(O72/30),"")</f>
        <v>0</v>
      </c>
    </row>
    <row r="73" spans="10:20">
      <c r="J73">
        <f>IF($A73="","", SUMIFS(Mov_Qty, Mov_Item, $A73))</f>
        <v>0</v>
      </c>
      <c r="K73">
        <f>IF($A73="","", J73 * $E73)</f>
        <v>0</v>
      </c>
      <c r="L73">
        <f>IF($A73="","", SUMIFS(-Mov_Qty, Mov_Item, $A73, Mov_Type, "Consumption", Mov_Date, "&gt;="&amp;$V$2, Mov_Date, "&lt;="&amp;$W$2))</f>
        <v>0</v>
      </c>
      <c r="M73">
        <f>IF($A73="","", SUMIFS(-Mov_Qty, Mov_Item, $A73, Mov_Type, "Consumption", Mov_Date, "&gt;="&amp;$X$2, Mov_Date, "&lt;="&amp;$Y$2))</f>
        <v>0</v>
      </c>
      <c r="N73">
        <f>IF($A73="","", SUMIFS(-Mov_Qty, Mov_Item, $A73, Mov_Type, "Consumption", Mov_Date, "&gt;="&amp;$Z$2, Mov_Date, "&lt;="&amp;$AA$2))</f>
        <v>0</v>
      </c>
      <c r="O73">
        <f>IFERROR(AVERAGE(L73:N73),"")</f>
        <v>0</v>
      </c>
      <c r="P73">
        <f>IF(O73&gt;=Cfg_HiMove, "Yes", "")</f>
        <v>0</v>
      </c>
      <c r="Q73">
        <f>IF($A73="","", $I73 + IFERROR(O73/30*$H73,0))</f>
        <v>0</v>
      </c>
      <c r="R73">
        <f>IF($A73="","", IF(J73&lt;=$F73, "Yes", ""))</f>
        <v>0</v>
      </c>
      <c r="S73">
        <f>IF(R73="Yes", CEILING(MAX($G73, Q73-J73), $G73), 0)</f>
        <v>0</v>
      </c>
      <c r="T73">
        <f>IFERROR(J73/(O73/30),"")</f>
        <v>0</v>
      </c>
    </row>
    <row r="74" spans="10:20">
      <c r="J74">
        <f>IF($A74="","", SUMIFS(Mov_Qty, Mov_Item, $A74))</f>
        <v>0</v>
      </c>
      <c r="K74">
        <f>IF($A74="","", J74 * $E74)</f>
        <v>0</v>
      </c>
      <c r="L74">
        <f>IF($A74="","", SUMIFS(-Mov_Qty, Mov_Item, $A74, Mov_Type, "Consumption", Mov_Date, "&gt;="&amp;$V$2, Mov_Date, "&lt;="&amp;$W$2))</f>
        <v>0</v>
      </c>
      <c r="M74">
        <f>IF($A74="","", SUMIFS(-Mov_Qty, Mov_Item, $A74, Mov_Type, "Consumption", Mov_Date, "&gt;="&amp;$X$2, Mov_Date, "&lt;="&amp;$Y$2))</f>
        <v>0</v>
      </c>
      <c r="N74">
        <f>IF($A74="","", SUMIFS(-Mov_Qty, Mov_Item, $A74, Mov_Type, "Consumption", Mov_Date, "&gt;="&amp;$Z$2, Mov_Date, "&lt;="&amp;$AA$2))</f>
        <v>0</v>
      </c>
      <c r="O74">
        <f>IFERROR(AVERAGE(L74:N74),"")</f>
        <v>0</v>
      </c>
      <c r="P74">
        <f>IF(O74&gt;=Cfg_HiMove, "Yes", "")</f>
        <v>0</v>
      </c>
      <c r="Q74">
        <f>IF($A74="","", $I74 + IFERROR(O74/30*$H74,0))</f>
        <v>0</v>
      </c>
      <c r="R74">
        <f>IF($A74="","", IF(J74&lt;=$F74, "Yes", ""))</f>
        <v>0</v>
      </c>
      <c r="S74">
        <f>IF(R74="Yes", CEILING(MAX($G74, Q74-J74), $G74), 0)</f>
        <v>0</v>
      </c>
      <c r="T74">
        <f>IFERROR(J74/(O74/30),"")</f>
        <v>0</v>
      </c>
    </row>
    <row r="75" spans="10:20">
      <c r="J75">
        <f>IF($A75="","", SUMIFS(Mov_Qty, Mov_Item, $A75))</f>
        <v>0</v>
      </c>
      <c r="K75">
        <f>IF($A75="","", J75 * $E75)</f>
        <v>0</v>
      </c>
      <c r="L75">
        <f>IF($A75="","", SUMIFS(-Mov_Qty, Mov_Item, $A75, Mov_Type, "Consumption", Mov_Date, "&gt;="&amp;$V$2, Mov_Date, "&lt;="&amp;$W$2))</f>
        <v>0</v>
      </c>
      <c r="M75">
        <f>IF($A75="","", SUMIFS(-Mov_Qty, Mov_Item, $A75, Mov_Type, "Consumption", Mov_Date, "&gt;="&amp;$X$2, Mov_Date, "&lt;="&amp;$Y$2))</f>
        <v>0</v>
      </c>
      <c r="N75">
        <f>IF($A75="","", SUMIFS(-Mov_Qty, Mov_Item, $A75, Mov_Type, "Consumption", Mov_Date, "&gt;="&amp;$Z$2, Mov_Date, "&lt;="&amp;$AA$2))</f>
        <v>0</v>
      </c>
      <c r="O75">
        <f>IFERROR(AVERAGE(L75:N75),"")</f>
        <v>0</v>
      </c>
      <c r="P75">
        <f>IF(O75&gt;=Cfg_HiMove, "Yes", "")</f>
        <v>0</v>
      </c>
      <c r="Q75">
        <f>IF($A75="","", $I75 + IFERROR(O75/30*$H75,0))</f>
        <v>0</v>
      </c>
      <c r="R75">
        <f>IF($A75="","", IF(J75&lt;=$F75, "Yes", ""))</f>
        <v>0</v>
      </c>
      <c r="S75">
        <f>IF(R75="Yes", CEILING(MAX($G75, Q75-J75), $G75), 0)</f>
        <v>0</v>
      </c>
      <c r="T75">
        <f>IFERROR(J75/(O75/30),"")</f>
        <v>0</v>
      </c>
    </row>
    <row r="76" spans="10:20">
      <c r="J76">
        <f>IF($A76="","", SUMIFS(Mov_Qty, Mov_Item, $A76))</f>
        <v>0</v>
      </c>
      <c r="K76">
        <f>IF($A76="","", J76 * $E76)</f>
        <v>0</v>
      </c>
      <c r="L76">
        <f>IF($A76="","", SUMIFS(-Mov_Qty, Mov_Item, $A76, Mov_Type, "Consumption", Mov_Date, "&gt;="&amp;$V$2, Mov_Date, "&lt;="&amp;$W$2))</f>
        <v>0</v>
      </c>
      <c r="M76">
        <f>IF($A76="","", SUMIFS(-Mov_Qty, Mov_Item, $A76, Mov_Type, "Consumption", Mov_Date, "&gt;="&amp;$X$2, Mov_Date, "&lt;="&amp;$Y$2))</f>
        <v>0</v>
      </c>
      <c r="N76">
        <f>IF($A76="","", SUMIFS(-Mov_Qty, Mov_Item, $A76, Mov_Type, "Consumption", Mov_Date, "&gt;="&amp;$Z$2, Mov_Date, "&lt;="&amp;$AA$2))</f>
        <v>0</v>
      </c>
      <c r="O76">
        <f>IFERROR(AVERAGE(L76:N76),"")</f>
        <v>0</v>
      </c>
      <c r="P76">
        <f>IF(O76&gt;=Cfg_HiMove, "Yes", "")</f>
        <v>0</v>
      </c>
      <c r="Q76">
        <f>IF($A76="","", $I76 + IFERROR(O76/30*$H76,0))</f>
        <v>0</v>
      </c>
      <c r="R76">
        <f>IF($A76="","", IF(J76&lt;=$F76, "Yes", ""))</f>
        <v>0</v>
      </c>
      <c r="S76">
        <f>IF(R76="Yes", CEILING(MAX($G76, Q76-J76), $G76), 0)</f>
        <v>0</v>
      </c>
      <c r="T76">
        <f>IFERROR(J76/(O76/30),"")</f>
        <v>0</v>
      </c>
    </row>
    <row r="77" spans="10:20">
      <c r="J77">
        <f>IF($A77="","", SUMIFS(Mov_Qty, Mov_Item, $A77))</f>
        <v>0</v>
      </c>
      <c r="K77">
        <f>IF($A77="","", J77 * $E77)</f>
        <v>0</v>
      </c>
      <c r="L77">
        <f>IF($A77="","", SUMIFS(-Mov_Qty, Mov_Item, $A77, Mov_Type, "Consumption", Mov_Date, "&gt;="&amp;$V$2, Mov_Date, "&lt;="&amp;$W$2))</f>
        <v>0</v>
      </c>
      <c r="M77">
        <f>IF($A77="","", SUMIFS(-Mov_Qty, Mov_Item, $A77, Mov_Type, "Consumption", Mov_Date, "&gt;="&amp;$X$2, Mov_Date, "&lt;="&amp;$Y$2))</f>
        <v>0</v>
      </c>
      <c r="N77">
        <f>IF($A77="","", SUMIFS(-Mov_Qty, Mov_Item, $A77, Mov_Type, "Consumption", Mov_Date, "&gt;="&amp;$Z$2, Mov_Date, "&lt;="&amp;$AA$2))</f>
        <v>0</v>
      </c>
      <c r="O77">
        <f>IFERROR(AVERAGE(L77:N77),"")</f>
        <v>0</v>
      </c>
      <c r="P77">
        <f>IF(O77&gt;=Cfg_HiMove, "Yes", "")</f>
        <v>0</v>
      </c>
      <c r="Q77">
        <f>IF($A77="","", $I77 + IFERROR(O77/30*$H77,0))</f>
        <v>0</v>
      </c>
      <c r="R77">
        <f>IF($A77="","", IF(J77&lt;=$F77, "Yes", ""))</f>
        <v>0</v>
      </c>
      <c r="S77">
        <f>IF(R77="Yes", CEILING(MAX($G77, Q77-J77), $G77), 0)</f>
        <v>0</v>
      </c>
      <c r="T77">
        <f>IFERROR(J77/(O77/30),"")</f>
        <v>0</v>
      </c>
    </row>
    <row r="78" spans="10:20">
      <c r="J78">
        <f>IF($A78="","", SUMIFS(Mov_Qty, Mov_Item, $A78))</f>
        <v>0</v>
      </c>
      <c r="K78">
        <f>IF($A78="","", J78 * $E78)</f>
        <v>0</v>
      </c>
      <c r="L78">
        <f>IF($A78="","", SUMIFS(-Mov_Qty, Mov_Item, $A78, Mov_Type, "Consumption", Mov_Date, "&gt;="&amp;$V$2, Mov_Date, "&lt;="&amp;$W$2))</f>
        <v>0</v>
      </c>
      <c r="M78">
        <f>IF($A78="","", SUMIFS(-Mov_Qty, Mov_Item, $A78, Mov_Type, "Consumption", Mov_Date, "&gt;="&amp;$X$2, Mov_Date, "&lt;="&amp;$Y$2))</f>
        <v>0</v>
      </c>
      <c r="N78">
        <f>IF($A78="","", SUMIFS(-Mov_Qty, Mov_Item, $A78, Mov_Type, "Consumption", Mov_Date, "&gt;="&amp;$Z$2, Mov_Date, "&lt;="&amp;$AA$2))</f>
        <v>0</v>
      </c>
      <c r="O78">
        <f>IFERROR(AVERAGE(L78:N78),"")</f>
        <v>0</v>
      </c>
      <c r="P78">
        <f>IF(O78&gt;=Cfg_HiMove, "Yes", "")</f>
        <v>0</v>
      </c>
      <c r="Q78">
        <f>IF($A78="","", $I78 + IFERROR(O78/30*$H78,0))</f>
        <v>0</v>
      </c>
      <c r="R78">
        <f>IF($A78="","", IF(J78&lt;=$F78, "Yes", ""))</f>
        <v>0</v>
      </c>
      <c r="S78">
        <f>IF(R78="Yes", CEILING(MAX($G78, Q78-J78), $G78), 0)</f>
        <v>0</v>
      </c>
      <c r="T78">
        <f>IFERROR(J78/(O78/30),"")</f>
        <v>0</v>
      </c>
    </row>
    <row r="79" spans="10:20">
      <c r="J79">
        <f>IF($A79="","", SUMIFS(Mov_Qty, Mov_Item, $A79))</f>
        <v>0</v>
      </c>
      <c r="K79">
        <f>IF($A79="","", J79 * $E79)</f>
        <v>0</v>
      </c>
      <c r="L79">
        <f>IF($A79="","", SUMIFS(-Mov_Qty, Mov_Item, $A79, Mov_Type, "Consumption", Mov_Date, "&gt;="&amp;$V$2, Mov_Date, "&lt;="&amp;$W$2))</f>
        <v>0</v>
      </c>
      <c r="M79">
        <f>IF($A79="","", SUMIFS(-Mov_Qty, Mov_Item, $A79, Mov_Type, "Consumption", Mov_Date, "&gt;="&amp;$X$2, Mov_Date, "&lt;="&amp;$Y$2))</f>
        <v>0</v>
      </c>
      <c r="N79">
        <f>IF($A79="","", SUMIFS(-Mov_Qty, Mov_Item, $A79, Mov_Type, "Consumption", Mov_Date, "&gt;="&amp;$Z$2, Mov_Date, "&lt;="&amp;$AA$2))</f>
        <v>0</v>
      </c>
      <c r="O79">
        <f>IFERROR(AVERAGE(L79:N79),"")</f>
        <v>0</v>
      </c>
      <c r="P79">
        <f>IF(O79&gt;=Cfg_HiMove, "Yes", "")</f>
        <v>0</v>
      </c>
      <c r="Q79">
        <f>IF($A79="","", $I79 + IFERROR(O79/30*$H79,0))</f>
        <v>0</v>
      </c>
      <c r="R79">
        <f>IF($A79="","", IF(J79&lt;=$F79, "Yes", ""))</f>
        <v>0</v>
      </c>
      <c r="S79">
        <f>IF(R79="Yes", CEILING(MAX($G79, Q79-J79), $G79), 0)</f>
        <v>0</v>
      </c>
      <c r="T79">
        <f>IFERROR(J79/(O79/30),"")</f>
        <v>0</v>
      </c>
    </row>
    <row r="80" spans="10:20">
      <c r="J80">
        <f>IF($A80="","", SUMIFS(Mov_Qty, Mov_Item, $A80))</f>
        <v>0</v>
      </c>
      <c r="K80">
        <f>IF($A80="","", J80 * $E80)</f>
        <v>0</v>
      </c>
      <c r="L80">
        <f>IF($A80="","", SUMIFS(-Mov_Qty, Mov_Item, $A80, Mov_Type, "Consumption", Mov_Date, "&gt;="&amp;$V$2, Mov_Date, "&lt;="&amp;$W$2))</f>
        <v>0</v>
      </c>
      <c r="M80">
        <f>IF($A80="","", SUMIFS(-Mov_Qty, Mov_Item, $A80, Mov_Type, "Consumption", Mov_Date, "&gt;="&amp;$X$2, Mov_Date, "&lt;="&amp;$Y$2))</f>
        <v>0</v>
      </c>
      <c r="N80">
        <f>IF($A80="","", SUMIFS(-Mov_Qty, Mov_Item, $A80, Mov_Type, "Consumption", Mov_Date, "&gt;="&amp;$Z$2, Mov_Date, "&lt;="&amp;$AA$2))</f>
        <v>0</v>
      </c>
      <c r="O80">
        <f>IFERROR(AVERAGE(L80:N80),"")</f>
        <v>0</v>
      </c>
      <c r="P80">
        <f>IF(O80&gt;=Cfg_HiMove, "Yes", "")</f>
        <v>0</v>
      </c>
      <c r="Q80">
        <f>IF($A80="","", $I80 + IFERROR(O80/30*$H80,0))</f>
        <v>0</v>
      </c>
      <c r="R80">
        <f>IF($A80="","", IF(J80&lt;=$F80, "Yes", ""))</f>
        <v>0</v>
      </c>
      <c r="S80">
        <f>IF(R80="Yes", CEILING(MAX($G80, Q80-J80), $G80), 0)</f>
        <v>0</v>
      </c>
      <c r="T80">
        <f>IFERROR(J80/(O80/30),"")</f>
        <v>0</v>
      </c>
    </row>
    <row r="81" spans="10:20">
      <c r="J81">
        <f>IF($A81="","", SUMIFS(Mov_Qty, Mov_Item, $A81))</f>
        <v>0</v>
      </c>
      <c r="K81">
        <f>IF($A81="","", J81 * $E81)</f>
        <v>0</v>
      </c>
      <c r="L81">
        <f>IF($A81="","", SUMIFS(-Mov_Qty, Mov_Item, $A81, Mov_Type, "Consumption", Mov_Date, "&gt;="&amp;$V$2, Mov_Date, "&lt;="&amp;$W$2))</f>
        <v>0</v>
      </c>
      <c r="M81">
        <f>IF($A81="","", SUMIFS(-Mov_Qty, Mov_Item, $A81, Mov_Type, "Consumption", Mov_Date, "&gt;="&amp;$X$2, Mov_Date, "&lt;="&amp;$Y$2))</f>
        <v>0</v>
      </c>
      <c r="N81">
        <f>IF($A81="","", SUMIFS(-Mov_Qty, Mov_Item, $A81, Mov_Type, "Consumption", Mov_Date, "&gt;="&amp;$Z$2, Mov_Date, "&lt;="&amp;$AA$2))</f>
        <v>0</v>
      </c>
      <c r="O81">
        <f>IFERROR(AVERAGE(L81:N81),"")</f>
        <v>0</v>
      </c>
      <c r="P81">
        <f>IF(O81&gt;=Cfg_HiMove, "Yes", "")</f>
        <v>0</v>
      </c>
      <c r="Q81">
        <f>IF($A81="","", $I81 + IFERROR(O81/30*$H81,0))</f>
        <v>0</v>
      </c>
      <c r="R81">
        <f>IF($A81="","", IF(J81&lt;=$F81, "Yes", ""))</f>
        <v>0</v>
      </c>
      <c r="S81">
        <f>IF(R81="Yes", CEILING(MAX($G81, Q81-J81), $G81), 0)</f>
        <v>0</v>
      </c>
      <c r="T81">
        <f>IFERROR(J81/(O81/30),"")</f>
        <v>0</v>
      </c>
    </row>
    <row r="82" spans="10:20">
      <c r="J82">
        <f>IF($A82="","", SUMIFS(Mov_Qty, Mov_Item, $A82))</f>
        <v>0</v>
      </c>
      <c r="K82">
        <f>IF($A82="","", J82 * $E82)</f>
        <v>0</v>
      </c>
      <c r="L82">
        <f>IF($A82="","", SUMIFS(-Mov_Qty, Mov_Item, $A82, Mov_Type, "Consumption", Mov_Date, "&gt;="&amp;$V$2, Mov_Date, "&lt;="&amp;$W$2))</f>
        <v>0</v>
      </c>
      <c r="M82">
        <f>IF($A82="","", SUMIFS(-Mov_Qty, Mov_Item, $A82, Mov_Type, "Consumption", Mov_Date, "&gt;="&amp;$X$2, Mov_Date, "&lt;="&amp;$Y$2))</f>
        <v>0</v>
      </c>
      <c r="N82">
        <f>IF($A82="","", SUMIFS(-Mov_Qty, Mov_Item, $A82, Mov_Type, "Consumption", Mov_Date, "&gt;="&amp;$Z$2, Mov_Date, "&lt;="&amp;$AA$2))</f>
        <v>0</v>
      </c>
      <c r="O82">
        <f>IFERROR(AVERAGE(L82:N82),"")</f>
        <v>0</v>
      </c>
      <c r="P82">
        <f>IF(O82&gt;=Cfg_HiMove, "Yes", "")</f>
        <v>0</v>
      </c>
      <c r="Q82">
        <f>IF($A82="","", $I82 + IFERROR(O82/30*$H82,0))</f>
        <v>0</v>
      </c>
      <c r="R82">
        <f>IF($A82="","", IF(J82&lt;=$F82, "Yes", ""))</f>
        <v>0</v>
      </c>
      <c r="S82">
        <f>IF(R82="Yes", CEILING(MAX($G82, Q82-J82), $G82), 0)</f>
        <v>0</v>
      </c>
      <c r="T82">
        <f>IFERROR(J82/(O82/30),"")</f>
        <v>0</v>
      </c>
    </row>
    <row r="83" spans="10:20">
      <c r="J83">
        <f>IF($A83="","", SUMIFS(Mov_Qty, Mov_Item, $A83))</f>
        <v>0</v>
      </c>
      <c r="K83">
        <f>IF($A83="","", J83 * $E83)</f>
        <v>0</v>
      </c>
      <c r="L83">
        <f>IF($A83="","", SUMIFS(-Mov_Qty, Mov_Item, $A83, Mov_Type, "Consumption", Mov_Date, "&gt;="&amp;$V$2, Mov_Date, "&lt;="&amp;$W$2))</f>
        <v>0</v>
      </c>
      <c r="M83">
        <f>IF($A83="","", SUMIFS(-Mov_Qty, Mov_Item, $A83, Mov_Type, "Consumption", Mov_Date, "&gt;="&amp;$X$2, Mov_Date, "&lt;="&amp;$Y$2))</f>
        <v>0</v>
      </c>
      <c r="N83">
        <f>IF($A83="","", SUMIFS(-Mov_Qty, Mov_Item, $A83, Mov_Type, "Consumption", Mov_Date, "&gt;="&amp;$Z$2, Mov_Date, "&lt;="&amp;$AA$2))</f>
        <v>0</v>
      </c>
      <c r="O83">
        <f>IFERROR(AVERAGE(L83:N83),"")</f>
        <v>0</v>
      </c>
      <c r="P83">
        <f>IF(O83&gt;=Cfg_HiMove, "Yes", "")</f>
        <v>0</v>
      </c>
      <c r="Q83">
        <f>IF($A83="","", $I83 + IFERROR(O83/30*$H83,0))</f>
        <v>0</v>
      </c>
      <c r="R83">
        <f>IF($A83="","", IF(J83&lt;=$F83, "Yes", ""))</f>
        <v>0</v>
      </c>
      <c r="S83">
        <f>IF(R83="Yes", CEILING(MAX($G83, Q83-J83), $G83), 0)</f>
        <v>0</v>
      </c>
      <c r="T83">
        <f>IFERROR(J83/(O83/30),"")</f>
        <v>0</v>
      </c>
    </row>
    <row r="84" spans="10:20">
      <c r="J84">
        <f>IF($A84="","", SUMIFS(Mov_Qty, Mov_Item, $A84))</f>
        <v>0</v>
      </c>
      <c r="K84">
        <f>IF($A84="","", J84 * $E84)</f>
        <v>0</v>
      </c>
      <c r="L84">
        <f>IF($A84="","", SUMIFS(-Mov_Qty, Mov_Item, $A84, Mov_Type, "Consumption", Mov_Date, "&gt;="&amp;$V$2, Mov_Date, "&lt;="&amp;$W$2))</f>
        <v>0</v>
      </c>
      <c r="M84">
        <f>IF($A84="","", SUMIFS(-Mov_Qty, Mov_Item, $A84, Mov_Type, "Consumption", Mov_Date, "&gt;="&amp;$X$2, Mov_Date, "&lt;="&amp;$Y$2))</f>
        <v>0</v>
      </c>
      <c r="N84">
        <f>IF($A84="","", SUMIFS(-Mov_Qty, Mov_Item, $A84, Mov_Type, "Consumption", Mov_Date, "&gt;="&amp;$Z$2, Mov_Date, "&lt;="&amp;$AA$2))</f>
        <v>0</v>
      </c>
      <c r="O84">
        <f>IFERROR(AVERAGE(L84:N84),"")</f>
        <v>0</v>
      </c>
      <c r="P84">
        <f>IF(O84&gt;=Cfg_HiMove, "Yes", "")</f>
        <v>0</v>
      </c>
      <c r="Q84">
        <f>IF($A84="","", $I84 + IFERROR(O84/30*$H84,0))</f>
        <v>0</v>
      </c>
      <c r="R84">
        <f>IF($A84="","", IF(J84&lt;=$F84, "Yes", ""))</f>
        <v>0</v>
      </c>
      <c r="S84">
        <f>IF(R84="Yes", CEILING(MAX($G84, Q84-J84), $G84), 0)</f>
        <v>0</v>
      </c>
      <c r="T84">
        <f>IFERROR(J84/(O84/30),"")</f>
        <v>0</v>
      </c>
    </row>
    <row r="85" spans="10:20">
      <c r="J85">
        <f>IF($A85="","", SUMIFS(Mov_Qty, Mov_Item, $A85))</f>
        <v>0</v>
      </c>
      <c r="K85">
        <f>IF($A85="","", J85 * $E85)</f>
        <v>0</v>
      </c>
      <c r="L85">
        <f>IF($A85="","", SUMIFS(-Mov_Qty, Mov_Item, $A85, Mov_Type, "Consumption", Mov_Date, "&gt;="&amp;$V$2, Mov_Date, "&lt;="&amp;$W$2))</f>
        <v>0</v>
      </c>
      <c r="M85">
        <f>IF($A85="","", SUMIFS(-Mov_Qty, Mov_Item, $A85, Mov_Type, "Consumption", Mov_Date, "&gt;="&amp;$X$2, Mov_Date, "&lt;="&amp;$Y$2))</f>
        <v>0</v>
      </c>
      <c r="N85">
        <f>IF($A85="","", SUMIFS(-Mov_Qty, Mov_Item, $A85, Mov_Type, "Consumption", Mov_Date, "&gt;="&amp;$Z$2, Mov_Date, "&lt;="&amp;$AA$2))</f>
        <v>0</v>
      </c>
      <c r="O85">
        <f>IFERROR(AVERAGE(L85:N85),"")</f>
        <v>0</v>
      </c>
      <c r="P85">
        <f>IF(O85&gt;=Cfg_HiMove, "Yes", "")</f>
        <v>0</v>
      </c>
      <c r="Q85">
        <f>IF($A85="","", $I85 + IFERROR(O85/30*$H85,0))</f>
        <v>0</v>
      </c>
      <c r="R85">
        <f>IF($A85="","", IF(J85&lt;=$F85, "Yes", ""))</f>
        <v>0</v>
      </c>
      <c r="S85">
        <f>IF(R85="Yes", CEILING(MAX($G85, Q85-J85), $G85), 0)</f>
        <v>0</v>
      </c>
      <c r="T85">
        <f>IFERROR(J85/(O85/30),"")</f>
        <v>0</v>
      </c>
    </row>
    <row r="86" spans="10:20">
      <c r="J86">
        <f>IF($A86="","", SUMIFS(Mov_Qty, Mov_Item, $A86))</f>
        <v>0</v>
      </c>
      <c r="K86">
        <f>IF($A86="","", J86 * $E86)</f>
        <v>0</v>
      </c>
      <c r="L86">
        <f>IF($A86="","", SUMIFS(-Mov_Qty, Mov_Item, $A86, Mov_Type, "Consumption", Mov_Date, "&gt;="&amp;$V$2, Mov_Date, "&lt;="&amp;$W$2))</f>
        <v>0</v>
      </c>
      <c r="M86">
        <f>IF($A86="","", SUMIFS(-Mov_Qty, Mov_Item, $A86, Mov_Type, "Consumption", Mov_Date, "&gt;="&amp;$X$2, Mov_Date, "&lt;="&amp;$Y$2))</f>
        <v>0</v>
      </c>
      <c r="N86">
        <f>IF($A86="","", SUMIFS(-Mov_Qty, Mov_Item, $A86, Mov_Type, "Consumption", Mov_Date, "&gt;="&amp;$Z$2, Mov_Date, "&lt;="&amp;$AA$2))</f>
        <v>0</v>
      </c>
      <c r="O86">
        <f>IFERROR(AVERAGE(L86:N86),"")</f>
        <v>0</v>
      </c>
      <c r="P86">
        <f>IF(O86&gt;=Cfg_HiMove, "Yes", "")</f>
        <v>0</v>
      </c>
      <c r="Q86">
        <f>IF($A86="","", $I86 + IFERROR(O86/30*$H86,0))</f>
        <v>0</v>
      </c>
      <c r="R86">
        <f>IF($A86="","", IF(J86&lt;=$F86, "Yes", ""))</f>
        <v>0</v>
      </c>
      <c r="S86">
        <f>IF(R86="Yes", CEILING(MAX($G86, Q86-J86), $G86), 0)</f>
        <v>0</v>
      </c>
      <c r="T86">
        <f>IFERROR(J86/(O86/30),"")</f>
        <v>0</v>
      </c>
    </row>
    <row r="87" spans="10:20">
      <c r="J87">
        <f>IF($A87="","", SUMIFS(Mov_Qty, Mov_Item, $A87))</f>
        <v>0</v>
      </c>
      <c r="K87">
        <f>IF($A87="","", J87 * $E87)</f>
        <v>0</v>
      </c>
      <c r="L87">
        <f>IF($A87="","", SUMIFS(-Mov_Qty, Mov_Item, $A87, Mov_Type, "Consumption", Mov_Date, "&gt;="&amp;$V$2, Mov_Date, "&lt;="&amp;$W$2))</f>
        <v>0</v>
      </c>
      <c r="M87">
        <f>IF($A87="","", SUMIFS(-Mov_Qty, Mov_Item, $A87, Mov_Type, "Consumption", Mov_Date, "&gt;="&amp;$X$2, Mov_Date, "&lt;="&amp;$Y$2))</f>
        <v>0</v>
      </c>
      <c r="N87">
        <f>IF($A87="","", SUMIFS(-Mov_Qty, Mov_Item, $A87, Mov_Type, "Consumption", Mov_Date, "&gt;="&amp;$Z$2, Mov_Date, "&lt;="&amp;$AA$2))</f>
        <v>0</v>
      </c>
      <c r="O87">
        <f>IFERROR(AVERAGE(L87:N87),"")</f>
        <v>0</v>
      </c>
      <c r="P87">
        <f>IF(O87&gt;=Cfg_HiMove, "Yes", "")</f>
        <v>0</v>
      </c>
      <c r="Q87">
        <f>IF($A87="","", $I87 + IFERROR(O87/30*$H87,0))</f>
        <v>0</v>
      </c>
      <c r="R87">
        <f>IF($A87="","", IF(J87&lt;=$F87, "Yes", ""))</f>
        <v>0</v>
      </c>
      <c r="S87">
        <f>IF(R87="Yes", CEILING(MAX($G87, Q87-J87), $G87), 0)</f>
        <v>0</v>
      </c>
      <c r="T87">
        <f>IFERROR(J87/(O87/30),"")</f>
        <v>0</v>
      </c>
    </row>
    <row r="88" spans="10:20">
      <c r="J88">
        <f>IF($A88="","", SUMIFS(Mov_Qty, Mov_Item, $A88))</f>
        <v>0</v>
      </c>
      <c r="K88">
        <f>IF($A88="","", J88 * $E88)</f>
        <v>0</v>
      </c>
      <c r="L88">
        <f>IF($A88="","", SUMIFS(-Mov_Qty, Mov_Item, $A88, Mov_Type, "Consumption", Mov_Date, "&gt;="&amp;$V$2, Mov_Date, "&lt;="&amp;$W$2))</f>
        <v>0</v>
      </c>
      <c r="M88">
        <f>IF($A88="","", SUMIFS(-Mov_Qty, Mov_Item, $A88, Mov_Type, "Consumption", Mov_Date, "&gt;="&amp;$X$2, Mov_Date, "&lt;="&amp;$Y$2))</f>
        <v>0</v>
      </c>
      <c r="N88">
        <f>IF($A88="","", SUMIFS(-Mov_Qty, Mov_Item, $A88, Mov_Type, "Consumption", Mov_Date, "&gt;="&amp;$Z$2, Mov_Date, "&lt;="&amp;$AA$2))</f>
        <v>0</v>
      </c>
      <c r="O88">
        <f>IFERROR(AVERAGE(L88:N88),"")</f>
        <v>0</v>
      </c>
      <c r="P88">
        <f>IF(O88&gt;=Cfg_HiMove, "Yes", "")</f>
        <v>0</v>
      </c>
      <c r="Q88">
        <f>IF($A88="","", $I88 + IFERROR(O88/30*$H88,0))</f>
        <v>0</v>
      </c>
      <c r="R88">
        <f>IF($A88="","", IF(J88&lt;=$F88, "Yes", ""))</f>
        <v>0</v>
      </c>
      <c r="S88">
        <f>IF(R88="Yes", CEILING(MAX($G88, Q88-J88), $G88), 0)</f>
        <v>0</v>
      </c>
      <c r="T88">
        <f>IFERROR(J88/(O88/30),"")</f>
        <v>0</v>
      </c>
    </row>
    <row r="89" spans="10:20">
      <c r="J89">
        <f>IF($A89="","", SUMIFS(Mov_Qty, Mov_Item, $A89))</f>
        <v>0</v>
      </c>
      <c r="K89">
        <f>IF($A89="","", J89 * $E89)</f>
        <v>0</v>
      </c>
      <c r="L89">
        <f>IF($A89="","", SUMIFS(-Mov_Qty, Mov_Item, $A89, Mov_Type, "Consumption", Mov_Date, "&gt;="&amp;$V$2, Mov_Date, "&lt;="&amp;$W$2))</f>
        <v>0</v>
      </c>
      <c r="M89">
        <f>IF($A89="","", SUMIFS(-Mov_Qty, Mov_Item, $A89, Mov_Type, "Consumption", Mov_Date, "&gt;="&amp;$X$2, Mov_Date, "&lt;="&amp;$Y$2))</f>
        <v>0</v>
      </c>
      <c r="N89">
        <f>IF($A89="","", SUMIFS(-Mov_Qty, Mov_Item, $A89, Mov_Type, "Consumption", Mov_Date, "&gt;="&amp;$Z$2, Mov_Date, "&lt;="&amp;$AA$2))</f>
        <v>0</v>
      </c>
      <c r="O89">
        <f>IFERROR(AVERAGE(L89:N89),"")</f>
        <v>0</v>
      </c>
      <c r="P89">
        <f>IF(O89&gt;=Cfg_HiMove, "Yes", "")</f>
        <v>0</v>
      </c>
      <c r="Q89">
        <f>IF($A89="","", $I89 + IFERROR(O89/30*$H89,0))</f>
        <v>0</v>
      </c>
      <c r="R89">
        <f>IF($A89="","", IF(J89&lt;=$F89, "Yes", ""))</f>
        <v>0</v>
      </c>
      <c r="S89">
        <f>IF(R89="Yes", CEILING(MAX($G89, Q89-J89), $G89), 0)</f>
        <v>0</v>
      </c>
      <c r="T89">
        <f>IFERROR(J89/(O89/30),"")</f>
        <v>0</v>
      </c>
    </row>
    <row r="90" spans="10:20">
      <c r="J90">
        <f>IF($A90="","", SUMIFS(Mov_Qty, Mov_Item, $A90))</f>
        <v>0</v>
      </c>
      <c r="K90">
        <f>IF($A90="","", J90 * $E90)</f>
        <v>0</v>
      </c>
      <c r="L90">
        <f>IF($A90="","", SUMIFS(-Mov_Qty, Mov_Item, $A90, Mov_Type, "Consumption", Mov_Date, "&gt;="&amp;$V$2, Mov_Date, "&lt;="&amp;$W$2))</f>
        <v>0</v>
      </c>
      <c r="M90">
        <f>IF($A90="","", SUMIFS(-Mov_Qty, Mov_Item, $A90, Mov_Type, "Consumption", Mov_Date, "&gt;="&amp;$X$2, Mov_Date, "&lt;="&amp;$Y$2))</f>
        <v>0</v>
      </c>
      <c r="N90">
        <f>IF($A90="","", SUMIFS(-Mov_Qty, Mov_Item, $A90, Mov_Type, "Consumption", Mov_Date, "&gt;="&amp;$Z$2, Mov_Date, "&lt;="&amp;$AA$2))</f>
        <v>0</v>
      </c>
      <c r="O90">
        <f>IFERROR(AVERAGE(L90:N90),"")</f>
        <v>0</v>
      </c>
      <c r="P90">
        <f>IF(O90&gt;=Cfg_HiMove, "Yes", "")</f>
        <v>0</v>
      </c>
      <c r="Q90">
        <f>IF($A90="","", $I90 + IFERROR(O90/30*$H90,0))</f>
        <v>0</v>
      </c>
      <c r="R90">
        <f>IF($A90="","", IF(J90&lt;=$F90, "Yes", ""))</f>
        <v>0</v>
      </c>
      <c r="S90">
        <f>IF(R90="Yes", CEILING(MAX($G90, Q90-J90), $G90), 0)</f>
        <v>0</v>
      </c>
      <c r="T90">
        <f>IFERROR(J90/(O90/30),"")</f>
        <v>0</v>
      </c>
    </row>
    <row r="91" spans="10:20">
      <c r="J91">
        <f>IF($A91="","", SUMIFS(Mov_Qty, Mov_Item, $A91))</f>
        <v>0</v>
      </c>
      <c r="K91">
        <f>IF($A91="","", J91 * $E91)</f>
        <v>0</v>
      </c>
      <c r="L91">
        <f>IF($A91="","", SUMIFS(-Mov_Qty, Mov_Item, $A91, Mov_Type, "Consumption", Mov_Date, "&gt;="&amp;$V$2, Mov_Date, "&lt;="&amp;$W$2))</f>
        <v>0</v>
      </c>
      <c r="M91">
        <f>IF($A91="","", SUMIFS(-Mov_Qty, Mov_Item, $A91, Mov_Type, "Consumption", Mov_Date, "&gt;="&amp;$X$2, Mov_Date, "&lt;="&amp;$Y$2))</f>
        <v>0</v>
      </c>
      <c r="N91">
        <f>IF($A91="","", SUMIFS(-Mov_Qty, Mov_Item, $A91, Mov_Type, "Consumption", Mov_Date, "&gt;="&amp;$Z$2, Mov_Date, "&lt;="&amp;$AA$2))</f>
        <v>0</v>
      </c>
      <c r="O91">
        <f>IFERROR(AVERAGE(L91:N91),"")</f>
        <v>0</v>
      </c>
      <c r="P91">
        <f>IF(O91&gt;=Cfg_HiMove, "Yes", "")</f>
        <v>0</v>
      </c>
      <c r="Q91">
        <f>IF($A91="","", $I91 + IFERROR(O91/30*$H91,0))</f>
        <v>0</v>
      </c>
      <c r="R91">
        <f>IF($A91="","", IF(J91&lt;=$F91, "Yes", ""))</f>
        <v>0</v>
      </c>
      <c r="S91">
        <f>IF(R91="Yes", CEILING(MAX($G91, Q91-J91), $G91), 0)</f>
        <v>0</v>
      </c>
      <c r="T91">
        <f>IFERROR(J91/(O91/30),"")</f>
        <v>0</v>
      </c>
    </row>
    <row r="92" spans="10:20">
      <c r="J92">
        <f>IF($A92="","", SUMIFS(Mov_Qty, Mov_Item, $A92))</f>
        <v>0</v>
      </c>
      <c r="K92">
        <f>IF($A92="","", J92 * $E92)</f>
        <v>0</v>
      </c>
      <c r="L92">
        <f>IF($A92="","", SUMIFS(-Mov_Qty, Mov_Item, $A92, Mov_Type, "Consumption", Mov_Date, "&gt;="&amp;$V$2, Mov_Date, "&lt;="&amp;$W$2))</f>
        <v>0</v>
      </c>
      <c r="M92">
        <f>IF($A92="","", SUMIFS(-Mov_Qty, Mov_Item, $A92, Mov_Type, "Consumption", Mov_Date, "&gt;="&amp;$X$2, Mov_Date, "&lt;="&amp;$Y$2))</f>
        <v>0</v>
      </c>
      <c r="N92">
        <f>IF($A92="","", SUMIFS(-Mov_Qty, Mov_Item, $A92, Mov_Type, "Consumption", Mov_Date, "&gt;="&amp;$Z$2, Mov_Date, "&lt;="&amp;$AA$2))</f>
        <v>0</v>
      </c>
      <c r="O92">
        <f>IFERROR(AVERAGE(L92:N92),"")</f>
        <v>0</v>
      </c>
      <c r="P92">
        <f>IF(O92&gt;=Cfg_HiMove, "Yes", "")</f>
        <v>0</v>
      </c>
      <c r="Q92">
        <f>IF($A92="","", $I92 + IFERROR(O92/30*$H92,0))</f>
        <v>0</v>
      </c>
      <c r="R92">
        <f>IF($A92="","", IF(J92&lt;=$F92, "Yes", ""))</f>
        <v>0</v>
      </c>
      <c r="S92">
        <f>IF(R92="Yes", CEILING(MAX($G92, Q92-J92), $G92), 0)</f>
        <v>0</v>
      </c>
      <c r="T92">
        <f>IFERROR(J92/(O92/30),"")</f>
        <v>0</v>
      </c>
    </row>
    <row r="93" spans="10:20">
      <c r="J93">
        <f>IF($A93="","", SUMIFS(Mov_Qty, Mov_Item, $A93))</f>
        <v>0</v>
      </c>
      <c r="K93">
        <f>IF($A93="","", J93 * $E93)</f>
        <v>0</v>
      </c>
      <c r="L93">
        <f>IF($A93="","", SUMIFS(-Mov_Qty, Mov_Item, $A93, Mov_Type, "Consumption", Mov_Date, "&gt;="&amp;$V$2, Mov_Date, "&lt;="&amp;$W$2))</f>
        <v>0</v>
      </c>
      <c r="M93">
        <f>IF($A93="","", SUMIFS(-Mov_Qty, Mov_Item, $A93, Mov_Type, "Consumption", Mov_Date, "&gt;="&amp;$X$2, Mov_Date, "&lt;="&amp;$Y$2))</f>
        <v>0</v>
      </c>
      <c r="N93">
        <f>IF($A93="","", SUMIFS(-Mov_Qty, Mov_Item, $A93, Mov_Type, "Consumption", Mov_Date, "&gt;="&amp;$Z$2, Mov_Date, "&lt;="&amp;$AA$2))</f>
        <v>0</v>
      </c>
      <c r="O93">
        <f>IFERROR(AVERAGE(L93:N93),"")</f>
        <v>0</v>
      </c>
      <c r="P93">
        <f>IF(O93&gt;=Cfg_HiMove, "Yes", "")</f>
        <v>0</v>
      </c>
      <c r="Q93">
        <f>IF($A93="","", $I93 + IFERROR(O93/30*$H93,0))</f>
        <v>0</v>
      </c>
      <c r="R93">
        <f>IF($A93="","", IF(J93&lt;=$F93, "Yes", ""))</f>
        <v>0</v>
      </c>
      <c r="S93">
        <f>IF(R93="Yes", CEILING(MAX($G93, Q93-J93), $G93), 0)</f>
        <v>0</v>
      </c>
      <c r="T93">
        <f>IFERROR(J93/(O93/30),"")</f>
        <v>0</v>
      </c>
    </row>
    <row r="94" spans="10:20">
      <c r="J94">
        <f>IF($A94="","", SUMIFS(Mov_Qty, Mov_Item, $A94))</f>
        <v>0</v>
      </c>
      <c r="K94">
        <f>IF($A94="","", J94 * $E94)</f>
        <v>0</v>
      </c>
      <c r="L94">
        <f>IF($A94="","", SUMIFS(-Mov_Qty, Mov_Item, $A94, Mov_Type, "Consumption", Mov_Date, "&gt;="&amp;$V$2, Mov_Date, "&lt;="&amp;$W$2))</f>
        <v>0</v>
      </c>
      <c r="M94">
        <f>IF($A94="","", SUMIFS(-Mov_Qty, Mov_Item, $A94, Mov_Type, "Consumption", Mov_Date, "&gt;="&amp;$X$2, Mov_Date, "&lt;="&amp;$Y$2))</f>
        <v>0</v>
      </c>
      <c r="N94">
        <f>IF($A94="","", SUMIFS(-Mov_Qty, Mov_Item, $A94, Mov_Type, "Consumption", Mov_Date, "&gt;="&amp;$Z$2, Mov_Date, "&lt;="&amp;$AA$2))</f>
        <v>0</v>
      </c>
      <c r="O94">
        <f>IFERROR(AVERAGE(L94:N94),"")</f>
        <v>0</v>
      </c>
      <c r="P94">
        <f>IF(O94&gt;=Cfg_HiMove, "Yes", "")</f>
        <v>0</v>
      </c>
      <c r="Q94">
        <f>IF($A94="","", $I94 + IFERROR(O94/30*$H94,0))</f>
        <v>0</v>
      </c>
      <c r="R94">
        <f>IF($A94="","", IF(J94&lt;=$F94, "Yes", ""))</f>
        <v>0</v>
      </c>
      <c r="S94">
        <f>IF(R94="Yes", CEILING(MAX($G94, Q94-J94), $G94), 0)</f>
        <v>0</v>
      </c>
      <c r="T94">
        <f>IFERROR(J94/(O94/30),"")</f>
        <v>0</v>
      </c>
    </row>
    <row r="95" spans="10:20">
      <c r="J95">
        <f>IF($A95="","", SUMIFS(Mov_Qty, Mov_Item, $A95))</f>
        <v>0</v>
      </c>
      <c r="K95">
        <f>IF($A95="","", J95 * $E95)</f>
        <v>0</v>
      </c>
      <c r="L95">
        <f>IF($A95="","", SUMIFS(-Mov_Qty, Mov_Item, $A95, Mov_Type, "Consumption", Mov_Date, "&gt;="&amp;$V$2, Mov_Date, "&lt;="&amp;$W$2))</f>
        <v>0</v>
      </c>
      <c r="M95">
        <f>IF($A95="","", SUMIFS(-Mov_Qty, Mov_Item, $A95, Mov_Type, "Consumption", Mov_Date, "&gt;="&amp;$X$2, Mov_Date, "&lt;="&amp;$Y$2))</f>
        <v>0</v>
      </c>
      <c r="N95">
        <f>IF($A95="","", SUMIFS(-Mov_Qty, Mov_Item, $A95, Mov_Type, "Consumption", Mov_Date, "&gt;="&amp;$Z$2, Mov_Date, "&lt;="&amp;$AA$2))</f>
        <v>0</v>
      </c>
      <c r="O95">
        <f>IFERROR(AVERAGE(L95:N95),"")</f>
        <v>0</v>
      </c>
      <c r="P95">
        <f>IF(O95&gt;=Cfg_HiMove, "Yes", "")</f>
        <v>0</v>
      </c>
      <c r="Q95">
        <f>IF($A95="","", $I95 + IFERROR(O95/30*$H95,0))</f>
        <v>0</v>
      </c>
      <c r="R95">
        <f>IF($A95="","", IF(J95&lt;=$F95, "Yes", ""))</f>
        <v>0</v>
      </c>
      <c r="S95">
        <f>IF(R95="Yes", CEILING(MAX($G95, Q95-J95), $G95), 0)</f>
        <v>0</v>
      </c>
      <c r="T95">
        <f>IFERROR(J95/(O95/30),"")</f>
        <v>0</v>
      </c>
    </row>
    <row r="96" spans="10:20">
      <c r="J96">
        <f>IF($A96="","", SUMIFS(Mov_Qty, Mov_Item, $A96))</f>
        <v>0</v>
      </c>
      <c r="K96">
        <f>IF($A96="","", J96 * $E96)</f>
        <v>0</v>
      </c>
      <c r="L96">
        <f>IF($A96="","", SUMIFS(-Mov_Qty, Mov_Item, $A96, Mov_Type, "Consumption", Mov_Date, "&gt;="&amp;$V$2, Mov_Date, "&lt;="&amp;$W$2))</f>
        <v>0</v>
      </c>
      <c r="M96">
        <f>IF($A96="","", SUMIFS(-Mov_Qty, Mov_Item, $A96, Mov_Type, "Consumption", Mov_Date, "&gt;="&amp;$X$2, Mov_Date, "&lt;="&amp;$Y$2))</f>
        <v>0</v>
      </c>
      <c r="N96">
        <f>IF($A96="","", SUMIFS(-Mov_Qty, Mov_Item, $A96, Mov_Type, "Consumption", Mov_Date, "&gt;="&amp;$Z$2, Mov_Date, "&lt;="&amp;$AA$2))</f>
        <v>0</v>
      </c>
      <c r="O96">
        <f>IFERROR(AVERAGE(L96:N96),"")</f>
        <v>0</v>
      </c>
      <c r="P96">
        <f>IF(O96&gt;=Cfg_HiMove, "Yes", "")</f>
        <v>0</v>
      </c>
      <c r="Q96">
        <f>IF($A96="","", $I96 + IFERROR(O96/30*$H96,0))</f>
        <v>0</v>
      </c>
      <c r="R96">
        <f>IF($A96="","", IF(J96&lt;=$F96, "Yes", ""))</f>
        <v>0</v>
      </c>
      <c r="S96">
        <f>IF(R96="Yes", CEILING(MAX($G96, Q96-J96), $G96), 0)</f>
        <v>0</v>
      </c>
      <c r="T96">
        <f>IFERROR(J96/(O96/30),"")</f>
        <v>0</v>
      </c>
    </row>
    <row r="97" spans="10:20">
      <c r="J97">
        <f>IF($A97="","", SUMIFS(Mov_Qty, Mov_Item, $A97))</f>
        <v>0</v>
      </c>
      <c r="K97">
        <f>IF($A97="","", J97 * $E97)</f>
        <v>0</v>
      </c>
      <c r="L97">
        <f>IF($A97="","", SUMIFS(-Mov_Qty, Mov_Item, $A97, Mov_Type, "Consumption", Mov_Date, "&gt;="&amp;$V$2, Mov_Date, "&lt;="&amp;$W$2))</f>
        <v>0</v>
      </c>
      <c r="M97">
        <f>IF($A97="","", SUMIFS(-Mov_Qty, Mov_Item, $A97, Mov_Type, "Consumption", Mov_Date, "&gt;="&amp;$X$2, Mov_Date, "&lt;="&amp;$Y$2))</f>
        <v>0</v>
      </c>
      <c r="N97">
        <f>IF($A97="","", SUMIFS(-Mov_Qty, Mov_Item, $A97, Mov_Type, "Consumption", Mov_Date, "&gt;="&amp;$Z$2, Mov_Date, "&lt;="&amp;$AA$2))</f>
        <v>0</v>
      </c>
      <c r="O97">
        <f>IFERROR(AVERAGE(L97:N97),"")</f>
        <v>0</v>
      </c>
      <c r="P97">
        <f>IF(O97&gt;=Cfg_HiMove, "Yes", "")</f>
        <v>0</v>
      </c>
      <c r="Q97">
        <f>IF($A97="","", $I97 + IFERROR(O97/30*$H97,0))</f>
        <v>0</v>
      </c>
      <c r="R97">
        <f>IF($A97="","", IF(J97&lt;=$F97, "Yes", ""))</f>
        <v>0</v>
      </c>
      <c r="S97">
        <f>IF(R97="Yes", CEILING(MAX($G97, Q97-J97), $G97), 0)</f>
        <v>0</v>
      </c>
      <c r="T97">
        <f>IFERROR(J97/(O97/30),"")</f>
        <v>0</v>
      </c>
    </row>
    <row r="98" spans="10:20">
      <c r="J98">
        <f>IF($A98="","", SUMIFS(Mov_Qty, Mov_Item, $A98))</f>
        <v>0</v>
      </c>
      <c r="K98">
        <f>IF($A98="","", J98 * $E98)</f>
        <v>0</v>
      </c>
      <c r="L98">
        <f>IF($A98="","", SUMIFS(-Mov_Qty, Mov_Item, $A98, Mov_Type, "Consumption", Mov_Date, "&gt;="&amp;$V$2, Mov_Date, "&lt;="&amp;$W$2))</f>
        <v>0</v>
      </c>
      <c r="M98">
        <f>IF($A98="","", SUMIFS(-Mov_Qty, Mov_Item, $A98, Mov_Type, "Consumption", Mov_Date, "&gt;="&amp;$X$2, Mov_Date, "&lt;="&amp;$Y$2))</f>
        <v>0</v>
      </c>
      <c r="N98">
        <f>IF($A98="","", SUMIFS(-Mov_Qty, Mov_Item, $A98, Mov_Type, "Consumption", Mov_Date, "&gt;="&amp;$Z$2, Mov_Date, "&lt;="&amp;$AA$2))</f>
        <v>0</v>
      </c>
      <c r="O98">
        <f>IFERROR(AVERAGE(L98:N98),"")</f>
        <v>0</v>
      </c>
      <c r="P98">
        <f>IF(O98&gt;=Cfg_HiMove, "Yes", "")</f>
        <v>0</v>
      </c>
      <c r="Q98">
        <f>IF($A98="","", $I98 + IFERROR(O98/30*$H98,0))</f>
        <v>0</v>
      </c>
      <c r="R98">
        <f>IF($A98="","", IF(J98&lt;=$F98, "Yes", ""))</f>
        <v>0</v>
      </c>
      <c r="S98">
        <f>IF(R98="Yes", CEILING(MAX($G98, Q98-J98), $G98), 0)</f>
        <v>0</v>
      </c>
      <c r="T98">
        <f>IFERROR(J98/(O98/30),"")</f>
        <v>0</v>
      </c>
    </row>
    <row r="99" spans="10:20">
      <c r="J99">
        <f>IF($A99="","", SUMIFS(Mov_Qty, Mov_Item, $A99))</f>
        <v>0</v>
      </c>
      <c r="K99">
        <f>IF($A99="","", J99 * $E99)</f>
        <v>0</v>
      </c>
      <c r="L99">
        <f>IF($A99="","", SUMIFS(-Mov_Qty, Mov_Item, $A99, Mov_Type, "Consumption", Mov_Date, "&gt;="&amp;$V$2, Mov_Date, "&lt;="&amp;$W$2))</f>
        <v>0</v>
      </c>
      <c r="M99">
        <f>IF($A99="","", SUMIFS(-Mov_Qty, Mov_Item, $A99, Mov_Type, "Consumption", Mov_Date, "&gt;="&amp;$X$2, Mov_Date, "&lt;="&amp;$Y$2))</f>
        <v>0</v>
      </c>
      <c r="N99">
        <f>IF($A99="","", SUMIFS(-Mov_Qty, Mov_Item, $A99, Mov_Type, "Consumption", Mov_Date, "&gt;="&amp;$Z$2, Mov_Date, "&lt;="&amp;$AA$2))</f>
        <v>0</v>
      </c>
      <c r="O99">
        <f>IFERROR(AVERAGE(L99:N99),"")</f>
        <v>0</v>
      </c>
      <c r="P99">
        <f>IF(O99&gt;=Cfg_HiMove, "Yes", "")</f>
        <v>0</v>
      </c>
      <c r="Q99">
        <f>IF($A99="","", $I99 + IFERROR(O99/30*$H99,0))</f>
        <v>0</v>
      </c>
      <c r="R99">
        <f>IF($A99="","", IF(J99&lt;=$F99, "Yes", ""))</f>
        <v>0</v>
      </c>
      <c r="S99">
        <f>IF(R99="Yes", CEILING(MAX($G99, Q99-J99), $G99), 0)</f>
        <v>0</v>
      </c>
      <c r="T99">
        <f>IFERROR(J99/(O99/30),"")</f>
        <v>0</v>
      </c>
    </row>
    <row r="100" spans="10:20">
      <c r="J100">
        <f>IF($A100="","", SUMIFS(Mov_Qty, Mov_Item, $A100))</f>
        <v>0</v>
      </c>
      <c r="K100">
        <f>IF($A100="","", J100 * $E100)</f>
        <v>0</v>
      </c>
      <c r="L100">
        <f>IF($A100="","", SUMIFS(-Mov_Qty, Mov_Item, $A100, Mov_Type, "Consumption", Mov_Date, "&gt;="&amp;$V$2, Mov_Date, "&lt;="&amp;$W$2))</f>
        <v>0</v>
      </c>
      <c r="M100">
        <f>IF($A100="","", SUMIFS(-Mov_Qty, Mov_Item, $A100, Mov_Type, "Consumption", Mov_Date, "&gt;="&amp;$X$2, Mov_Date, "&lt;="&amp;$Y$2))</f>
        <v>0</v>
      </c>
      <c r="N100">
        <f>IF($A100="","", SUMIFS(-Mov_Qty, Mov_Item, $A100, Mov_Type, "Consumption", Mov_Date, "&gt;="&amp;$Z$2, Mov_Date, "&lt;="&amp;$AA$2))</f>
        <v>0</v>
      </c>
      <c r="O100">
        <f>IFERROR(AVERAGE(L100:N100),"")</f>
        <v>0</v>
      </c>
      <c r="P100">
        <f>IF(O100&gt;=Cfg_HiMove, "Yes", "")</f>
        <v>0</v>
      </c>
      <c r="Q100">
        <f>IF($A100="","", $I100 + IFERROR(O100/30*$H100,0))</f>
        <v>0</v>
      </c>
      <c r="R100">
        <f>IF($A100="","", IF(J100&lt;=$F100, "Yes", ""))</f>
        <v>0</v>
      </c>
      <c r="S100">
        <f>IF(R100="Yes", CEILING(MAX($G100, Q100-J100), $G100), 0)</f>
        <v>0</v>
      </c>
      <c r="T100">
        <f>IFERROR(J100/(O100/30),"")</f>
        <v>0</v>
      </c>
    </row>
    <row r="101" spans="10:20">
      <c r="J101">
        <f>IF($A101="","", SUMIFS(Mov_Qty, Mov_Item, $A101))</f>
        <v>0</v>
      </c>
      <c r="K101">
        <f>IF($A101="","", J101 * $E101)</f>
        <v>0</v>
      </c>
      <c r="L101">
        <f>IF($A101="","", SUMIFS(-Mov_Qty, Mov_Item, $A101, Mov_Type, "Consumption", Mov_Date, "&gt;="&amp;$V$2, Mov_Date, "&lt;="&amp;$W$2))</f>
        <v>0</v>
      </c>
      <c r="M101">
        <f>IF($A101="","", SUMIFS(-Mov_Qty, Mov_Item, $A101, Mov_Type, "Consumption", Mov_Date, "&gt;="&amp;$X$2, Mov_Date, "&lt;="&amp;$Y$2))</f>
        <v>0</v>
      </c>
      <c r="N101">
        <f>IF($A101="","", SUMIFS(-Mov_Qty, Mov_Item, $A101, Mov_Type, "Consumption", Mov_Date, "&gt;="&amp;$Z$2, Mov_Date, "&lt;="&amp;$AA$2))</f>
        <v>0</v>
      </c>
      <c r="O101">
        <f>IFERROR(AVERAGE(L101:N101),"")</f>
        <v>0</v>
      </c>
      <c r="P101">
        <f>IF(O101&gt;=Cfg_HiMove, "Yes", "")</f>
        <v>0</v>
      </c>
      <c r="Q101">
        <f>IF($A101="","", $I101 + IFERROR(O101/30*$H101,0))</f>
        <v>0</v>
      </c>
      <c r="R101">
        <f>IF($A101="","", IF(J101&lt;=$F101, "Yes", ""))</f>
        <v>0</v>
      </c>
      <c r="S101">
        <f>IF(R101="Yes", CEILING(MAX($G101, Q101-J101), $G101), 0)</f>
        <v>0</v>
      </c>
      <c r="T101">
        <f>IFERROR(J101/(O101/30),"")</f>
        <v>0</v>
      </c>
    </row>
    <row r="102" spans="10:20">
      <c r="J102">
        <f>IF($A102="","", SUMIFS(Mov_Qty, Mov_Item, $A102))</f>
        <v>0</v>
      </c>
      <c r="K102">
        <f>IF($A102="","", J102 * $E102)</f>
        <v>0</v>
      </c>
      <c r="L102">
        <f>IF($A102="","", SUMIFS(-Mov_Qty, Mov_Item, $A102, Mov_Type, "Consumption", Mov_Date, "&gt;="&amp;$V$2, Mov_Date, "&lt;="&amp;$W$2))</f>
        <v>0</v>
      </c>
      <c r="M102">
        <f>IF($A102="","", SUMIFS(-Mov_Qty, Mov_Item, $A102, Mov_Type, "Consumption", Mov_Date, "&gt;="&amp;$X$2, Mov_Date, "&lt;="&amp;$Y$2))</f>
        <v>0</v>
      </c>
      <c r="N102">
        <f>IF($A102="","", SUMIFS(-Mov_Qty, Mov_Item, $A102, Mov_Type, "Consumption", Mov_Date, "&gt;="&amp;$Z$2, Mov_Date, "&lt;="&amp;$AA$2))</f>
        <v>0</v>
      </c>
      <c r="O102">
        <f>IFERROR(AVERAGE(L102:N102),"")</f>
        <v>0</v>
      </c>
      <c r="P102">
        <f>IF(O102&gt;=Cfg_HiMove, "Yes", "")</f>
        <v>0</v>
      </c>
      <c r="Q102">
        <f>IF($A102="","", $I102 + IFERROR(O102/30*$H102,0))</f>
        <v>0</v>
      </c>
      <c r="R102">
        <f>IF($A102="","", IF(J102&lt;=$F102, "Yes", ""))</f>
        <v>0</v>
      </c>
      <c r="S102">
        <f>IF(R102="Yes", CEILING(MAX($G102, Q102-J102), $G102), 0)</f>
        <v>0</v>
      </c>
      <c r="T102">
        <f>IFERROR(J102/(O102/30),"")</f>
        <v>0</v>
      </c>
    </row>
    <row r="103" spans="10:20">
      <c r="J103">
        <f>IF($A103="","", SUMIFS(Mov_Qty, Mov_Item, $A103))</f>
        <v>0</v>
      </c>
      <c r="K103">
        <f>IF($A103="","", J103 * $E103)</f>
        <v>0</v>
      </c>
      <c r="L103">
        <f>IF($A103="","", SUMIFS(-Mov_Qty, Mov_Item, $A103, Mov_Type, "Consumption", Mov_Date, "&gt;="&amp;$V$2, Mov_Date, "&lt;="&amp;$W$2))</f>
        <v>0</v>
      </c>
      <c r="M103">
        <f>IF($A103="","", SUMIFS(-Mov_Qty, Mov_Item, $A103, Mov_Type, "Consumption", Mov_Date, "&gt;="&amp;$X$2, Mov_Date, "&lt;="&amp;$Y$2))</f>
        <v>0</v>
      </c>
      <c r="N103">
        <f>IF($A103="","", SUMIFS(-Mov_Qty, Mov_Item, $A103, Mov_Type, "Consumption", Mov_Date, "&gt;="&amp;$Z$2, Mov_Date, "&lt;="&amp;$AA$2))</f>
        <v>0</v>
      </c>
      <c r="O103">
        <f>IFERROR(AVERAGE(L103:N103),"")</f>
        <v>0</v>
      </c>
      <c r="P103">
        <f>IF(O103&gt;=Cfg_HiMove, "Yes", "")</f>
        <v>0</v>
      </c>
      <c r="Q103">
        <f>IF($A103="","", $I103 + IFERROR(O103/30*$H103,0))</f>
        <v>0</v>
      </c>
      <c r="R103">
        <f>IF($A103="","", IF(J103&lt;=$F103, "Yes", ""))</f>
        <v>0</v>
      </c>
      <c r="S103">
        <f>IF(R103="Yes", CEILING(MAX($G103, Q103-J103), $G103), 0)</f>
        <v>0</v>
      </c>
      <c r="T103">
        <f>IFERROR(J103/(O103/30),"")</f>
        <v>0</v>
      </c>
    </row>
    <row r="104" spans="10:20">
      <c r="J104">
        <f>IF($A104="","", SUMIFS(Mov_Qty, Mov_Item, $A104))</f>
        <v>0</v>
      </c>
      <c r="K104">
        <f>IF($A104="","", J104 * $E104)</f>
        <v>0</v>
      </c>
      <c r="L104">
        <f>IF($A104="","", SUMIFS(-Mov_Qty, Mov_Item, $A104, Mov_Type, "Consumption", Mov_Date, "&gt;="&amp;$V$2, Mov_Date, "&lt;="&amp;$W$2))</f>
        <v>0</v>
      </c>
      <c r="M104">
        <f>IF($A104="","", SUMIFS(-Mov_Qty, Mov_Item, $A104, Mov_Type, "Consumption", Mov_Date, "&gt;="&amp;$X$2, Mov_Date, "&lt;="&amp;$Y$2))</f>
        <v>0</v>
      </c>
      <c r="N104">
        <f>IF($A104="","", SUMIFS(-Mov_Qty, Mov_Item, $A104, Mov_Type, "Consumption", Mov_Date, "&gt;="&amp;$Z$2, Mov_Date, "&lt;="&amp;$AA$2))</f>
        <v>0</v>
      </c>
      <c r="O104">
        <f>IFERROR(AVERAGE(L104:N104),"")</f>
        <v>0</v>
      </c>
      <c r="P104">
        <f>IF(O104&gt;=Cfg_HiMove, "Yes", "")</f>
        <v>0</v>
      </c>
      <c r="Q104">
        <f>IF($A104="","", $I104 + IFERROR(O104/30*$H104,0))</f>
        <v>0</v>
      </c>
      <c r="R104">
        <f>IF($A104="","", IF(J104&lt;=$F104, "Yes", ""))</f>
        <v>0</v>
      </c>
      <c r="S104">
        <f>IF(R104="Yes", CEILING(MAX($G104, Q104-J104), $G104), 0)</f>
        <v>0</v>
      </c>
      <c r="T104">
        <f>IFERROR(J104/(O104/30),"")</f>
        <v>0</v>
      </c>
    </row>
    <row r="105" spans="10:20">
      <c r="J105">
        <f>IF($A105="","", SUMIFS(Mov_Qty, Mov_Item, $A105))</f>
        <v>0</v>
      </c>
      <c r="K105">
        <f>IF($A105="","", J105 * $E105)</f>
        <v>0</v>
      </c>
      <c r="L105">
        <f>IF($A105="","", SUMIFS(-Mov_Qty, Mov_Item, $A105, Mov_Type, "Consumption", Mov_Date, "&gt;="&amp;$V$2, Mov_Date, "&lt;="&amp;$W$2))</f>
        <v>0</v>
      </c>
      <c r="M105">
        <f>IF($A105="","", SUMIFS(-Mov_Qty, Mov_Item, $A105, Mov_Type, "Consumption", Mov_Date, "&gt;="&amp;$X$2, Mov_Date, "&lt;="&amp;$Y$2))</f>
        <v>0</v>
      </c>
      <c r="N105">
        <f>IF($A105="","", SUMIFS(-Mov_Qty, Mov_Item, $A105, Mov_Type, "Consumption", Mov_Date, "&gt;="&amp;$Z$2, Mov_Date, "&lt;="&amp;$AA$2))</f>
        <v>0</v>
      </c>
      <c r="O105">
        <f>IFERROR(AVERAGE(L105:N105),"")</f>
        <v>0</v>
      </c>
      <c r="P105">
        <f>IF(O105&gt;=Cfg_HiMove, "Yes", "")</f>
        <v>0</v>
      </c>
      <c r="Q105">
        <f>IF($A105="","", $I105 + IFERROR(O105/30*$H105,0))</f>
        <v>0</v>
      </c>
      <c r="R105">
        <f>IF($A105="","", IF(J105&lt;=$F105, "Yes", ""))</f>
        <v>0</v>
      </c>
      <c r="S105">
        <f>IF(R105="Yes", CEILING(MAX($G105, Q105-J105), $G105), 0)</f>
        <v>0</v>
      </c>
      <c r="T105">
        <f>IFERROR(J105/(O105/30),"")</f>
        <v>0</v>
      </c>
    </row>
    <row r="106" spans="10:20">
      <c r="J106">
        <f>IF($A106="","", SUMIFS(Mov_Qty, Mov_Item, $A106))</f>
        <v>0</v>
      </c>
      <c r="K106">
        <f>IF($A106="","", J106 * $E106)</f>
        <v>0</v>
      </c>
      <c r="L106">
        <f>IF($A106="","", SUMIFS(-Mov_Qty, Mov_Item, $A106, Mov_Type, "Consumption", Mov_Date, "&gt;="&amp;$V$2, Mov_Date, "&lt;="&amp;$W$2))</f>
        <v>0</v>
      </c>
      <c r="M106">
        <f>IF($A106="","", SUMIFS(-Mov_Qty, Mov_Item, $A106, Mov_Type, "Consumption", Mov_Date, "&gt;="&amp;$X$2, Mov_Date, "&lt;="&amp;$Y$2))</f>
        <v>0</v>
      </c>
      <c r="N106">
        <f>IF($A106="","", SUMIFS(-Mov_Qty, Mov_Item, $A106, Mov_Type, "Consumption", Mov_Date, "&gt;="&amp;$Z$2, Mov_Date, "&lt;="&amp;$AA$2))</f>
        <v>0</v>
      </c>
      <c r="O106">
        <f>IFERROR(AVERAGE(L106:N106),"")</f>
        <v>0</v>
      </c>
      <c r="P106">
        <f>IF(O106&gt;=Cfg_HiMove, "Yes", "")</f>
        <v>0</v>
      </c>
      <c r="Q106">
        <f>IF($A106="","", $I106 + IFERROR(O106/30*$H106,0))</f>
        <v>0</v>
      </c>
      <c r="R106">
        <f>IF($A106="","", IF(J106&lt;=$F106, "Yes", ""))</f>
        <v>0</v>
      </c>
      <c r="S106">
        <f>IF(R106="Yes", CEILING(MAX($G106, Q106-J106), $G106), 0)</f>
        <v>0</v>
      </c>
      <c r="T106">
        <f>IFERROR(J106/(O106/30),"")</f>
        <v>0</v>
      </c>
    </row>
    <row r="107" spans="10:20">
      <c r="J107">
        <f>IF($A107="","", SUMIFS(Mov_Qty, Mov_Item, $A107))</f>
        <v>0</v>
      </c>
      <c r="K107">
        <f>IF($A107="","", J107 * $E107)</f>
        <v>0</v>
      </c>
      <c r="L107">
        <f>IF($A107="","", SUMIFS(-Mov_Qty, Mov_Item, $A107, Mov_Type, "Consumption", Mov_Date, "&gt;="&amp;$V$2, Mov_Date, "&lt;="&amp;$W$2))</f>
        <v>0</v>
      </c>
      <c r="M107">
        <f>IF($A107="","", SUMIFS(-Mov_Qty, Mov_Item, $A107, Mov_Type, "Consumption", Mov_Date, "&gt;="&amp;$X$2, Mov_Date, "&lt;="&amp;$Y$2))</f>
        <v>0</v>
      </c>
      <c r="N107">
        <f>IF($A107="","", SUMIFS(-Mov_Qty, Mov_Item, $A107, Mov_Type, "Consumption", Mov_Date, "&gt;="&amp;$Z$2, Mov_Date, "&lt;="&amp;$AA$2))</f>
        <v>0</v>
      </c>
      <c r="O107">
        <f>IFERROR(AVERAGE(L107:N107),"")</f>
        <v>0</v>
      </c>
      <c r="P107">
        <f>IF(O107&gt;=Cfg_HiMove, "Yes", "")</f>
        <v>0</v>
      </c>
      <c r="Q107">
        <f>IF($A107="","", $I107 + IFERROR(O107/30*$H107,0))</f>
        <v>0</v>
      </c>
      <c r="R107">
        <f>IF($A107="","", IF(J107&lt;=$F107, "Yes", ""))</f>
        <v>0</v>
      </c>
      <c r="S107">
        <f>IF(R107="Yes", CEILING(MAX($G107, Q107-J107), $G107), 0)</f>
        <v>0</v>
      </c>
      <c r="T107">
        <f>IFERROR(J107/(O107/30),"")</f>
        <v>0</v>
      </c>
    </row>
    <row r="108" spans="10:20">
      <c r="J108">
        <f>IF($A108="","", SUMIFS(Mov_Qty, Mov_Item, $A108))</f>
        <v>0</v>
      </c>
      <c r="K108">
        <f>IF($A108="","", J108 * $E108)</f>
        <v>0</v>
      </c>
      <c r="L108">
        <f>IF($A108="","", SUMIFS(-Mov_Qty, Mov_Item, $A108, Mov_Type, "Consumption", Mov_Date, "&gt;="&amp;$V$2, Mov_Date, "&lt;="&amp;$W$2))</f>
        <v>0</v>
      </c>
      <c r="M108">
        <f>IF($A108="","", SUMIFS(-Mov_Qty, Mov_Item, $A108, Mov_Type, "Consumption", Mov_Date, "&gt;="&amp;$X$2, Mov_Date, "&lt;="&amp;$Y$2))</f>
        <v>0</v>
      </c>
      <c r="N108">
        <f>IF($A108="","", SUMIFS(-Mov_Qty, Mov_Item, $A108, Mov_Type, "Consumption", Mov_Date, "&gt;="&amp;$Z$2, Mov_Date, "&lt;="&amp;$AA$2))</f>
        <v>0</v>
      </c>
      <c r="O108">
        <f>IFERROR(AVERAGE(L108:N108),"")</f>
        <v>0</v>
      </c>
      <c r="P108">
        <f>IF(O108&gt;=Cfg_HiMove, "Yes", "")</f>
        <v>0</v>
      </c>
      <c r="Q108">
        <f>IF($A108="","", $I108 + IFERROR(O108/30*$H108,0))</f>
        <v>0</v>
      </c>
      <c r="R108">
        <f>IF($A108="","", IF(J108&lt;=$F108, "Yes", ""))</f>
        <v>0</v>
      </c>
      <c r="S108">
        <f>IF(R108="Yes", CEILING(MAX($G108, Q108-J108), $G108), 0)</f>
        <v>0</v>
      </c>
      <c r="T108">
        <f>IFERROR(J108/(O108/30),"")</f>
        <v>0</v>
      </c>
    </row>
    <row r="109" spans="10:20">
      <c r="J109">
        <f>IF($A109="","", SUMIFS(Mov_Qty, Mov_Item, $A109))</f>
        <v>0</v>
      </c>
      <c r="K109">
        <f>IF($A109="","", J109 * $E109)</f>
        <v>0</v>
      </c>
      <c r="L109">
        <f>IF($A109="","", SUMIFS(-Mov_Qty, Mov_Item, $A109, Mov_Type, "Consumption", Mov_Date, "&gt;="&amp;$V$2, Mov_Date, "&lt;="&amp;$W$2))</f>
        <v>0</v>
      </c>
      <c r="M109">
        <f>IF($A109="","", SUMIFS(-Mov_Qty, Mov_Item, $A109, Mov_Type, "Consumption", Mov_Date, "&gt;="&amp;$X$2, Mov_Date, "&lt;="&amp;$Y$2))</f>
        <v>0</v>
      </c>
      <c r="N109">
        <f>IF($A109="","", SUMIFS(-Mov_Qty, Mov_Item, $A109, Mov_Type, "Consumption", Mov_Date, "&gt;="&amp;$Z$2, Mov_Date, "&lt;="&amp;$AA$2))</f>
        <v>0</v>
      </c>
      <c r="O109">
        <f>IFERROR(AVERAGE(L109:N109),"")</f>
        <v>0</v>
      </c>
      <c r="P109">
        <f>IF(O109&gt;=Cfg_HiMove, "Yes", "")</f>
        <v>0</v>
      </c>
      <c r="Q109">
        <f>IF($A109="","", $I109 + IFERROR(O109/30*$H109,0))</f>
        <v>0</v>
      </c>
      <c r="R109">
        <f>IF($A109="","", IF(J109&lt;=$F109, "Yes", ""))</f>
        <v>0</v>
      </c>
      <c r="S109">
        <f>IF(R109="Yes", CEILING(MAX($G109, Q109-J109), $G109), 0)</f>
        <v>0</v>
      </c>
      <c r="T109">
        <f>IFERROR(J109/(O109/30),"")</f>
        <v>0</v>
      </c>
    </row>
    <row r="110" spans="10:20">
      <c r="J110">
        <f>IF($A110="","", SUMIFS(Mov_Qty, Mov_Item, $A110))</f>
        <v>0</v>
      </c>
      <c r="K110">
        <f>IF($A110="","", J110 * $E110)</f>
        <v>0</v>
      </c>
      <c r="L110">
        <f>IF($A110="","", SUMIFS(-Mov_Qty, Mov_Item, $A110, Mov_Type, "Consumption", Mov_Date, "&gt;="&amp;$V$2, Mov_Date, "&lt;="&amp;$W$2))</f>
        <v>0</v>
      </c>
      <c r="M110">
        <f>IF($A110="","", SUMIFS(-Mov_Qty, Mov_Item, $A110, Mov_Type, "Consumption", Mov_Date, "&gt;="&amp;$X$2, Mov_Date, "&lt;="&amp;$Y$2))</f>
        <v>0</v>
      </c>
      <c r="N110">
        <f>IF($A110="","", SUMIFS(-Mov_Qty, Mov_Item, $A110, Mov_Type, "Consumption", Mov_Date, "&gt;="&amp;$Z$2, Mov_Date, "&lt;="&amp;$AA$2))</f>
        <v>0</v>
      </c>
      <c r="O110">
        <f>IFERROR(AVERAGE(L110:N110),"")</f>
        <v>0</v>
      </c>
      <c r="P110">
        <f>IF(O110&gt;=Cfg_HiMove, "Yes", "")</f>
        <v>0</v>
      </c>
      <c r="Q110">
        <f>IF($A110="","", $I110 + IFERROR(O110/30*$H110,0))</f>
        <v>0</v>
      </c>
      <c r="R110">
        <f>IF($A110="","", IF(J110&lt;=$F110, "Yes", ""))</f>
        <v>0</v>
      </c>
      <c r="S110">
        <f>IF(R110="Yes", CEILING(MAX($G110, Q110-J110), $G110), 0)</f>
        <v>0</v>
      </c>
      <c r="T110">
        <f>IFERROR(J110/(O110/30),"")</f>
        <v>0</v>
      </c>
    </row>
    <row r="111" spans="10:20">
      <c r="J111">
        <f>IF($A111="","", SUMIFS(Mov_Qty, Mov_Item, $A111))</f>
        <v>0</v>
      </c>
      <c r="K111">
        <f>IF($A111="","", J111 * $E111)</f>
        <v>0</v>
      </c>
      <c r="L111">
        <f>IF($A111="","", SUMIFS(-Mov_Qty, Mov_Item, $A111, Mov_Type, "Consumption", Mov_Date, "&gt;="&amp;$V$2, Mov_Date, "&lt;="&amp;$W$2))</f>
        <v>0</v>
      </c>
      <c r="M111">
        <f>IF($A111="","", SUMIFS(-Mov_Qty, Mov_Item, $A111, Mov_Type, "Consumption", Mov_Date, "&gt;="&amp;$X$2, Mov_Date, "&lt;="&amp;$Y$2))</f>
        <v>0</v>
      </c>
      <c r="N111">
        <f>IF($A111="","", SUMIFS(-Mov_Qty, Mov_Item, $A111, Mov_Type, "Consumption", Mov_Date, "&gt;="&amp;$Z$2, Mov_Date, "&lt;="&amp;$AA$2))</f>
        <v>0</v>
      </c>
      <c r="O111">
        <f>IFERROR(AVERAGE(L111:N111),"")</f>
        <v>0</v>
      </c>
      <c r="P111">
        <f>IF(O111&gt;=Cfg_HiMove, "Yes", "")</f>
        <v>0</v>
      </c>
      <c r="Q111">
        <f>IF($A111="","", $I111 + IFERROR(O111/30*$H111,0))</f>
        <v>0</v>
      </c>
      <c r="R111">
        <f>IF($A111="","", IF(J111&lt;=$F111, "Yes", ""))</f>
        <v>0</v>
      </c>
      <c r="S111">
        <f>IF(R111="Yes", CEILING(MAX($G111, Q111-J111), $G111), 0)</f>
        <v>0</v>
      </c>
      <c r="T111">
        <f>IFERROR(J111/(O111/30),"")</f>
        <v>0</v>
      </c>
    </row>
    <row r="112" spans="10:20">
      <c r="J112">
        <f>IF($A112="","", SUMIFS(Mov_Qty, Mov_Item, $A112))</f>
        <v>0</v>
      </c>
      <c r="K112">
        <f>IF($A112="","", J112 * $E112)</f>
        <v>0</v>
      </c>
      <c r="L112">
        <f>IF($A112="","", SUMIFS(-Mov_Qty, Mov_Item, $A112, Mov_Type, "Consumption", Mov_Date, "&gt;="&amp;$V$2, Mov_Date, "&lt;="&amp;$W$2))</f>
        <v>0</v>
      </c>
      <c r="M112">
        <f>IF($A112="","", SUMIFS(-Mov_Qty, Mov_Item, $A112, Mov_Type, "Consumption", Mov_Date, "&gt;="&amp;$X$2, Mov_Date, "&lt;="&amp;$Y$2))</f>
        <v>0</v>
      </c>
      <c r="N112">
        <f>IF($A112="","", SUMIFS(-Mov_Qty, Mov_Item, $A112, Mov_Type, "Consumption", Mov_Date, "&gt;="&amp;$Z$2, Mov_Date, "&lt;="&amp;$AA$2))</f>
        <v>0</v>
      </c>
      <c r="O112">
        <f>IFERROR(AVERAGE(L112:N112),"")</f>
        <v>0</v>
      </c>
      <c r="P112">
        <f>IF(O112&gt;=Cfg_HiMove, "Yes", "")</f>
        <v>0</v>
      </c>
      <c r="Q112">
        <f>IF($A112="","", $I112 + IFERROR(O112/30*$H112,0))</f>
        <v>0</v>
      </c>
      <c r="R112">
        <f>IF($A112="","", IF(J112&lt;=$F112, "Yes", ""))</f>
        <v>0</v>
      </c>
      <c r="S112">
        <f>IF(R112="Yes", CEILING(MAX($G112, Q112-J112), $G112), 0)</f>
        <v>0</v>
      </c>
      <c r="T112">
        <f>IFERROR(J112/(O112/30),"")</f>
        <v>0</v>
      </c>
    </row>
    <row r="113" spans="10:20">
      <c r="J113">
        <f>IF($A113="","", SUMIFS(Mov_Qty, Mov_Item, $A113))</f>
        <v>0</v>
      </c>
      <c r="K113">
        <f>IF($A113="","", J113 * $E113)</f>
        <v>0</v>
      </c>
      <c r="L113">
        <f>IF($A113="","", SUMIFS(-Mov_Qty, Mov_Item, $A113, Mov_Type, "Consumption", Mov_Date, "&gt;="&amp;$V$2, Mov_Date, "&lt;="&amp;$W$2))</f>
        <v>0</v>
      </c>
      <c r="M113">
        <f>IF($A113="","", SUMIFS(-Mov_Qty, Mov_Item, $A113, Mov_Type, "Consumption", Mov_Date, "&gt;="&amp;$X$2, Mov_Date, "&lt;="&amp;$Y$2))</f>
        <v>0</v>
      </c>
      <c r="N113">
        <f>IF($A113="","", SUMIFS(-Mov_Qty, Mov_Item, $A113, Mov_Type, "Consumption", Mov_Date, "&gt;="&amp;$Z$2, Mov_Date, "&lt;="&amp;$AA$2))</f>
        <v>0</v>
      </c>
      <c r="O113">
        <f>IFERROR(AVERAGE(L113:N113),"")</f>
        <v>0</v>
      </c>
      <c r="P113">
        <f>IF(O113&gt;=Cfg_HiMove, "Yes", "")</f>
        <v>0</v>
      </c>
      <c r="Q113">
        <f>IF($A113="","", $I113 + IFERROR(O113/30*$H113,0))</f>
        <v>0</v>
      </c>
      <c r="R113">
        <f>IF($A113="","", IF(J113&lt;=$F113, "Yes", ""))</f>
        <v>0</v>
      </c>
      <c r="S113">
        <f>IF(R113="Yes", CEILING(MAX($G113, Q113-J113), $G113), 0)</f>
        <v>0</v>
      </c>
      <c r="T113">
        <f>IFERROR(J113/(O113/30),"")</f>
        <v>0</v>
      </c>
    </row>
    <row r="114" spans="10:20">
      <c r="J114">
        <f>IF($A114="","", SUMIFS(Mov_Qty, Mov_Item, $A114))</f>
        <v>0</v>
      </c>
      <c r="K114">
        <f>IF($A114="","", J114 * $E114)</f>
        <v>0</v>
      </c>
      <c r="L114">
        <f>IF($A114="","", SUMIFS(-Mov_Qty, Mov_Item, $A114, Mov_Type, "Consumption", Mov_Date, "&gt;="&amp;$V$2, Mov_Date, "&lt;="&amp;$W$2))</f>
        <v>0</v>
      </c>
      <c r="M114">
        <f>IF($A114="","", SUMIFS(-Mov_Qty, Mov_Item, $A114, Mov_Type, "Consumption", Mov_Date, "&gt;="&amp;$X$2, Mov_Date, "&lt;="&amp;$Y$2))</f>
        <v>0</v>
      </c>
      <c r="N114">
        <f>IF($A114="","", SUMIFS(-Mov_Qty, Mov_Item, $A114, Mov_Type, "Consumption", Mov_Date, "&gt;="&amp;$Z$2, Mov_Date, "&lt;="&amp;$AA$2))</f>
        <v>0</v>
      </c>
      <c r="O114">
        <f>IFERROR(AVERAGE(L114:N114),"")</f>
        <v>0</v>
      </c>
      <c r="P114">
        <f>IF(O114&gt;=Cfg_HiMove, "Yes", "")</f>
        <v>0</v>
      </c>
      <c r="Q114">
        <f>IF($A114="","", $I114 + IFERROR(O114/30*$H114,0))</f>
        <v>0</v>
      </c>
      <c r="R114">
        <f>IF($A114="","", IF(J114&lt;=$F114, "Yes", ""))</f>
        <v>0</v>
      </c>
      <c r="S114">
        <f>IF(R114="Yes", CEILING(MAX($G114, Q114-J114), $G114), 0)</f>
        <v>0</v>
      </c>
      <c r="T114">
        <f>IFERROR(J114/(O114/30),"")</f>
        <v>0</v>
      </c>
    </row>
    <row r="115" spans="10:20">
      <c r="J115">
        <f>IF($A115="","", SUMIFS(Mov_Qty, Mov_Item, $A115))</f>
        <v>0</v>
      </c>
      <c r="K115">
        <f>IF($A115="","", J115 * $E115)</f>
        <v>0</v>
      </c>
      <c r="L115">
        <f>IF($A115="","", SUMIFS(-Mov_Qty, Mov_Item, $A115, Mov_Type, "Consumption", Mov_Date, "&gt;="&amp;$V$2, Mov_Date, "&lt;="&amp;$W$2))</f>
        <v>0</v>
      </c>
      <c r="M115">
        <f>IF($A115="","", SUMIFS(-Mov_Qty, Mov_Item, $A115, Mov_Type, "Consumption", Mov_Date, "&gt;="&amp;$X$2, Mov_Date, "&lt;="&amp;$Y$2))</f>
        <v>0</v>
      </c>
      <c r="N115">
        <f>IF($A115="","", SUMIFS(-Mov_Qty, Mov_Item, $A115, Mov_Type, "Consumption", Mov_Date, "&gt;="&amp;$Z$2, Mov_Date, "&lt;="&amp;$AA$2))</f>
        <v>0</v>
      </c>
      <c r="O115">
        <f>IFERROR(AVERAGE(L115:N115),"")</f>
        <v>0</v>
      </c>
      <c r="P115">
        <f>IF(O115&gt;=Cfg_HiMove, "Yes", "")</f>
        <v>0</v>
      </c>
      <c r="Q115">
        <f>IF($A115="","", $I115 + IFERROR(O115/30*$H115,0))</f>
        <v>0</v>
      </c>
      <c r="R115">
        <f>IF($A115="","", IF(J115&lt;=$F115, "Yes", ""))</f>
        <v>0</v>
      </c>
      <c r="S115">
        <f>IF(R115="Yes", CEILING(MAX($G115, Q115-J115), $G115), 0)</f>
        <v>0</v>
      </c>
      <c r="T115">
        <f>IFERROR(J115/(O115/30),"")</f>
        <v>0</v>
      </c>
    </row>
    <row r="116" spans="10:20">
      <c r="J116">
        <f>IF($A116="","", SUMIFS(Mov_Qty, Mov_Item, $A116))</f>
        <v>0</v>
      </c>
      <c r="K116">
        <f>IF($A116="","", J116 * $E116)</f>
        <v>0</v>
      </c>
      <c r="L116">
        <f>IF($A116="","", SUMIFS(-Mov_Qty, Mov_Item, $A116, Mov_Type, "Consumption", Mov_Date, "&gt;="&amp;$V$2, Mov_Date, "&lt;="&amp;$W$2))</f>
        <v>0</v>
      </c>
      <c r="M116">
        <f>IF($A116="","", SUMIFS(-Mov_Qty, Mov_Item, $A116, Mov_Type, "Consumption", Mov_Date, "&gt;="&amp;$X$2, Mov_Date, "&lt;="&amp;$Y$2))</f>
        <v>0</v>
      </c>
      <c r="N116">
        <f>IF($A116="","", SUMIFS(-Mov_Qty, Mov_Item, $A116, Mov_Type, "Consumption", Mov_Date, "&gt;="&amp;$Z$2, Mov_Date, "&lt;="&amp;$AA$2))</f>
        <v>0</v>
      </c>
      <c r="O116">
        <f>IFERROR(AVERAGE(L116:N116),"")</f>
        <v>0</v>
      </c>
      <c r="P116">
        <f>IF(O116&gt;=Cfg_HiMove, "Yes", "")</f>
        <v>0</v>
      </c>
      <c r="Q116">
        <f>IF($A116="","", $I116 + IFERROR(O116/30*$H116,0))</f>
        <v>0</v>
      </c>
      <c r="R116">
        <f>IF($A116="","", IF(J116&lt;=$F116, "Yes", ""))</f>
        <v>0</v>
      </c>
      <c r="S116">
        <f>IF(R116="Yes", CEILING(MAX($G116, Q116-J116), $G116), 0)</f>
        <v>0</v>
      </c>
      <c r="T116">
        <f>IFERROR(J116/(O116/30),"")</f>
        <v>0</v>
      </c>
    </row>
    <row r="117" spans="10:20">
      <c r="J117">
        <f>IF($A117="","", SUMIFS(Mov_Qty, Mov_Item, $A117))</f>
        <v>0</v>
      </c>
      <c r="K117">
        <f>IF($A117="","", J117 * $E117)</f>
        <v>0</v>
      </c>
      <c r="L117">
        <f>IF($A117="","", SUMIFS(-Mov_Qty, Mov_Item, $A117, Mov_Type, "Consumption", Mov_Date, "&gt;="&amp;$V$2, Mov_Date, "&lt;="&amp;$W$2))</f>
        <v>0</v>
      </c>
      <c r="M117">
        <f>IF($A117="","", SUMIFS(-Mov_Qty, Mov_Item, $A117, Mov_Type, "Consumption", Mov_Date, "&gt;="&amp;$X$2, Mov_Date, "&lt;="&amp;$Y$2))</f>
        <v>0</v>
      </c>
      <c r="N117">
        <f>IF($A117="","", SUMIFS(-Mov_Qty, Mov_Item, $A117, Mov_Type, "Consumption", Mov_Date, "&gt;="&amp;$Z$2, Mov_Date, "&lt;="&amp;$AA$2))</f>
        <v>0</v>
      </c>
      <c r="O117">
        <f>IFERROR(AVERAGE(L117:N117),"")</f>
        <v>0</v>
      </c>
      <c r="P117">
        <f>IF(O117&gt;=Cfg_HiMove, "Yes", "")</f>
        <v>0</v>
      </c>
      <c r="Q117">
        <f>IF($A117="","", $I117 + IFERROR(O117/30*$H117,0))</f>
        <v>0</v>
      </c>
      <c r="R117">
        <f>IF($A117="","", IF(J117&lt;=$F117, "Yes", ""))</f>
        <v>0</v>
      </c>
      <c r="S117">
        <f>IF(R117="Yes", CEILING(MAX($G117, Q117-J117), $G117), 0)</f>
        <v>0</v>
      </c>
      <c r="T117">
        <f>IFERROR(J117/(O117/30),"")</f>
        <v>0</v>
      </c>
    </row>
    <row r="118" spans="10:20">
      <c r="J118">
        <f>IF($A118="","", SUMIFS(Mov_Qty, Mov_Item, $A118))</f>
        <v>0</v>
      </c>
      <c r="K118">
        <f>IF($A118="","", J118 * $E118)</f>
        <v>0</v>
      </c>
      <c r="L118">
        <f>IF($A118="","", SUMIFS(-Mov_Qty, Mov_Item, $A118, Mov_Type, "Consumption", Mov_Date, "&gt;="&amp;$V$2, Mov_Date, "&lt;="&amp;$W$2))</f>
        <v>0</v>
      </c>
      <c r="M118">
        <f>IF($A118="","", SUMIFS(-Mov_Qty, Mov_Item, $A118, Mov_Type, "Consumption", Mov_Date, "&gt;="&amp;$X$2, Mov_Date, "&lt;="&amp;$Y$2))</f>
        <v>0</v>
      </c>
      <c r="N118">
        <f>IF($A118="","", SUMIFS(-Mov_Qty, Mov_Item, $A118, Mov_Type, "Consumption", Mov_Date, "&gt;="&amp;$Z$2, Mov_Date, "&lt;="&amp;$AA$2))</f>
        <v>0</v>
      </c>
      <c r="O118">
        <f>IFERROR(AVERAGE(L118:N118),"")</f>
        <v>0</v>
      </c>
      <c r="P118">
        <f>IF(O118&gt;=Cfg_HiMove, "Yes", "")</f>
        <v>0</v>
      </c>
      <c r="Q118">
        <f>IF($A118="","", $I118 + IFERROR(O118/30*$H118,0))</f>
        <v>0</v>
      </c>
      <c r="R118">
        <f>IF($A118="","", IF(J118&lt;=$F118, "Yes", ""))</f>
        <v>0</v>
      </c>
      <c r="S118">
        <f>IF(R118="Yes", CEILING(MAX($G118, Q118-J118), $G118), 0)</f>
        <v>0</v>
      </c>
      <c r="T118">
        <f>IFERROR(J118/(O118/30),"")</f>
        <v>0</v>
      </c>
    </row>
    <row r="119" spans="10:20">
      <c r="J119">
        <f>IF($A119="","", SUMIFS(Mov_Qty, Mov_Item, $A119))</f>
        <v>0</v>
      </c>
      <c r="K119">
        <f>IF($A119="","", J119 * $E119)</f>
        <v>0</v>
      </c>
      <c r="L119">
        <f>IF($A119="","", SUMIFS(-Mov_Qty, Mov_Item, $A119, Mov_Type, "Consumption", Mov_Date, "&gt;="&amp;$V$2, Mov_Date, "&lt;="&amp;$W$2))</f>
        <v>0</v>
      </c>
      <c r="M119">
        <f>IF($A119="","", SUMIFS(-Mov_Qty, Mov_Item, $A119, Mov_Type, "Consumption", Mov_Date, "&gt;="&amp;$X$2, Mov_Date, "&lt;="&amp;$Y$2))</f>
        <v>0</v>
      </c>
      <c r="N119">
        <f>IF($A119="","", SUMIFS(-Mov_Qty, Mov_Item, $A119, Mov_Type, "Consumption", Mov_Date, "&gt;="&amp;$Z$2, Mov_Date, "&lt;="&amp;$AA$2))</f>
        <v>0</v>
      </c>
      <c r="O119">
        <f>IFERROR(AVERAGE(L119:N119),"")</f>
        <v>0</v>
      </c>
      <c r="P119">
        <f>IF(O119&gt;=Cfg_HiMove, "Yes", "")</f>
        <v>0</v>
      </c>
      <c r="Q119">
        <f>IF($A119="","", $I119 + IFERROR(O119/30*$H119,0))</f>
        <v>0</v>
      </c>
      <c r="R119">
        <f>IF($A119="","", IF(J119&lt;=$F119, "Yes", ""))</f>
        <v>0</v>
      </c>
      <c r="S119">
        <f>IF(R119="Yes", CEILING(MAX($G119, Q119-J119), $G119), 0)</f>
        <v>0</v>
      </c>
      <c r="T119">
        <f>IFERROR(J119/(O119/30),"")</f>
        <v>0</v>
      </c>
    </row>
    <row r="120" spans="10:20">
      <c r="J120">
        <f>IF($A120="","", SUMIFS(Mov_Qty, Mov_Item, $A120))</f>
        <v>0</v>
      </c>
      <c r="K120">
        <f>IF($A120="","", J120 * $E120)</f>
        <v>0</v>
      </c>
      <c r="L120">
        <f>IF($A120="","", SUMIFS(-Mov_Qty, Mov_Item, $A120, Mov_Type, "Consumption", Mov_Date, "&gt;="&amp;$V$2, Mov_Date, "&lt;="&amp;$W$2))</f>
        <v>0</v>
      </c>
      <c r="M120">
        <f>IF($A120="","", SUMIFS(-Mov_Qty, Mov_Item, $A120, Mov_Type, "Consumption", Mov_Date, "&gt;="&amp;$X$2, Mov_Date, "&lt;="&amp;$Y$2))</f>
        <v>0</v>
      </c>
      <c r="N120">
        <f>IF($A120="","", SUMIFS(-Mov_Qty, Mov_Item, $A120, Mov_Type, "Consumption", Mov_Date, "&gt;="&amp;$Z$2, Mov_Date, "&lt;="&amp;$AA$2))</f>
        <v>0</v>
      </c>
      <c r="O120">
        <f>IFERROR(AVERAGE(L120:N120),"")</f>
        <v>0</v>
      </c>
      <c r="P120">
        <f>IF(O120&gt;=Cfg_HiMove, "Yes", "")</f>
        <v>0</v>
      </c>
      <c r="Q120">
        <f>IF($A120="","", $I120 + IFERROR(O120/30*$H120,0))</f>
        <v>0</v>
      </c>
      <c r="R120">
        <f>IF($A120="","", IF(J120&lt;=$F120, "Yes", ""))</f>
        <v>0</v>
      </c>
      <c r="S120">
        <f>IF(R120="Yes", CEILING(MAX($G120, Q120-J120), $G120), 0)</f>
        <v>0</v>
      </c>
      <c r="T120">
        <f>IFERROR(J120/(O120/30),"")</f>
        <v>0</v>
      </c>
    </row>
    <row r="121" spans="10:20">
      <c r="J121">
        <f>IF($A121="","", SUMIFS(Mov_Qty, Mov_Item, $A121))</f>
        <v>0</v>
      </c>
      <c r="K121">
        <f>IF($A121="","", J121 * $E121)</f>
        <v>0</v>
      </c>
      <c r="L121">
        <f>IF($A121="","", SUMIFS(-Mov_Qty, Mov_Item, $A121, Mov_Type, "Consumption", Mov_Date, "&gt;="&amp;$V$2, Mov_Date, "&lt;="&amp;$W$2))</f>
        <v>0</v>
      </c>
      <c r="M121">
        <f>IF($A121="","", SUMIFS(-Mov_Qty, Mov_Item, $A121, Mov_Type, "Consumption", Mov_Date, "&gt;="&amp;$X$2, Mov_Date, "&lt;="&amp;$Y$2))</f>
        <v>0</v>
      </c>
      <c r="N121">
        <f>IF($A121="","", SUMIFS(-Mov_Qty, Mov_Item, $A121, Mov_Type, "Consumption", Mov_Date, "&gt;="&amp;$Z$2, Mov_Date, "&lt;="&amp;$AA$2))</f>
        <v>0</v>
      </c>
      <c r="O121">
        <f>IFERROR(AVERAGE(L121:N121),"")</f>
        <v>0</v>
      </c>
      <c r="P121">
        <f>IF(O121&gt;=Cfg_HiMove, "Yes", "")</f>
        <v>0</v>
      </c>
      <c r="Q121">
        <f>IF($A121="","", $I121 + IFERROR(O121/30*$H121,0))</f>
        <v>0</v>
      </c>
      <c r="R121">
        <f>IF($A121="","", IF(J121&lt;=$F121, "Yes", ""))</f>
        <v>0</v>
      </c>
      <c r="S121">
        <f>IF(R121="Yes", CEILING(MAX($G121, Q121-J121), $G121), 0)</f>
        <v>0</v>
      </c>
      <c r="T121">
        <f>IFERROR(J121/(O121/30),"")</f>
        <v>0</v>
      </c>
    </row>
    <row r="122" spans="10:20">
      <c r="J122">
        <f>IF($A122="","", SUMIFS(Mov_Qty, Mov_Item, $A122))</f>
        <v>0</v>
      </c>
      <c r="K122">
        <f>IF($A122="","", J122 * $E122)</f>
        <v>0</v>
      </c>
      <c r="L122">
        <f>IF($A122="","", SUMIFS(-Mov_Qty, Mov_Item, $A122, Mov_Type, "Consumption", Mov_Date, "&gt;="&amp;$V$2, Mov_Date, "&lt;="&amp;$W$2))</f>
        <v>0</v>
      </c>
      <c r="M122">
        <f>IF($A122="","", SUMIFS(-Mov_Qty, Mov_Item, $A122, Mov_Type, "Consumption", Mov_Date, "&gt;="&amp;$X$2, Mov_Date, "&lt;="&amp;$Y$2))</f>
        <v>0</v>
      </c>
      <c r="N122">
        <f>IF($A122="","", SUMIFS(-Mov_Qty, Mov_Item, $A122, Mov_Type, "Consumption", Mov_Date, "&gt;="&amp;$Z$2, Mov_Date, "&lt;="&amp;$AA$2))</f>
        <v>0</v>
      </c>
      <c r="O122">
        <f>IFERROR(AVERAGE(L122:N122),"")</f>
        <v>0</v>
      </c>
      <c r="P122">
        <f>IF(O122&gt;=Cfg_HiMove, "Yes", "")</f>
        <v>0</v>
      </c>
      <c r="Q122">
        <f>IF($A122="","", $I122 + IFERROR(O122/30*$H122,0))</f>
        <v>0</v>
      </c>
      <c r="R122">
        <f>IF($A122="","", IF(J122&lt;=$F122, "Yes", ""))</f>
        <v>0</v>
      </c>
      <c r="S122">
        <f>IF(R122="Yes", CEILING(MAX($G122, Q122-J122), $G122), 0)</f>
        <v>0</v>
      </c>
      <c r="T122">
        <f>IFERROR(J122/(O122/30),"")</f>
        <v>0</v>
      </c>
    </row>
    <row r="123" spans="10:20">
      <c r="J123">
        <f>IF($A123="","", SUMIFS(Mov_Qty, Mov_Item, $A123))</f>
        <v>0</v>
      </c>
      <c r="K123">
        <f>IF($A123="","", J123 * $E123)</f>
        <v>0</v>
      </c>
      <c r="L123">
        <f>IF($A123="","", SUMIFS(-Mov_Qty, Mov_Item, $A123, Mov_Type, "Consumption", Mov_Date, "&gt;="&amp;$V$2, Mov_Date, "&lt;="&amp;$W$2))</f>
        <v>0</v>
      </c>
      <c r="M123">
        <f>IF($A123="","", SUMIFS(-Mov_Qty, Mov_Item, $A123, Mov_Type, "Consumption", Mov_Date, "&gt;="&amp;$X$2, Mov_Date, "&lt;="&amp;$Y$2))</f>
        <v>0</v>
      </c>
      <c r="N123">
        <f>IF($A123="","", SUMIFS(-Mov_Qty, Mov_Item, $A123, Mov_Type, "Consumption", Mov_Date, "&gt;="&amp;$Z$2, Mov_Date, "&lt;="&amp;$AA$2))</f>
        <v>0</v>
      </c>
      <c r="O123">
        <f>IFERROR(AVERAGE(L123:N123),"")</f>
        <v>0</v>
      </c>
      <c r="P123">
        <f>IF(O123&gt;=Cfg_HiMove, "Yes", "")</f>
        <v>0</v>
      </c>
      <c r="Q123">
        <f>IF($A123="","", $I123 + IFERROR(O123/30*$H123,0))</f>
        <v>0</v>
      </c>
      <c r="R123">
        <f>IF($A123="","", IF(J123&lt;=$F123, "Yes", ""))</f>
        <v>0</v>
      </c>
      <c r="S123">
        <f>IF(R123="Yes", CEILING(MAX($G123, Q123-J123), $G123), 0)</f>
        <v>0</v>
      </c>
      <c r="T123">
        <f>IFERROR(J123/(O123/30),"")</f>
        <v>0</v>
      </c>
    </row>
    <row r="124" spans="10:20">
      <c r="J124">
        <f>IF($A124="","", SUMIFS(Mov_Qty, Mov_Item, $A124))</f>
        <v>0</v>
      </c>
      <c r="K124">
        <f>IF($A124="","", J124 * $E124)</f>
        <v>0</v>
      </c>
      <c r="L124">
        <f>IF($A124="","", SUMIFS(-Mov_Qty, Mov_Item, $A124, Mov_Type, "Consumption", Mov_Date, "&gt;="&amp;$V$2, Mov_Date, "&lt;="&amp;$W$2))</f>
        <v>0</v>
      </c>
      <c r="M124">
        <f>IF($A124="","", SUMIFS(-Mov_Qty, Mov_Item, $A124, Mov_Type, "Consumption", Mov_Date, "&gt;="&amp;$X$2, Mov_Date, "&lt;="&amp;$Y$2))</f>
        <v>0</v>
      </c>
      <c r="N124">
        <f>IF($A124="","", SUMIFS(-Mov_Qty, Mov_Item, $A124, Mov_Type, "Consumption", Mov_Date, "&gt;="&amp;$Z$2, Mov_Date, "&lt;="&amp;$AA$2))</f>
        <v>0</v>
      </c>
      <c r="O124">
        <f>IFERROR(AVERAGE(L124:N124),"")</f>
        <v>0</v>
      </c>
      <c r="P124">
        <f>IF(O124&gt;=Cfg_HiMove, "Yes", "")</f>
        <v>0</v>
      </c>
      <c r="Q124">
        <f>IF($A124="","", $I124 + IFERROR(O124/30*$H124,0))</f>
        <v>0</v>
      </c>
      <c r="R124">
        <f>IF($A124="","", IF(J124&lt;=$F124, "Yes", ""))</f>
        <v>0</v>
      </c>
      <c r="S124">
        <f>IF(R124="Yes", CEILING(MAX($G124, Q124-J124), $G124), 0)</f>
        <v>0</v>
      </c>
      <c r="T124">
        <f>IFERROR(J124/(O124/30),"")</f>
        <v>0</v>
      </c>
    </row>
    <row r="125" spans="10:20">
      <c r="J125">
        <f>IF($A125="","", SUMIFS(Mov_Qty, Mov_Item, $A125))</f>
        <v>0</v>
      </c>
      <c r="K125">
        <f>IF($A125="","", J125 * $E125)</f>
        <v>0</v>
      </c>
      <c r="L125">
        <f>IF($A125="","", SUMIFS(-Mov_Qty, Mov_Item, $A125, Mov_Type, "Consumption", Mov_Date, "&gt;="&amp;$V$2, Mov_Date, "&lt;="&amp;$W$2))</f>
        <v>0</v>
      </c>
      <c r="M125">
        <f>IF($A125="","", SUMIFS(-Mov_Qty, Mov_Item, $A125, Mov_Type, "Consumption", Mov_Date, "&gt;="&amp;$X$2, Mov_Date, "&lt;="&amp;$Y$2))</f>
        <v>0</v>
      </c>
      <c r="N125">
        <f>IF($A125="","", SUMIFS(-Mov_Qty, Mov_Item, $A125, Mov_Type, "Consumption", Mov_Date, "&gt;="&amp;$Z$2, Mov_Date, "&lt;="&amp;$AA$2))</f>
        <v>0</v>
      </c>
      <c r="O125">
        <f>IFERROR(AVERAGE(L125:N125),"")</f>
        <v>0</v>
      </c>
      <c r="P125">
        <f>IF(O125&gt;=Cfg_HiMove, "Yes", "")</f>
        <v>0</v>
      </c>
      <c r="Q125">
        <f>IF($A125="","", $I125 + IFERROR(O125/30*$H125,0))</f>
        <v>0</v>
      </c>
      <c r="R125">
        <f>IF($A125="","", IF(J125&lt;=$F125, "Yes", ""))</f>
        <v>0</v>
      </c>
      <c r="S125">
        <f>IF(R125="Yes", CEILING(MAX($G125, Q125-J125), $G125), 0)</f>
        <v>0</v>
      </c>
      <c r="T125">
        <f>IFERROR(J125/(O125/30),"")</f>
        <v>0</v>
      </c>
    </row>
    <row r="126" spans="10:20">
      <c r="J126">
        <f>IF($A126="","", SUMIFS(Mov_Qty, Mov_Item, $A126))</f>
        <v>0</v>
      </c>
      <c r="K126">
        <f>IF($A126="","", J126 * $E126)</f>
        <v>0</v>
      </c>
      <c r="L126">
        <f>IF($A126="","", SUMIFS(-Mov_Qty, Mov_Item, $A126, Mov_Type, "Consumption", Mov_Date, "&gt;="&amp;$V$2, Mov_Date, "&lt;="&amp;$W$2))</f>
        <v>0</v>
      </c>
      <c r="M126">
        <f>IF($A126="","", SUMIFS(-Mov_Qty, Mov_Item, $A126, Mov_Type, "Consumption", Mov_Date, "&gt;="&amp;$X$2, Mov_Date, "&lt;="&amp;$Y$2))</f>
        <v>0</v>
      </c>
      <c r="N126">
        <f>IF($A126="","", SUMIFS(-Mov_Qty, Mov_Item, $A126, Mov_Type, "Consumption", Mov_Date, "&gt;="&amp;$Z$2, Mov_Date, "&lt;="&amp;$AA$2))</f>
        <v>0</v>
      </c>
      <c r="O126">
        <f>IFERROR(AVERAGE(L126:N126),"")</f>
        <v>0</v>
      </c>
      <c r="P126">
        <f>IF(O126&gt;=Cfg_HiMove, "Yes", "")</f>
        <v>0</v>
      </c>
      <c r="Q126">
        <f>IF($A126="","", $I126 + IFERROR(O126/30*$H126,0))</f>
        <v>0</v>
      </c>
      <c r="R126">
        <f>IF($A126="","", IF(J126&lt;=$F126, "Yes", ""))</f>
        <v>0</v>
      </c>
      <c r="S126">
        <f>IF(R126="Yes", CEILING(MAX($G126, Q126-J126), $G126), 0)</f>
        <v>0</v>
      </c>
      <c r="T126">
        <f>IFERROR(J126/(O126/30),"")</f>
        <v>0</v>
      </c>
    </row>
    <row r="127" spans="10:20">
      <c r="J127">
        <f>IF($A127="","", SUMIFS(Mov_Qty, Mov_Item, $A127))</f>
        <v>0</v>
      </c>
      <c r="K127">
        <f>IF($A127="","", J127 * $E127)</f>
        <v>0</v>
      </c>
      <c r="L127">
        <f>IF($A127="","", SUMIFS(-Mov_Qty, Mov_Item, $A127, Mov_Type, "Consumption", Mov_Date, "&gt;="&amp;$V$2, Mov_Date, "&lt;="&amp;$W$2))</f>
        <v>0</v>
      </c>
      <c r="M127">
        <f>IF($A127="","", SUMIFS(-Mov_Qty, Mov_Item, $A127, Mov_Type, "Consumption", Mov_Date, "&gt;="&amp;$X$2, Mov_Date, "&lt;="&amp;$Y$2))</f>
        <v>0</v>
      </c>
      <c r="N127">
        <f>IF($A127="","", SUMIFS(-Mov_Qty, Mov_Item, $A127, Mov_Type, "Consumption", Mov_Date, "&gt;="&amp;$Z$2, Mov_Date, "&lt;="&amp;$AA$2))</f>
        <v>0</v>
      </c>
      <c r="O127">
        <f>IFERROR(AVERAGE(L127:N127),"")</f>
        <v>0</v>
      </c>
      <c r="P127">
        <f>IF(O127&gt;=Cfg_HiMove, "Yes", "")</f>
        <v>0</v>
      </c>
      <c r="Q127">
        <f>IF($A127="","", $I127 + IFERROR(O127/30*$H127,0))</f>
        <v>0</v>
      </c>
      <c r="R127">
        <f>IF($A127="","", IF(J127&lt;=$F127, "Yes", ""))</f>
        <v>0</v>
      </c>
      <c r="S127">
        <f>IF(R127="Yes", CEILING(MAX($G127, Q127-J127), $G127), 0)</f>
        <v>0</v>
      </c>
      <c r="T127">
        <f>IFERROR(J127/(O127/30),"")</f>
        <v>0</v>
      </c>
    </row>
    <row r="128" spans="10:20">
      <c r="J128">
        <f>IF($A128="","", SUMIFS(Mov_Qty, Mov_Item, $A128))</f>
        <v>0</v>
      </c>
      <c r="K128">
        <f>IF($A128="","", J128 * $E128)</f>
        <v>0</v>
      </c>
      <c r="L128">
        <f>IF($A128="","", SUMIFS(-Mov_Qty, Mov_Item, $A128, Mov_Type, "Consumption", Mov_Date, "&gt;="&amp;$V$2, Mov_Date, "&lt;="&amp;$W$2))</f>
        <v>0</v>
      </c>
      <c r="M128">
        <f>IF($A128="","", SUMIFS(-Mov_Qty, Mov_Item, $A128, Mov_Type, "Consumption", Mov_Date, "&gt;="&amp;$X$2, Mov_Date, "&lt;="&amp;$Y$2))</f>
        <v>0</v>
      </c>
      <c r="N128">
        <f>IF($A128="","", SUMIFS(-Mov_Qty, Mov_Item, $A128, Mov_Type, "Consumption", Mov_Date, "&gt;="&amp;$Z$2, Mov_Date, "&lt;="&amp;$AA$2))</f>
        <v>0</v>
      </c>
      <c r="O128">
        <f>IFERROR(AVERAGE(L128:N128),"")</f>
        <v>0</v>
      </c>
      <c r="P128">
        <f>IF(O128&gt;=Cfg_HiMove, "Yes", "")</f>
        <v>0</v>
      </c>
      <c r="Q128">
        <f>IF($A128="","", $I128 + IFERROR(O128/30*$H128,0))</f>
        <v>0</v>
      </c>
      <c r="R128">
        <f>IF($A128="","", IF(J128&lt;=$F128, "Yes", ""))</f>
        <v>0</v>
      </c>
      <c r="S128">
        <f>IF(R128="Yes", CEILING(MAX($G128, Q128-J128), $G128), 0)</f>
        <v>0</v>
      </c>
      <c r="T128">
        <f>IFERROR(J128/(O128/30),"")</f>
        <v>0</v>
      </c>
    </row>
    <row r="129" spans="10:20">
      <c r="J129">
        <f>IF($A129="","", SUMIFS(Mov_Qty, Mov_Item, $A129))</f>
        <v>0</v>
      </c>
      <c r="K129">
        <f>IF($A129="","", J129 * $E129)</f>
        <v>0</v>
      </c>
      <c r="L129">
        <f>IF($A129="","", SUMIFS(-Mov_Qty, Mov_Item, $A129, Mov_Type, "Consumption", Mov_Date, "&gt;="&amp;$V$2, Mov_Date, "&lt;="&amp;$W$2))</f>
        <v>0</v>
      </c>
      <c r="M129">
        <f>IF($A129="","", SUMIFS(-Mov_Qty, Mov_Item, $A129, Mov_Type, "Consumption", Mov_Date, "&gt;="&amp;$X$2, Mov_Date, "&lt;="&amp;$Y$2))</f>
        <v>0</v>
      </c>
      <c r="N129">
        <f>IF($A129="","", SUMIFS(-Mov_Qty, Mov_Item, $A129, Mov_Type, "Consumption", Mov_Date, "&gt;="&amp;$Z$2, Mov_Date, "&lt;="&amp;$AA$2))</f>
        <v>0</v>
      </c>
      <c r="O129">
        <f>IFERROR(AVERAGE(L129:N129),"")</f>
        <v>0</v>
      </c>
      <c r="P129">
        <f>IF(O129&gt;=Cfg_HiMove, "Yes", "")</f>
        <v>0</v>
      </c>
      <c r="Q129">
        <f>IF($A129="","", $I129 + IFERROR(O129/30*$H129,0))</f>
        <v>0</v>
      </c>
      <c r="R129">
        <f>IF($A129="","", IF(J129&lt;=$F129, "Yes", ""))</f>
        <v>0</v>
      </c>
      <c r="S129">
        <f>IF(R129="Yes", CEILING(MAX($G129, Q129-J129), $G129), 0)</f>
        <v>0</v>
      </c>
      <c r="T129">
        <f>IFERROR(J129/(O129/30),"")</f>
        <v>0</v>
      </c>
    </row>
    <row r="130" spans="10:20">
      <c r="J130">
        <f>IF($A130="","", SUMIFS(Mov_Qty, Mov_Item, $A130))</f>
        <v>0</v>
      </c>
      <c r="K130">
        <f>IF($A130="","", J130 * $E130)</f>
        <v>0</v>
      </c>
      <c r="L130">
        <f>IF($A130="","", SUMIFS(-Mov_Qty, Mov_Item, $A130, Mov_Type, "Consumption", Mov_Date, "&gt;="&amp;$V$2, Mov_Date, "&lt;="&amp;$W$2))</f>
        <v>0</v>
      </c>
      <c r="M130">
        <f>IF($A130="","", SUMIFS(-Mov_Qty, Mov_Item, $A130, Mov_Type, "Consumption", Mov_Date, "&gt;="&amp;$X$2, Mov_Date, "&lt;="&amp;$Y$2))</f>
        <v>0</v>
      </c>
      <c r="N130">
        <f>IF($A130="","", SUMIFS(-Mov_Qty, Mov_Item, $A130, Mov_Type, "Consumption", Mov_Date, "&gt;="&amp;$Z$2, Mov_Date, "&lt;="&amp;$AA$2))</f>
        <v>0</v>
      </c>
      <c r="O130">
        <f>IFERROR(AVERAGE(L130:N130),"")</f>
        <v>0</v>
      </c>
      <c r="P130">
        <f>IF(O130&gt;=Cfg_HiMove, "Yes", "")</f>
        <v>0</v>
      </c>
      <c r="Q130">
        <f>IF($A130="","", $I130 + IFERROR(O130/30*$H130,0))</f>
        <v>0</v>
      </c>
      <c r="R130">
        <f>IF($A130="","", IF(J130&lt;=$F130, "Yes", ""))</f>
        <v>0</v>
      </c>
      <c r="S130">
        <f>IF(R130="Yes", CEILING(MAX($G130, Q130-J130), $G130), 0)</f>
        <v>0</v>
      </c>
      <c r="T130">
        <f>IFERROR(J130/(O130/30),"")</f>
        <v>0</v>
      </c>
    </row>
    <row r="131" spans="10:20">
      <c r="J131">
        <f>IF($A131="","", SUMIFS(Mov_Qty, Mov_Item, $A131))</f>
        <v>0</v>
      </c>
      <c r="K131">
        <f>IF($A131="","", J131 * $E131)</f>
        <v>0</v>
      </c>
      <c r="L131">
        <f>IF($A131="","", SUMIFS(-Mov_Qty, Mov_Item, $A131, Mov_Type, "Consumption", Mov_Date, "&gt;="&amp;$V$2, Mov_Date, "&lt;="&amp;$W$2))</f>
        <v>0</v>
      </c>
      <c r="M131">
        <f>IF($A131="","", SUMIFS(-Mov_Qty, Mov_Item, $A131, Mov_Type, "Consumption", Mov_Date, "&gt;="&amp;$X$2, Mov_Date, "&lt;="&amp;$Y$2))</f>
        <v>0</v>
      </c>
      <c r="N131">
        <f>IF($A131="","", SUMIFS(-Mov_Qty, Mov_Item, $A131, Mov_Type, "Consumption", Mov_Date, "&gt;="&amp;$Z$2, Mov_Date, "&lt;="&amp;$AA$2))</f>
        <v>0</v>
      </c>
      <c r="O131">
        <f>IFERROR(AVERAGE(L131:N131),"")</f>
        <v>0</v>
      </c>
      <c r="P131">
        <f>IF(O131&gt;=Cfg_HiMove, "Yes", "")</f>
        <v>0</v>
      </c>
      <c r="Q131">
        <f>IF($A131="","", $I131 + IFERROR(O131/30*$H131,0))</f>
        <v>0</v>
      </c>
      <c r="R131">
        <f>IF($A131="","", IF(J131&lt;=$F131, "Yes", ""))</f>
        <v>0</v>
      </c>
      <c r="S131">
        <f>IF(R131="Yes", CEILING(MAX($G131, Q131-J131), $G131), 0)</f>
        <v>0</v>
      </c>
      <c r="T131">
        <f>IFERROR(J131/(O131/30),"")</f>
        <v>0</v>
      </c>
    </row>
    <row r="132" spans="10:20">
      <c r="J132">
        <f>IF($A132="","", SUMIFS(Mov_Qty, Mov_Item, $A132))</f>
        <v>0</v>
      </c>
      <c r="K132">
        <f>IF($A132="","", J132 * $E132)</f>
        <v>0</v>
      </c>
      <c r="L132">
        <f>IF($A132="","", SUMIFS(-Mov_Qty, Mov_Item, $A132, Mov_Type, "Consumption", Mov_Date, "&gt;="&amp;$V$2, Mov_Date, "&lt;="&amp;$W$2))</f>
        <v>0</v>
      </c>
      <c r="M132">
        <f>IF($A132="","", SUMIFS(-Mov_Qty, Mov_Item, $A132, Mov_Type, "Consumption", Mov_Date, "&gt;="&amp;$X$2, Mov_Date, "&lt;="&amp;$Y$2))</f>
        <v>0</v>
      </c>
      <c r="N132">
        <f>IF($A132="","", SUMIFS(-Mov_Qty, Mov_Item, $A132, Mov_Type, "Consumption", Mov_Date, "&gt;="&amp;$Z$2, Mov_Date, "&lt;="&amp;$AA$2))</f>
        <v>0</v>
      </c>
      <c r="O132">
        <f>IFERROR(AVERAGE(L132:N132),"")</f>
        <v>0</v>
      </c>
      <c r="P132">
        <f>IF(O132&gt;=Cfg_HiMove, "Yes", "")</f>
        <v>0</v>
      </c>
      <c r="Q132">
        <f>IF($A132="","", $I132 + IFERROR(O132/30*$H132,0))</f>
        <v>0</v>
      </c>
      <c r="R132">
        <f>IF($A132="","", IF(J132&lt;=$F132, "Yes", ""))</f>
        <v>0</v>
      </c>
      <c r="S132">
        <f>IF(R132="Yes", CEILING(MAX($G132, Q132-J132), $G132), 0)</f>
        <v>0</v>
      </c>
      <c r="T132">
        <f>IFERROR(J132/(O132/30),"")</f>
        <v>0</v>
      </c>
    </row>
    <row r="133" spans="10:20">
      <c r="J133">
        <f>IF($A133="","", SUMIFS(Mov_Qty, Mov_Item, $A133))</f>
        <v>0</v>
      </c>
      <c r="K133">
        <f>IF($A133="","", J133 * $E133)</f>
        <v>0</v>
      </c>
      <c r="L133">
        <f>IF($A133="","", SUMIFS(-Mov_Qty, Mov_Item, $A133, Mov_Type, "Consumption", Mov_Date, "&gt;="&amp;$V$2, Mov_Date, "&lt;="&amp;$W$2))</f>
        <v>0</v>
      </c>
      <c r="M133">
        <f>IF($A133="","", SUMIFS(-Mov_Qty, Mov_Item, $A133, Mov_Type, "Consumption", Mov_Date, "&gt;="&amp;$X$2, Mov_Date, "&lt;="&amp;$Y$2))</f>
        <v>0</v>
      </c>
      <c r="N133">
        <f>IF($A133="","", SUMIFS(-Mov_Qty, Mov_Item, $A133, Mov_Type, "Consumption", Mov_Date, "&gt;="&amp;$Z$2, Mov_Date, "&lt;="&amp;$AA$2))</f>
        <v>0</v>
      </c>
      <c r="O133">
        <f>IFERROR(AVERAGE(L133:N133),"")</f>
        <v>0</v>
      </c>
      <c r="P133">
        <f>IF(O133&gt;=Cfg_HiMove, "Yes", "")</f>
        <v>0</v>
      </c>
      <c r="Q133">
        <f>IF($A133="","", $I133 + IFERROR(O133/30*$H133,0))</f>
        <v>0</v>
      </c>
      <c r="R133">
        <f>IF($A133="","", IF(J133&lt;=$F133, "Yes", ""))</f>
        <v>0</v>
      </c>
      <c r="S133">
        <f>IF(R133="Yes", CEILING(MAX($G133, Q133-J133), $G133), 0)</f>
        <v>0</v>
      </c>
      <c r="T133">
        <f>IFERROR(J133/(O133/30),"")</f>
        <v>0</v>
      </c>
    </row>
    <row r="134" spans="10:20">
      <c r="J134">
        <f>IF($A134="","", SUMIFS(Mov_Qty, Mov_Item, $A134))</f>
        <v>0</v>
      </c>
      <c r="K134">
        <f>IF($A134="","", J134 * $E134)</f>
        <v>0</v>
      </c>
      <c r="L134">
        <f>IF($A134="","", SUMIFS(-Mov_Qty, Mov_Item, $A134, Mov_Type, "Consumption", Mov_Date, "&gt;="&amp;$V$2, Mov_Date, "&lt;="&amp;$W$2))</f>
        <v>0</v>
      </c>
      <c r="M134">
        <f>IF($A134="","", SUMIFS(-Mov_Qty, Mov_Item, $A134, Mov_Type, "Consumption", Mov_Date, "&gt;="&amp;$X$2, Mov_Date, "&lt;="&amp;$Y$2))</f>
        <v>0</v>
      </c>
      <c r="N134">
        <f>IF($A134="","", SUMIFS(-Mov_Qty, Mov_Item, $A134, Mov_Type, "Consumption", Mov_Date, "&gt;="&amp;$Z$2, Mov_Date, "&lt;="&amp;$AA$2))</f>
        <v>0</v>
      </c>
      <c r="O134">
        <f>IFERROR(AVERAGE(L134:N134),"")</f>
        <v>0</v>
      </c>
      <c r="P134">
        <f>IF(O134&gt;=Cfg_HiMove, "Yes", "")</f>
        <v>0</v>
      </c>
      <c r="Q134">
        <f>IF($A134="","", $I134 + IFERROR(O134/30*$H134,0))</f>
        <v>0</v>
      </c>
      <c r="R134">
        <f>IF($A134="","", IF(J134&lt;=$F134, "Yes", ""))</f>
        <v>0</v>
      </c>
      <c r="S134">
        <f>IF(R134="Yes", CEILING(MAX($G134, Q134-J134), $G134), 0)</f>
        <v>0</v>
      </c>
      <c r="T134">
        <f>IFERROR(J134/(O134/30),"")</f>
        <v>0</v>
      </c>
    </row>
    <row r="135" spans="10:20">
      <c r="J135">
        <f>IF($A135="","", SUMIFS(Mov_Qty, Mov_Item, $A135))</f>
        <v>0</v>
      </c>
      <c r="K135">
        <f>IF($A135="","", J135 * $E135)</f>
        <v>0</v>
      </c>
      <c r="L135">
        <f>IF($A135="","", SUMIFS(-Mov_Qty, Mov_Item, $A135, Mov_Type, "Consumption", Mov_Date, "&gt;="&amp;$V$2, Mov_Date, "&lt;="&amp;$W$2))</f>
        <v>0</v>
      </c>
      <c r="M135">
        <f>IF($A135="","", SUMIFS(-Mov_Qty, Mov_Item, $A135, Mov_Type, "Consumption", Mov_Date, "&gt;="&amp;$X$2, Mov_Date, "&lt;="&amp;$Y$2))</f>
        <v>0</v>
      </c>
      <c r="N135">
        <f>IF($A135="","", SUMIFS(-Mov_Qty, Mov_Item, $A135, Mov_Type, "Consumption", Mov_Date, "&gt;="&amp;$Z$2, Mov_Date, "&lt;="&amp;$AA$2))</f>
        <v>0</v>
      </c>
      <c r="O135">
        <f>IFERROR(AVERAGE(L135:N135),"")</f>
        <v>0</v>
      </c>
      <c r="P135">
        <f>IF(O135&gt;=Cfg_HiMove, "Yes", "")</f>
        <v>0</v>
      </c>
      <c r="Q135">
        <f>IF($A135="","", $I135 + IFERROR(O135/30*$H135,0))</f>
        <v>0</v>
      </c>
      <c r="R135">
        <f>IF($A135="","", IF(J135&lt;=$F135, "Yes", ""))</f>
        <v>0</v>
      </c>
      <c r="S135">
        <f>IF(R135="Yes", CEILING(MAX($G135, Q135-J135), $G135), 0)</f>
        <v>0</v>
      </c>
      <c r="T135">
        <f>IFERROR(J135/(O135/30),"")</f>
        <v>0</v>
      </c>
    </row>
    <row r="136" spans="10:20">
      <c r="J136">
        <f>IF($A136="","", SUMIFS(Mov_Qty, Mov_Item, $A136))</f>
        <v>0</v>
      </c>
      <c r="K136">
        <f>IF($A136="","", J136 * $E136)</f>
        <v>0</v>
      </c>
      <c r="L136">
        <f>IF($A136="","", SUMIFS(-Mov_Qty, Mov_Item, $A136, Mov_Type, "Consumption", Mov_Date, "&gt;="&amp;$V$2, Mov_Date, "&lt;="&amp;$W$2))</f>
        <v>0</v>
      </c>
      <c r="M136">
        <f>IF($A136="","", SUMIFS(-Mov_Qty, Mov_Item, $A136, Mov_Type, "Consumption", Mov_Date, "&gt;="&amp;$X$2, Mov_Date, "&lt;="&amp;$Y$2))</f>
        <v>0</v>
      </c>
      <c r="N136">
        <f>IF($A136="","", SUMIFS(-Mov_Qty, Mov_Item, $A136, Mov_Type, "Consumption", Mov_Date, "&gt;="&amp;$Z$2, Mov_Date, "&lt;="&amp;$AA$2))</f>
        <v>0</v>
      </c>
      <c r="O136">
        <f>IFERROR(AVERAGE(L136:N136),"")</f>
        <v>0</v>
      </c>
      <c r="P136">
        <f>IF(O136&gt;=Cfg_HiMove, "Yes", "")</f>
        <v>0</v>
      </c>
      <c r="Q136">
        <f>IF($A136="","", $I136 + IFERROR(O136/30*$H136,0))</f>
        <v>0</v>
      </c>
      <c r="R136">
        <f>IF($A136="","", IF(J136&lt;=$F136, "Yes", ""))</f>
        <v>0</v>
      </c>
      <c r="S136">
        <f>IF(R136="Yes", CEILING(MAX($G136, Q136-J136), $G136), 0)</f>
        <v>0</v>
      </c>
      <c r="T136">
        <f>IFERROR(J136/(O136/30),"")</f>
        <v>0</v>
      </c>
    </row>
    <row r="137" spans="10:20">
      <c r="J137">
        <f>IF($A137="","", SUMIFS(Mov_Qty, Mov_Item, $A137))</f>
        <v>0</v>
      </c>
      <c r="K137">
        <f>IF($A137="","", J137 * $E137)</f>
        <v>0</v>
      </c>
      <c r="L137">
        <f>IF($A137="","", SUMIFS(-Mov_Qty, Mov_Item, $A137, Mov_Type, "Consumption", Mov_Date, "&gt;="&amp;$V$2, Mov_Date, "&lt;="&amp;$W$2))</f>
        <v>0</v>
      </c>
      <c r="M137">
        <f>IF($A137="","", SUMIFS(-Mov_Qty, Mov_Item, $A137, Mov_Type, "Consumption", Mov_Date, "&gt;="&amp;$X$2, Mov_Date, "&lt;="&amp;$Y$2))</f>
        <v>0</v>
      </c>
      <c r="N137">
        <f>IF($A137="","", SUMIFS(-Mov_Qty, Mov_Item, $A137, Mov_Type, "Consumption", Mov_Date, "&gt;="&amp;$Z$2, Mov_Date, "&lt;="&amp;$AA$2))</f>
        <v>0</v>
      </c>
      <c r="O137">
        <f>IFERROR(AVERAGE(L137:N137),"")</f>
        <v>0</v>
      </c>
      <c r="P137">
        <f>IF(O137&gt;=Cfg_HiMove, "Yes", "")</f>
        <v>0</v>
      </c>
      <c r="Q137">
        <f>IF($A137="","", $I137 + IFERROR(O137/30*$H137,0))</f>
        <v>0</v>
      </c>
      <c r="R137">
        <f>IF($A137="","", IF(J137&lt;=$F137, "Yes", ""))</f>
        <v>0</v>
      </c>
      <c r="S137">
        <f>IF(R137="Yes", CEILING(MAX($G137, Q137-J137), $G137), 0)</f>
        <v>0</v>
      </c>
      <c r="T137">
        <f>IFERROR(J137/(O137/30),"")</f>
        <v>0</v>
      </c>
    </row>
    <row r="138" spans="10:20">
      <c r="J138">
        <f>IF($A138="","", SUMIFS(Mov_Qty, Mov_Item, $A138))</f>
        <v>0</v>
      </c>
      <c r="K138">
        <f>IF($A138="","", J138 * $E138)</f>
        <v>0</v>
      </c>
      <c r="L138">
        <f>IF($A138="","", SUMIFS(-Mov_Qty, Mov_Item, $A138, Mov_Type, "Consumption", Mov_Date, "&gt;="&amp;$V$2, Mov_Date, "&lt;="&amp;$W$2))</f>
        <v>0</v>
      </c>
      <c r="M138">
        <f>IF($A138="","", SUMIFS(-Mov_Qty, Mov_Item, $A138, Mov_Type, "Consumption", Mov_Date, "&gt;="&amp;$X$2, Mov_Date, "&lt;="&amp;$Y$2))</f>
        <v>0</v>
      </c>
      <c r="N138">
        <f>IF($A138="","", SUMIFS(-Mov_Qty, Mov_Item, $A138, Mov_Type, "Consumption", Mov_Date, "&gt;="&amp;$Z$2, Mov_Date, "&lt;="&amp;$AA$2))</f>
        <v>0</v>
      </c>
      <c r="O138">
        <f>IFERROR(AVERAGE(L138:N138),"")</f>
        <v>0</v>
      </c>
      <c r="P138">
        <f>IF(O138&gt;=Cfg_HiMove, "Yes", "")</f>
        <v>0</v>
      </c>
      <c r="Q138">
        <f>IF($A138="","", $I138 + IFERROR(O138/30*$H138,0))</f>
        <v>0</v>
      </c>
      <c r="R138">
        <f>IF($A138="","", IF(J138&lt;=$F138, "Yes", ""))</f>
        <v>0</v>
      </c>
      <c r="S138">
        <f>IF(R138="Yes", CEILING(MAX($G138, Q138-J138), $G138), 0)</f>
        <v>0</v>
      </c>
      <c r="T138">
        <f>IFERROR(J138/(O138/30),"")</f>
        <v>0</v>
      </c>
    </row>
    <row r="139" spans="10:20">
      <c r="J139">
        <f>IF($A139="","", SUMIFS(Mov_Qty, Mov_Item, $A139))</f>
        <v>0</v>
      </c>
      <c r="K139">
        <f>IF($A139="","", J139 * $E139)</f>
        <v>0</v>
      </c>
      <c r="L139">
        <f>IF($A139="","", SUMIFS(-Mov_Qty, Mov_Item, $A139, Mov_Type, "Consumption", Mov_Date, "&gt;="&amp;$V$2, Mov_Date, "&lt;="&amp;$W$2))</f>
        <v>0</v>
      </c>
      <c r="M139">
        <f>IF($A139="","", SUMIFS(-Mov_Qty, Mov_Item, $A139, Mov_Type, "Consumption", Mov_Date, "&gt;="&amp;$X$2, Mov_Date, "&lt;="&amp;$Y$2))</f>
        <v>0</v>
      </c>
      <c r="N139">
        <f>IF($A139="","", SUMIFS(-Mov_Qty, Mov_Item, $A139, Mov_Type, "Consumption", Mov_Date, "&gt;="&amp;$Z$2, Mov_Date, "&lt;="&amp;$AA$2))</f>
        <v>0</v>
      </c>
      <c r="O139">
        <f>IFERROR(AVERAGE(L139:N139),"")</f>
        <v>0</v>
      </c>
      <c r="P139">
        <f>IF(O139&gt;=Cfg_HiMove, "Yes", "")</f>
        <v>0</v>
      </c>
      <c r="Q139">
        <f>IF($A139="","", $I139 + IFERROR(O139/30*$H139,0))</f>
        <v>0</v>
      </c>
      <c r="R139">
        <f>IF($A139="","", IF(J139&lt;=$F139, "Yes", ""))</f>
        <v>0</v>
      </c>
      <c r="S139">
        <f>IF(R139="Yes", CEILING(MAX($G139, Q139-J139), $G139), 0)</f>
        <v>0</v>
      </c>
      <c r="T139">
        <f>IFERROR(J139/(O139/30),"")</f>
        <v>0</v>
      </c>
    </row>
    <row r="140" spans="10:20">
      <c r="J140">
        <f>IF($A140="","", SUMIFS(Mov_Qty, Mov_Item, $A140))</f>
        <v>0</v>
      </c>
      <c r="K140">
        <f>IF($A140="","", J140 * $E140)</f>
        <v>0</v>
      </c>
      <c r="L140">
        <f>IF($A140="","", SUMIFS(-Mov_Qty, Mov_Item, $A140, Mov_Type, "Consumption", Mov_Date, "&gt;="&amp;$V$2, Mov_Date, "&lt;="&amp;$W$2))</f>
        <v>0</v>
      </c>
      <c r="M140">
        <f>IF($A140="","", SUMIFS(-Mov_Qty, Mov_Item, $A140, Mov_Type, "Consumption", Mov_Date, "&gt;="&amp;$X$2, Mov_Date, "&lt;="&amp;$Y$2))</f>
        <v>0</v>
      </c>
      <c r="N140">
        <f>IF($A140="","", SUMIFS(-Mov_Qty, Mov_Item, $A140, Mov_Type, "Consumption", Mov_Date, "&gt;="&amp;$Z$2, Mov_Date, "&lt;="&amp;$AA$2))</f>
        <v>0</v>
      </c>
      <c r="O140">
        <f>IFERROR(AVERAGE(L140:N140),"")</f>
        <v>0</v>
      </c>
      <c r="P140">
        <f>IF(O140&gt;=Cfg_HiMove, "Yes", "")</f>
        <v>0</v>
      </c>
      <c r="Q140">
        <f>IF($A140="","", $I140 + IFERROR(O140/30*$H140,0))</f>
        <v>0</v>
      </c>
      <c r="R140">
        <f>IF($A140="","", IF(J140&lt;=$F140, "Yes", ""))</f>
        <v>0</v>
      </c>
      <c r="S140">
        <f>IF(R140="Yes", CEILING(MAX($G140, Q140-J140), $G140), 0)</f>
        <v>0</v>
      </c>
      <c r="T140">
        <f>IFERROR(J140/(O140/30),"")</f>
        <v>0</v>
      </c>
    </row>
    <row r="141" spans="10:20">
      <c r="J141">
        <f>IF($A141="","", SUMIFS(Mov_Qty, Mov_Item, $A141))</f>
        <v>0</v>
      </c>
      <c r="K141">
        <f>IF($A141="","", J141 * $E141)</f>
        <v>0</v>
      </c>
      <c r="L141">
        <f>IF($A141="","", SUMIFS(-Mov_Qty, Mov_Item, $A141, Mov_Type, "Consumption", Mov_Date, "&gt;="&amp;$V$2, Mov_Date, "&lt;="&amp;$W$2))</f>
        <v>0</v>
      </c>
      <c r="M141">
        <f>IF($A141="","", SUMIFS(-Mov_Qty, Mov_Item, $A141, Mov_Type, "Consumption", Mov_Date, "&gt;="&amp;$X$2, Mov_Date, "&lt;="&amp;$Y$2))</f>
        <v>0</v>
      </c>
      <c r="N141">
        <f>IF($A141="","", SUMIFS(-Mov_Qty, Mov_Item, $A141, Mov_Type, "Consumption", Mov_Date, "&gt;="&amp;$Z$2, Mov_Date, "&lt;="&amp;$AA$2))</f>
        <v>0</v>
      </c>
      <c r="O141">
        <f>IFERROR(AVERAGE(L141:N141),"")</f>
        <v>0</v>
      </c>
      <c r="P141">
        <f>IF(O141&gt;=Cfg_HiMove, "Yes", "")</f>
        <v>0</v>
      </c>
      <c r="Q141">
        <f>IF($A141="","", $I141 + IFERROR(O141/30*$H141,0))</f>
        <v>0</v>
      </c>
      <c r="R141">
        <f>IF($A141="","", IF(J141&lt;=$F141, "Yes", ""))</f>
        <v>0</v>
      </c>
      <c r="S141">
        <f>IF(R141="Yes", CEILING(MAX($G141, Q141-J141), $G141), 0)</f>
        <v>0</v>
      </c>
      <c r="T141">
        <f>IFERROR(J141/(O141/30),"")</f>
        <v>0</v>
      </c>
    </row>
    <row r="142" spans="10:20">
      <c r="J142">
        <f>IF($A142="","", SUMIFS(Mov_Qty, Mov_Item, $A142))</f>
        <v>0</v>
      </c>
      <c r="K142">
        <f>IF($A142="","", J142 * $E142)</f>
        <v>0</v>
      </c>
      <c r="L142">
        <f>IF($A142="","", SUMIFS(-Mov_Qty, Mov_Item, $A142, Mov_Type, "Consumption", Mov_Date, "&gt;="&amp;$V$2, Mov_Date, "&lt;="&amp;$W$2))</f>
        <v>0</v>
      </c>
      <c r="M142">
        <f>IF($A142="","", SUMIFS(-Mov_Qty, Mov_Item, $A142, Mov_Type, "Consumption", Mov_Date, "&gt;="&amp;$X$2, Mov_Date, "&lt;="&amp;$Y$2))</f>
        <v>0</v>
      </c>
      <c r="N142">
        <f>IF($A142="","", SUMIFS(-Mov_Qty, Mov_Item, $A142, Mov_Type, "Consumption", Mov_Date, "&gt;="&amp;$Z$2, Mov_Date, "&lt;="&amp;$AA$2))</f>
        <v>0</v>
      </c>
      <c r="O142">
        <f>IFERROR(AVERAGE(L142:N142),"")</f>
        <v>0</v>
      </c>
      <c r="P142">
        <f>IF(O142&gt;=Cfg_HiMove, "Yes", "")</f>
        <v>0</v>
      </c>
      <c r="Q142">
        <f>IF($A142="","", $I142 + IFERROR(O142/30*$H142,0))</f>
        <v>0</v>
      </c>
      <c r="R142">
        <f>IF($A142="","", IF(J142&lt;=$F142, "Yes", ""))</f>
        <v>0</v>
      </c>
      <c r="S142">
        <f>IF(R142="Yes", CEILING(MAX($G142, Q142-J142), $G142), 0)</f>
        <v>0</v>
      </c>
      <c r="T142">
        <f>IFERROR(J142/(O142/30),"")</f>
        <v>0</v>
      </c>
    </row>
    <row r="143" spans="10:20">
      <c r="J143">
        <f>IF($A143="","", SUMIFS(Mov_Qty, Mov_Item, $A143))</f>
        <v>0</v>
      </c>
      <c r="K143">
        <f>IF($A143="","", J143 * $E143)</f>
        <v>0</v>
      </c>
      <c r="L143">
        <f>IF($A143="","", SUMIFS(-Mov_Qty, Mov_Item, $A143, Mov_Type, "Consumption", Mov_Date, "&gt;="&amp;$V$2, Mov_Date, "&lt;="&amp;$W$2))</f>
        <v>0</v>
      </c>
      <c r="M143">
        <f>IF($A143="","", SUMIFS(-Mov_Qty, Mov_Item, $A143, Mov_Type, "Consumption", Mov_Date, "&gt;="&amp;$X$2, Mov_Date, "&lt;="&amp;$Y$2))</f>
        <v>0</v>
      </c>
      <c r="N143">
        <f>IF($A143="","", SUMIFS(-Mov_Qty, Mov_Item, $A143, Mov_Type, "Consumption", Mov_Date, "&gt;="&amp;$Z$2, Mov_Date, "&lt;="&amp;$AA$2))</f>
        <v>0</v>
      </c>
      <c r="O143">
        <f>IFERROR(AVERAGE(L143:N143),"")</f>
        <v>0</v>
      </c>
      <c r="P143">
        <f>IF(O143&gt;=Cfg_HiMove, "Yes", "")</f>
        <v>0</v>
      </c>
      <c r="Q143">
        <f>IF($A143="","", $I143 + IFERROR(O143/30*$H143,0))</f>
        <v>0</v>
      </c>
      <c r="R143">
        <f>IF($A143="","", IF(J143&lt;=$F143, "Yes", ""))</f>
        <v>0</v>
      </c>
      <c r="S143">
        <f>IF(R143="Yes", CEILING(MAX($G143, Q143-J143), $G143), 0)</f>
        <v>0</v>
      </c>
      <c r="T143">
        <f>IFERROR(J143/(O143/30),"")</f>
        <v>0</v>
      </c>
    </row>
    <row r="144" spans="10:20">
      <c r="J144">
        <f>IF($A144="","", SUMIFS(Mov_Qty, Mov_Item, $A144))</f>
        <v>0</v>
      </c>
      <c r="K144">
        <f>IF($A144="","", J144 * $E144)</f>
        <v>0</v>
      </c>
      <c r="L144">
        <f>IF($A144="","", SUMIFS(-Mov_Qty, Mov_Item, $A144, Mov_Type, "Consumption", Mov_Date, "&gt;="&amp;$V$2, Mov_Date, "&lt;="&amp;$W$2))</f>
        <v>0</v>
      </c>
      <c r="M144">
        <f>IF($A144="","", SUMIFS(-Mov_Qty, Mov_Item, $A144, Mov_Type, "Consumption", Mov_Date, "&gt;="&amp;$X$2, Mov_Date, "&lt;="&amp;$Y$2))</f>
        <v>0</v>
      </c>
      <c r="N144">
        <f>IF($A144="","", SUMIFS(-Mov_Qty, Mov_Item, $A144, Mov_Type, "Consumption", Mov_Date, "&gt;="&amp;$Z$2, Mov_Date, "&lt;="&amp;$AA$2))</f>
        <v>0</v>
      </c>
      <c r="O144">
        <f>IFERROR(AVERAGE(L144:N144),"")</f>
        <v>0</v>
      </c>
      <c r="P144">
        <f>IF(O144&gt;=Cfg_HiMove, "Yes", "")</f>
        <v>0</v>
      </c>
      <c r="Q144">
        <f>IF($A144="","", $I144 + IFERROR(O144/30*$H144,0))</f>
        <v>0</v>
      </c>
      <c r="R144">
        <f>IF($A144="","", IF(J144&lt;=$F144, "Yes", ""))</f>
        <v>0</v>
      </c>
      <c r="S144">
        <f>IF(R144="Yes", CEILING(MAX($G144, Q144-J144), $G144), 0)</f>
        <v>0</v>
      </c>
      <c r="T144">
        <f>IFERROR(J144/(O144/30),"")</f>
        <v>0</v>
      </c>
    </row>
    <row r="145" spans="10:20">
      <c r="J145">
        <f>IF($A145="","", SUMIFS(Mov_Qty, Mov_Item, $A145))</f>
        <v>0</v>
      </c>
      <c r="K145">
        <f>IF($A145="","", J145 * $E145)</f>
        <v>0</v>
      </c>
      <c r="L145">
        <f>IF($A145="","", SUMIFS(-Mov_Qty, Mov_Item, $A145, Mov_Type, "Consumption", Mov_Date, "&gt;="&amp;$V$2, Mov_Date, "&lt;="&amp;$W$2))</f>
        <v>0</v>
      </c>
      <c r="M145">
        <f>IF($A145="","", SUMIFS(-Mov_Qty, Mov_Item, $A145, Mov_Type, "Consumption", Mov_Date, "&gt;="&amp;$X$2, Mov_Date, "&lt;="&amp;$Y$2))</f>
        <v>0</v>
      </c>
      <c r="N145">
        <f>IF($A145="","", SUMIFS(-Mov_Qty, Mov_Item, $A145, Mov_Type, "Consumption", Mov_Date, "&gt;="&amp;$Z$2, Mov_Date, "&lt;="&amp;$AA$2))</f>
        <v>0</v>
      </c>
      <c r="O145">
        <f>IFERROR(AVERAGE(L145:N145),"")</f>
        <v>0</v>
      </c>
      <c r="P145">
        <f>IF(O145&gt;=Cfg_HiMove, "Yes", "")</f>
        <v>0</v>
      </c>
      <c r="Q145">
        <f>IF($A145="","", $I145 + IFERROR(O145/30*$H145,0))</f>
        <v>0</v>
      </c>
      <c r="R145">
        <f>IF($A145="","", IF(J145&lt;=$F145, "Yes", ""))</f>
        <v>0</v>
      </c>
      <c r="S145">
        <f>IF(R145="Yes", CEILING(MAX($G145, Q145-J145), $G145), 0)</f>
        <v>0</v>
      </c>
      <c r="T145">
        <f>IFERROR(J145/(O145/30),"")</f>
        <v>0</v>
      </c>
    </row>
    <row r="146" spans="10:20">
      <c r="J146">
        <f>IF($A146="","", SUMIFS(Mov_Qty, Mov_Item, $A146))</f>
        <v>0</v>
      </c>
      <c r="K146">
        <f>IF($A146="","", J146 * $E146)</f>
        <v>0</v>
      </c>
      <c r="L146">
        <f>IF($A146="","", SUMIFS(-Mov_Qty, Mov_Item, $A146, Mov_Type, "Consumption", Mov_Date, "&gt;="&amp;$V$2, Mov_Date, "&lt;="&amp;$W$2))</f>
        <v>0</v>
      </c>
      <c r="M146">
        <f>IF($A146="","", SUMIFS(-Mov_Qty, Mov_Item, $A146, Mov_Type, "Consumption", Mov_Date, "&gt;="&amp;$X$2, Mov_Date, "&lt;="&amp;$Y$2))</f>
        <v>0</v>
      </c>
      <c r="N146">
        <f>IF($A146="","", SUMIFS(-Mov_Qty, Mov_Item, $A146, Mov_Type, "Consumption", Mov_Date, "&gt;="&amp;$Z$2, Mov_Date, "&lt;="&amp;$AA$2))</f>
        <v>0</v>
      </c>
      <c r="O146">
        <f>IFERROR(AVERAGE(L146:N146),"")</f>
        <v>0</v>
      </c>
      <c r="P146">
        <f>IF(O146&gt;=Cfg_HiMove, "Yes", "")</f>
        <v>0</v>
      </c>
      <c r="Q146">
        <f>IF($A146="","", $I146 + IFERROR(O146/30*$H146,0))</f>
        <v>0</v>
      </c>
      <c r="R146">
        <f>IF($A146="","", IF(J146&lt;=$F146, "Yes", ""))</f>
        <v>0</v>
      </c>
      <c r="S146">
        <f>IF(R146="Yes", CEILING(MAX($G146, Q146-J146), $G146), 0)</f>
        <v>0</v>
      </c>
      <c r="T146">
        <f>IFERROR(J146/(O146/30),"")</f>
        <v>0</v>
      </c>
    </row>
    <row r="147" spans="10:20">
      <c r="J147">
        <f>IF($A147="","", SUMIFS(Mov_Qty, Mov_Item, $A147))</f>
        <v>0</v>
      </c>
      <c r="K147">
        <f>IF($A147="","", J147 * $E147)</f>
        <v>0</v>
      </c>
      <c r="L147">
        <f>IF($A147="","", SUMIFS(-Mov_Qty, Mov_Item, $A147, Mov_Type, "Consumption", Mov_Date, "&gt;="&amp;$V$2, Mov_Date, "&lt;="&amp;$W$2))</f>
        <v>0</v>
      </c>
      <c r="M147">
        <f>IF($A147="","", SUMIFS(-Mov_Qty, Mov_Item, $A147, Mov_Type, "Consumption", Mov_Date, "&gt;="&amp;$X$2, Mov_Date, "&lt;="&amp;$Y$2))</f>
        <v>0</v>
      </c>
      <c r="N147">
        <f>IF($A147="","", SUMIFS(-Mov_Qty, Mov_Item, $A147, Mov_Type, "Consumption", Mov_Date, "&gt;="&amp;$Z$2, Mov_Date, "&lt;="&amp;$AA$2))</f>
        <v>0</v>
      </c>
      <c r="O147">
        <f>IFERROR(AVERAGE(L147:N147),"")</f>
        <v>0</v>
      </c>
      <c r="P147">
        <f>IF(O147&gt;=Cfg_HiMove, "Yes", "")</f>
        <v>0</v>
      </c>
      <c r="Q147">
        <f>IF($A147="","", $I147 + IFERROR(O147/30*$H147,0))</f>
        <v>0</v>
      </c>
      <c r="R147">
        <f>IF($A147="","", IF(J147&lt;=$F147, "Yes", ""))</f>
        <v>0</v>
      </c>
      <c r="S147">
        <f>IF(R147="Yes", CEILING(MAX($G147, Q147-J147), $G147), 0)</f>
        <v>0</v>
      </c>
      <c r="T147">
        <f>IFERROR(J147/(O147/30),"")</f>
        <v>0</v>
      </c>
    </row>
    <row r="148" spans="10:20">
      <c r="J148">
        <f>IF($A148="","", SUMIFS(Mov_Qty, Mov_Item, $A148))</f>
        <v>0</v>
      </c>
      <c r="K148">
        <f>IF($A148="","", J148 * $E148)</f>
        <v>0</v>
      </c>
      <c r="L148">
        <f>IF($A148="","", SUMIFS(-Mov_Qty, Mov_Item, $A148, Mov_Type, "Consumption", Mov_Date, "&gt;="&amp;$V$2, Mov_Date, "&lt;="&amp;$W$2))</f>
        <v>0</v>
      </c>
      <c r="M148">
        <f>IF($A148="","", SUMIFS(-Mov_Qty, Mov_Item, $A148, Mov_Type, "Consumption", Mov_Date, "&gt;="&amp;$X$2, Mov_Date, "&lt;="&amp;$Y$2))</f>
        <v>0</v>
      </c>
      <c r="N148">
        <f>IF($A148="","", SUMIFS(-Mov_Qty, Mov_Item, $A148, Mov_Type, "Consumption", Mov_Date, "&gt;="&amp;$Z$2, Mov_Date, "&lt;="&amp;$AA$2))</f>
        <v>0</v>
      </c>
      <c r="O148">
        <f>IFERROR(AVERAGE(L148:N148),"")</f>
        <v>0</v>
      </c>
      <c r="P148">
        <f>IF(O148&gt;=Cfg_HiMove, "Yes", "")</f>
        <v>0</v>
      </c>
      <c r="Q148">
        <f>IF($A148="","", $I148 + IFERROR(O148/30*$H148,0))</f>
        <v>0</v>
      </c>
      <c r="R148">
        <f>IF($A148="","", IF(J148&lt;=$F148, "Yes", ""))</f>
        <v>0</v>
      </c>
      <c r="S148">
        <f>IF(R148="Yes", CEILING(MAX($G148, Q148-J148), $G148), 0)</f>
        <v>0</v>
      </c>
      <c r="T148">
        <f>IFERROR(J148/(O148/30),"")</f>
        <v>0</v>
      </c>
    </row>
    <row r="149" spans="10:20">
      <c r="J149">
        <f>IF($A149="","", SUMIFS(Mov_Qty, Mov_Item, $A149))</f>
        <v>0</v>
      </c>
      <c r="K149">
        <f>IF($A149="","", J149 * $E149)</f>
        <v>0</v>
      </c>
      <c r="L149">
        <f>IF($A149="","", SUMIFS(-Mov_Qty, Mov_Item, $A149, Mov_Type, "Consumption", Mov_Date, "&gt;="&amp;$V$2, Mov_Date, "&lt;="&amp;$W$2))</f>
        <v>0</v>
      </c>
      <c r="M149">
        <f>IF($A149="","", SUMIFS(-Mov_Qty, Mov_Item, $A149, Mov_Type, "Consumption", Mov_Date, "&gt;="&amp;$X$2, Mov_Date, "&lt;="&amp;$Y$2))</f>
        <v>0</v>
      </c>
      <c r="N149">
        <f>IF($A149="","", SUMIFS(-Mov_Qty, Mov_Item, $A149, Mov_Type, "Consumption", Mov_Date, "&gt;="&amp;$Z$2, Mov_Date, "&lt;="&amp;$AA$2))</f>
        <v>0</v>
      </c>
      <c r="O149">
        <f>IFERROR(AVERAGE(L149:N149),"")</f>
        <v>0</v>
      </c>
      <c r="P149">
        <f>IF(O149&gt;=Cfg_HiMove, "Yes", "")</f>
        <v>0</v>
      </c>
      <c r="Q149">
        <f>IF($A149="","", $I149 + IFERROR(O149/30*$H149,0))</f>
        <v>0</v>
      </c>
      <c r="R149">
        <f>IF($A149="","", IF(J149&lt;=$F149, "Yes", ""))</f>
        <v>0</v>
      </c>
      <c r="S149">
        <f>IF(R149="Yes", CEILING(MAX($G149, Q149-J149), $G149), 0)</f>
        <v>0</v>
      </c>
      <c r="T149">
        <f>IFERROR(J149/(O149/30),"")</f>
        <v>0</v>
      </c>
    </row>
    <row r="150" spans="10:20">
      <c r="J150">
        <f>IF($A150="","", SUMIFS(Mov_Qty, Mov_Item, $A150))</f>
        <v>0</v>
      </c>
      <c r="K150">
        <f>IF($A150="","", J150 * $E150)</f>
        <v>0</v>
      </c>
      <c r="L150">
        <f>IF($A150="","", SUMIFS(-Mov_Qty, Mov_Item, $A150, Mov_Type, "Consumption", Mov_Date, "&gt;="&amp;$V$2, Mov_Date, "&lt;="&amp;$W$2))</f>
        <v>0</v>
      </c>
      <c r="M150">
        <f>IF($A150="","", SUMIFS(-Mov_Qty, Mov_Item, $A150, Mov_Type, "Consumption", Mov_Date, "&gt;="&amp;$X$2, Mov_Date, "&lt;="&amp;$Y$2))</f>
        <v>0</v>
      </c>
      <c r="N150">
        <f>IF($A150="","", SUMIFS(-Mov_Qty, Mov_Item, $A150, Mov_Type, "Consumption", Mov_Date, "&gt;="&amp;$Z$2, Mov_Date, "&lt;="&amp;$AA$2))</f>
        <v>0</v>
      </c>
      <c r="O150">
        <f>IFERROR(AVERAGE(L150:N150),"")</f>
        <v>0</v>
      </c>
      <c r="P150">
        <f>IF(O150&gt;=Cfg_HiMove, "Yes", "")</f>
        <v>0</v>
      </c>
      <c r="Q150">
        <f>IF($A150="","", $I150 + IFERROR(O150/30*$H150,0))</f>
        <v>0</v>
      </c>
      <c r="R150">
        <f>IF($A150="","", IF(J150&lt;=$F150, "Yes", ""))</f>
        <v>0</v>
      </c>
      <c r="S150">
        <f>IF(R150="Yes", CEILING(MAX($G150, Q150-J150), $G150), 0)</f>
        <v>0</v>
      </c>
      <c r="T150">
        <f>IFERROR(J150/(O150/30),"")</f>
        <v>0</v>
      </c>
    </row>
    <row r="151" spans="10:20">
      <c r="J151">
        <f>IF($A151="","", SUMIFS(Mov_Qty, Mov_Item, $A151))</f>
        <v>0</v>
      </c>
      <c r="K151">
        <f>IF($A151="","", J151 * $E151)</f>
        <v>0</v>
      </c>
      <c r="L151">
        <f>IF($A151="","", SUMIFS(-Mov_Qty, Mov_Item, $A151, Mov_Type, "Consumption", Mov_Date, "&gt;="&amp;$V$2, Mov_Date, "&lt;="&amp;$W$2))</f>
        <v>0</v>
      </c>
      <c r="M151">
        <f>IF($A151="","", SUMIFS(-Mov_Qty, Mov_Item, $A151, Mov_Type, "Consumption", Mov_Date, "&gt;="&amp;$X$2, Mov_Date, "&lt;="&amp;$Y$2))</f>
        <v>0</v>
      </c>
      <c r="N151">
        <f>IF($A151="","", SUMIFS(-Mov_Qty, Mov_Item, $A151, Mov_Type, "Consumption", Mov_Date, "&gt;="&amp;$Z$2, Mov_Date, "&lt;="&amp;$AA$2))</f>
        <v>0</v>
      </c>
      <c r="O151">
        <f>IFERROR(AVERAGE(L151:N151),"")</f>
        <v>0</v>
      </c>
      <c r="P151">
        <f>IF(O151&gt;=Cfg_HiMove, "Yes", "")</f>
        <v>0</v>
      </c>
      <c r="Q151">
        <f>IF($A151="","", $I151 + IFERROR(O151/30*$H151,0))</f>
        <v>0</v>
      </c>
      <c r="R151">
        <f>IF($A151="","", IF(J151&lt;=$F151, "Yes", ""))</f>
        <v>0</v>
      </c>
      <c r="S151">
        <f>IF(R151="Yes", CEILING(MAX($G151, Q151-J151), $G151), 0)</f>
        <v>0</v>
      </c>
      <c r="T151">
        <f>IFERROR(J151/(O151/30),"")</f>
        <v>0</v>
      </c>
    </row>
    <row r="152" spans="10:20">
      <c r="J152">
        <f>IF($A152="","", SUMIFS(Mov_Qty, Mov_Item, $A152))</f>
        <v>0</v>
      </c>
      <c r="K152">
        <f>IF($A152="","", J152 * $E152)</f>
        <v>0</v>
      </c>
      <c r="L152">
        <f>IF($A152="","", SUMIFS(-Mov_Qty, Mov_Item, $A152, Mov_Type, "Consumption", Mov_Date, "&gt;="&amp;$V$2, Mov_Date, "&lt;="&amp;$W$2))</f>
        <v>0</v>
      </c>
      <c r="M152">
        <f>IF($A152="","", SUMIFS(-Mov_Qty, Mov_Item, $A152, Mov_Type, "Consumption", Mov_Date, "&gt;="&amp;$X$2, Mov_Date, "&lt;="&amp;$Y$2))</f>
        <v>0</v>
      </c>
      <c r="N152">
        <f>IF($A152="","", SUMIFS(-Mov_Qty, Mov_Item, $A152, Mov_Type, "Consumption", Mov_Date, "&gt;="&amp;$Z$2, Mov_Date, "&lt;="&amp;$AA$2))</f>
        <v>0</v>
      </c>
      <c r="O152">
        <f>IFERROR(AVERAGE(L152:N152),"")</f>
        <v>0</v>
      </c>
      <c r="P152">
        <f>IF(O152&gt;=Cfg_HiMove, "Yes", "")</f>
        <v>0</v>
      </c>
      <c r="Q152">
        <f>IF($A152="","", $I152 + IFERROR(O152/30*$H152,0))</f>
        <v>0</v>
      </c>
      <c r="R152">
        <f>IF($A152="","", IF(J152&lt;=$F152, "Yes", ""))</f>
        <v>0</v>
      </c>
      <c r="S152">
        <f>IF(R152="Yes", CEILING(MAX($G152, Q152-J152), $G152), 0)</f>
        <v>0</v>
      </c>
      <c r="T152">
        <f>IFERROR(J152/(O152/30),"")</f>
        <v>0</v>
      </c>
    </row>
    <row r="153" spans="10:20">
      <c r="J153">
        <f>IF($A153="","", SUMIFS(Mov_Qty, Mov_Item, $A153))</f>
        <v>0</v>
      </c>
      <c r="K153">
        <f>IF($A153="","", J153 * $E153)</f>
        <v>0</v>
      </c>
      <c r="L153">
        <f>IF($A153="","", SUMIFS(-Mov_Qty, Mov_Item, $A153, Mov_Type, "Consumption", Mov_Date, "&gt;="&amp;$V$2, Mov_Date, "&lt;="&amp;$W$2))</f>
        <v>0</v>
      </c>
      <c r="M153">
        <f>IF($A153="","", SUMIFS(-Mov_Qty, Mov_Item, $A153, Mov_Type, "Consumption", Mov_Date, "&gt;="&amp;$X$2, Mov_Date, "&lt;="&amp;$Y$2))</f>
        <v>0</v>
      </c>
      <c r="N153">
        <f>IF($A153="","", SUMIFS(-Mov_Qty, Mov_Item, $A153, Mov_Type, "Consumption", Mov_Date, "&gt;="&amp;$Z$2, Mov_Date, "&lt;="&amp;$AA$2))</f>
        <v>0</v>
      </c>
      <c r="O153">
        <f>IFERROR(AVERAGE(L153:N153),"")</f>
        <v>0</v>
      </c>
      <c r="P153">
        <f>IF(O153&gt;=Cfg_HiMove, "Yes", "")</f>
        <v>0</v>
      </c>
      <c r="Q153">
        <f>IF($A153="","", $I153 + IFERROR(O153/30*$H153,0))</f>
        <v>0</v>
      </c>
      <c r="R153">
        <f>IF($A153="","", IF(J153&lt;=$F153, "Yes", ""))</f>
        <v>0</v>
      </c>
      <c r="S153">
        <f>IF(R153="Yes", CEILING(MAX($G153, Q153-J153), $G153), 0)</f>
        <v>0</v>
      </c>
      <c r="T153">
        <f>IFERROR(J153/(O153/30),"")</f>
        <v>0</v>
      </c>
    </row>
    <row r="154" spans="10:20">
      <c r="J154">
        <f>IF($A154="","", SUMIFS(Mov_Qty, Mov_Item, $A154))</f>
        <v>0</v>
      </c>
      <c r="K154">
        <f>IF($A154="","", J154 * $E154)</f>
        <v>0</v>
      </c>
      <c r="L154">
        <f>IF($A154="","", SUMIFS(-Mov_Qty, Mov_Item, $A154, Mov_Type, "Consumption", Mov_Date, "&gt;="&amp;$V$2, Mov_Date, "&lt;="&amp;$W$2))</f>
        <v>0</v>
      </c>
      <c r="M154">
        <f>IF($A154="","", SUMIFS(-Mov_Qty, Mov_Item, $A154, Mov_Type, "Consumption", Mov_Date, "&gt;="&amp;$X$2, Mov_Date, "&lt;="&amp;$Y$2))</f>
        <v>0</v>
      </c>
      <c r="N154">
        <f>IF($A154="","", SUMIFS(-Mov_Qty, Mov_Item, $A154, Mov_Type, "Consumption", Mov_Date, "&gt;="&amp;$Z$2, Mov_Date, "&lt;="&amp;$AA$2))</f>
        <v>0</v>
      </c>
      <c r="O154">
        <f>IFERROR(AVERAGE(L154:N154),"")</f>
        <v>0</v>
      </c>
      <c r="P154">
        <f>IF(O154&gt;=Cfg_HiMove, "Yes", "")</f>
        <v>0</v>
      </c>
      <c r="Q154">
        <f>IF($A154="","", $I154 + IFERROR(O154/30*$H154,0))</f>
        <v>0</v>
      </c>
      <c r="R154">
        <f>IF($A154="","", IF(J154&lt;=$F154, "Yes", ""))</f>
        <v>0</v>
      </c>
      <c r="S154">
        <f>IF(R154="Yes", CEILING(MAX($G154, Q154-J154), $G154), 0)</f>
        <v>0</v>
      </c>
      <c r="T154">
        <f>IFERROR(J154/(O154/30),"")</f>
        <v>0</v>
      </c>
    </row>
    <row r="155" spans="10:20">
      <c r="J155">
        <f>IF($A155="","", SUMIFS(Mov_Qty, Mov_Item, $A155))</f>
        <v>0</v>
      </c>
      <c r="K155">
        <f>IF($A155="","", J155 * $E155)</f>
        <v>0</v>
      </c>
      <c r="L155">
        <f>IF($A155="","", SUMIFS(-Mov_Qty, Mov_Item, $A155, Mov_Type, "Consumption", Mov_Date, "&gt;="&amp;$V$2, Mov_Date, "&lt;="&amp;$W$2))</f>
        <v>0</v>
      </c>
      <c r="M155">
        <f>IF($A155="","", SUMIFS(-Mov_Qty, Mov_Item, $A155, Mov_Type, "Consumption", Mov_Date, "&gt;="&amp;$X$2, Mov_Date, "&lt;="&amp;$Y$2))</f>
        <v>0</v>
      </c>
      <c r="N155">
        <f>IF($A155="","", SUMIFS(-Mov_Qty, Mov_Item, $A155, Mov_Type, "Consumption", Mov_Date, "&gt;="&amp;$Z$2, Mov_Date, "&lt;="&amp;$AA$2))</f>
        <v>0</v>
      </c>
      <c r="O155">
        <f>IFERROR(AVERAGE(L155:N155),"")</f>
        <v>0</v>
      </c>
      <c r="P155">
        <f>IF(O155&gt;=Cfg_HiMove, "Yes", "")</f>
        <v>0</v>
      </c>
      <c r="Q155">
        <f>IF($A155="","", $I155 + IFERROR(O155/30*$H155,0))</f>
        <v>0</v>
      </c>
      <c r="R155">
        <f>IF($A155="","", IF(J155&lt;=$F155, "Yes", ""))</f>
        <v>0</v>
      </c>
      <c r="S155">
        <f>IF(R155="Yes", CEILING(MAX($G155, Q155-J155), $G155), 0)</f>
        <v>0</v>
      </c>
      <c r="T155">
        <f>IFERROR(J155/(O155/30),"")</f>
        <v>0</v>
      </c>
    </row>
    <row r="156" spans="10:20">
      <c r="J156">
        <f>IF($A156="","", SUMIFS(Mov_Qty, Mov_Item, $A156))</f>
        <v>0</v>
      </c>
      <c r="K156">
        <f>IF($A156="","", J156 * $E156)</f>
        <v>0</v>
      </c>
      <c r="L156">
        <f>IF($A156="","", SUMIFS(-Mov_Qty, Mov_Item, $A156, Mov_Type, "Consumption", Mov_Date, "&gt;="&amp;$V$2, Mov_Date, "&lt;="&amp;$W$2))</f>
        <v>0</v>
      </c>
      <c r="M156">
        <f>IF($A156="","", SUMIFS(-Mov_Qty, Mov_Item, $A156, Mov_Type, "Consumption", Mov_Date, "&gt;="&amp;$X$2, Mov_Date, "&lt;="&amp;$Y$2))</f>
        <v>0</v>
      </c>
      <c r="N156">
        <f>IF($A156="","", SUMIFS(-Mov_Qty, Mov_Item, $A156, Mov_Type, "Consumption", Mov_Date, "&gt;="&amp;$Z$2, Mov_Date, "&lt;="&amp;$AA$2))</f>
        <v>0</v>
      </c>
      <c r="O156">
        <f>IFERROR(AVERAGE(L156:N156),"")</f>
        <v>0</v>
      </c>
      <c r="P156">
        <f>IF(O156&gt;=Cfg_HiMove, "Yes", "")</f>
        <v>0</v>
      </c>
      <c r="Q156">
        <f>IF($A156="","", $I156 + IFERROR(O156/30*$H156,0))</f>
        <v>0</v>
      </c>
      <c r="R156">
        <f>IF($A156="","", IF(J156&lt;=$F156, "Yes", ""))</f>
        <v>0</v>
      </c>
      <c r="S156">
        <f>IF(R156="Yes", CEILING(MAX($G156, Q156-J156), $G156), 0)</f>
        <v>0</v>
      </c>
      <c r="T156">
        <f>IFERROR(J156/(O156/30),"")</f>
        <v>0</v>
      </c>
    </row>
    <row r="157" spans="10:20">
      <c r="J157">
        <f>IF($A157="","", SUMIFS(Mov_Qty, Mov_Item, $A157))</f>
        <v>0</v>
      </c>
      <c r="K157">
        <f>IF($A157="","", J157 * $E157)</f>
        <v>0</v>
      </c>
      <c r="L157">
        <f>IF($A157="","", SUMIFS(-Mov_Qty, Mov_Item, $A157, Mov_Type, "Consumption", Mov_Date, "&gt;="&amp;$V$2, Mov_Date, "&lt;="&amp;$W$2))</f>
        <v>0</v>
      </c>
      <c r="M157">
        <f>IF($A157="","", SUMIFS(-Mov_Qty, Mov_Item, $A157, Mov_Type, "Consumption", Mov_Date, "&gt;="&amp;$X$2, Mov_Date, "&lt;="&amp;$Y$2))</f>
        <v>0</v>
      </c>
      <c r="N157">
        <f>IF($A157="","", SUMIFS(-Mov_Qty, Mov_Item, $A157, Mov_Type, "Consumption", Mov_Date, "&gt;="&amp;$Z$2, Mov_Date, "&lt;="&amp;$AA$2))</f>
        <v>0</v>
      </c>
      <c r="O157">
        <f>IFERROR(AVERAGE(L157:N157),"")</f>
        <v>0</v>
      </c>
      <c r="P157">
        <f>IF(O157&gt;=Cfg_HiMove, "Yes", "")</f>
        <v>0</v>
      </c>
      <c r="Q157">
        <f>IF($A157="","", $I157 + IFERROR(O157/30*$H157,0))</f>
        <v>0</v>
      </c>
      <c r="R157">
        <f>IF($A157="","", IF(J157&lt;=$F157, "Yes", ""))</f>
        <v>0</v>
      </c>
      <c r="S157">
        <f>IF(R157="Yes", CEILING(MAX($G157, Q157-J157), $G157), 0)</f>
        <v>0</v>
      </c>
      <c r="T157">
        <f>IFERROR(J157/(O157/30),"")</f>
        <v>0</v>
      </c>
    </row>
    <row r="158" spans="10:20">
      <c r="J158">
        <f>IF($A158="","", SUMIFS(Mov_Qty, Mov_Item, $A158))</f>
        <v>0</v>
      </c>
      <c r="K158">
        <f>IF($A158="","", J158 * $E158)</f>
        <v>0</v>
      </c>
      <c r="L158">
        <f>IF($A158="","", SUMIFS(-Mov_Qty, Mov_Item, $A158, Mov_Type, "Consumption", Mov_Date, "&gt;="&amp;$V$2, Mov_Date, "&lt;="&amp;$W$2))</f>
        <v>0</v>
      </c>
      <c r="M158">
        <f>IF($A158="","", SUMIFS(-Mov_Qty, Mov_Item, $A158, Mov_Type, "Consumption", Mov_Date, "&gt;="&amp;$X$2, Mov_Date, "&lt;="&amp;$Y$2))</f>
        <v>0</v>
      </c>
      <c r="N158">
        <f>IF($A158="","", SUMIFS(-Mov_Qty, Mov_Item, $A158, Mov_Type, "Consumption", Mov_Date, "&gt;="&amp;$Z$2, Mov_Date, "&lt;="&amp;$AA$2))</f>
        <v>0</v>
      </c>
      <c r="O158">
        <f>IFERROR(AVERAGE(L158:N158),"")</f>
        <v>0</v>
      </c>
      <c r="P158">
        <f>IF(O158&gt;=Cfg_HiMove, "Yes", "")</f>
        <v>0</v>
      </c>
      <c r="Q158">
        <f>IF($A158="","", $I158 + IFERROR(O158/30*$H158,0))</f>
        <v>0</v>
      </c>
      <c r="R158">
        <f>IF($A158="","", IF(J158&lt;=$F158, "Yes", ""))</f>
        <v>0</v>
      </c>
      <c r="S158">
        <f>IF(R158="Yes", CEILING(MAX($G158, Q158-J158), $G158), 0)</f>
        <v>0</v>
      </c>
      <c r="T158">
        <f>IFERROR(J158/(O158/30),"")</f>
        <v>0</v>
      </c>
    </row>
    <row r="159" spans="10:20">
      <c r="J159">
        <f>IF($A159="","", SUMIFS(Mov_Qty, Mov_Item, $A159))</f>
        <v>0</v>
      </c>
      <c r="K159">
        <f>IF($A159="","", J159 * $E159)</f>
        <v>0</v>
      </c>
      <c r="L159">
        <f>IF($A159="","", SUMIFS(-Mov_Qty, Mov_Item, $A159, Mov_Type, "Consumption", Mov_Date, "&gt;="&amp;$V$2, Mov_Date, "&lt;="&amp;$W$2))</f>
        <v>0</v>
      </c>
      <c r="M159">
        <f>IF($A159="","", SUMIFS(-Mov_Qty, Mov_Item, $A159, Mov_Type, "Consumption", Mov_Date, "&gt;="&amp;$X$2, Mov_Date, "&lt;="&amp;$Y$2))</f>
        <v>0</v>
      </c>
      <c r="N159">
        <f>IF($A159="","", SUMIFS(-Mov_Qty, Mov_Item, $A159, Mov_Type, "Consumption", Mov_Date, "&gt;="&amp;$Z$2, Mov_Date, "&lt;="&amp;$AA$2))</f>
        <v>0</v>
      </c>
      <c r="O159">
        <f>IFERROR(AVERAGE(L159:N159),"")</f>
        <v>0</v>
      </c>
      <c r="P159">
        <f>IF(O159&gt;=Cfg_HiMove, "Yes", "")</f>
        <v>0</v>
      </c>
      <c r="Q159">
        <f>IF($A159="","", $I159 + IFERROR(O159/30*$H159,0))</f>
        <v>0</v>
      </c>
      <c r="R159">
        <f>IF($A159="","", IF(J159&lt;=$F159, "Yes", ""))</f>
        <v>0</v>
      </c>
      <c r="S159">
        <f>IF(R159="Yes", CEILING(MAX($G159, Q159-J159), $G159), 0)</f>
        <v>0</v>
      </c>
      <c r="T159">
        <f>IFERROR(J159/(O159/30),"")</f>
        <v>0</v>
      </c>
    </row>
    <row r="160" spans="10:20">
      <c r="J160">
        <f>IF($A160="","", SUMIFS(Mov_Qty, Mov_Item, $A160))</f>
        <v>0</v>
      </c>
      <c r="K160">
        <f>IF($A160="","", J160 * $E160)</f>
        <v>0</v>
      </c>
      <c r="L160">
        <f>IF($A160="","", SUMIFS(-Mov_Qty, Mov_Item, $A160, Mov_Type, "Consumption", Mov_Date, "&gt;="&amp;$V$2, Mov_Date, "&lt;="&amp;$W$2))</f>
        <v>0</v>
      </c>
      <c r="M160">
        <f>IF($A160="","", SUMIFS(-Mov_Qty, Mov_Item, $A160, Mov_Type, "Consumption", Mov_Date, "&gt;="&amp;$X$2, Mov_Date, "&lt;="&amp;$Y$2))</f>
        <v>0</v>
      </c>
      <c r="N160">
        <f>IF($A160="","", SUMIFS(-Mov_Qty, Mov_Item, $A160, Mov_Type, "Consumption", Mov_Date, "&gt;="&amp;$Z$2, Mov_Date, "&lt;="&amp;$AA$2))</f>
        <v>0</v>
      </c>
      <c r="O160">
        <f>IFERROR(AVERAGE(L160:N160),"")</f>
        <v>0</v>
      </c>
      <c r="P160">
        <f>IF(O160&gt;=Cfg_HiMove, "Yes", "")</f>
        <v>0</v>
      </c>
      <c r="Q160">
        <f>IF($A160="","", $I160 + IFERROR(O160/30*$H160,0))</f>
        <v>0</v>
      </c>
      <c r="R160">
        <f>IF($A160="","", IF(J160&lt;=$F160, "Yes", ""))</f>
        <v>0</v>
      </c>
      <c r="S160">
        <f>IF(R160="Yes", CEILING(MAX($G160, Q160-J160), $G160), 0)</f>
        <v>0</v>
      </c>
      <c r="T160">
        <f>IFERROR(J160/(O160/30),"")</f>
        <v>0</v>
      </c>
    </row>
    <row r="161" spans="10:20">
      <c r="J161">
        <f>IF($A161="","", SUMIFS(Mov_Qty, Mov_Item, $A161))</f>
        <v>0</v>
      </c>
      <c r="K161">
        <f>IF($A161="","", J161 * $E161)</f>
        <v>0</v>
      </c>
      <c r="L161">
        <f>IF($A161="","", SUMIFS(-Mov_Qty, Mov_Item, $A161, Mov_Type, "Consumption", Mov_Date, "&gt;="&amp;$V$2, Mov_Date, "&lt;="&amp;$W$2))</f>
        <v>0</v>
      </c>
      <c r="M161">
        <f>IF($A161="","", SUMIFS(-Mov_Qty, Mov_Item, $A161, Mov_Type, "Consumption", Mov_Date, "&gt;="&amp;$X$2, Mov_Date, "&lt;="&amp;$Y$2))</f>
        <v>0</v>
      </c>
      <c r="N161">
        <f>IF($A161="","", SUMIFS(-Mov_Qty, Mov_Item, $A161, Mov_Type, "Consumption", Mov_Date, "&gt;="&amp;$Z$2, Mov_Date, "&lt;="&amp;$AA$2))</f>
        <v>0</v>
      </c>
      <c r="O161">
        <f>IFERROR(AVERAGE(L161:N161),"")</f>
        <v>0</v>
      </c>
      <c r="P161">
        <f>IF(O161&gt;=Cfg_HiMove, "Yes", "")</f>
        <v>0</v>
      </c>
      <c r="Q161">
        <f>IF($A161="","", $I161 + IFERROR(O161/30*$H161,0))</f>
        <v>0</v>
      </c>
      <c r="R161">
        <f>IF($A161="","", IF(J161&lt;=$F161, "Yes", ""))</f>
        <v>0</v>
      </c>
      <c r="S161">
        <f>IF(R161="Yes", CEILING(MAX($G161, Q161-J161), $G161), 0)</f>
        <v>0</v>
      </c>
      <c r="T161">
        <f>IFERROR(J161/(O161/30),"")</f>
        <v>0</v>
      </c>
    </row>
    <row r="162" spans="10:20">
      <c r="J162">
        <f>IF($A162="","", SUMIFS(Mov_Qty, Mov_Item, $A162))</f>
        <v>0</v>
      </c>
      <c r="K162">
        <f>IF($A162="","", J162 * $E162)</f>
        <v>0</v>
      </c>
      <c r="L162">
        <f>IF($A162="","", SUMIFS(-Mov_Qty, Mov_Item, $A162, Mov_Type, "Consumption", Mov_Date, "&gt;="&amp;$V$2, Mov_Date, "&lt;="&amp;$W$2))</f>
        <v>0</v>
      </c>
      <c r="M162">
        <f>IF($A162="","", SUMIFS(-Mov_Qty, Mov_Item, $A162, Mov_Type, "Consumption", Mov_Date, "&gt;="&amp;$X$2, Mov_Date, "&lt;="&amp;$Y$2))</f>
        <v>0</v>
      </c>
      <c r="N162">
        <f>IF($A162="","", SUMIFS(-Mov_Qty, Mov_Item, $A162, Mov_Type, "Consumption", Mov_Date, "&gt;="&amp;$Z$2, Mov_Date, "&lt;="&amp;$AA$2))</f>
        <v>0</v>
      </c>
      <c r="O162">
        <f>IFERROR(AVERAGE(L162:N162),"")</f>
        <v>0</v>
      </c>
      <c r="P162">
        <f>IF(O162&gt;=Cfg_HiMove, "Yes", "")</f>
        <v>0</v>
      </c>
      <c r="Q162">
        <f>IF($A162="","", $I162 + IFERROR(O162/30*$H162,0))</f>
        <v>0</v>
      </c>
      <c r="R162">
        <f>IF($A162="","", IF(J162&lt;=$F162, "Yes", ""))</f>
        <v>0</v>
      </c>
      <c r="S162">
        <f>IF(R162="Yes", CEILING(MAX($G162, Q162-J162), $G162), 0)</f>
        <v>0</v>
      </c>
      <c r="T162">
        <f>IFERROR(J162/(O162/30),"")</f>
        <v>0</v>
      </c>
    </row>
    <row r="163" spans="10:20">
      <c r="J163">
        <f>IF($A163="","", SUMIFS(Mov_Qty, Mov_Item, $A163))</f>
        <v>0</v>
      </c>
      <c r="K163">
        <f>IF($A163="","", J163 * $E163)</f>
        <v>0</v>
      </c>
      <c r="L163">
        <f>IF($A163="","", SUMIFS(-Mov_Qty, Mov_Item, $A163, Mov_Type, "Consumption", Mov_Date, "&gt;="&amp;$V$2, Mov_Date, "&lt;="&amp;$W$2))</f>
        <v>0</v>
      </c>
      <c r="M163">
        <f>IF($A163="","", SUMIFS(-Mov_Qty, Mov_Item, $A163, Mov_Type, "Consumption", Mov_Date, "&gt;="&amp;$X$2, Mov_Date, "&lt;="&amp;$Y$2))</f>
        <v>0</v>
      </c>
      <c r="N163">
        <f>IF($A163="","", SUMIFS(-Mov_Qty, Mov_Item, $A163, Mov_Type, "Consumption", Mov_Date, "&gt;="&amp;$Z$2, Mov_Date, "&lt;="&amp;$AA$2))</f>
        <v>0</v>
      </c>
      <c r="O163">
        <f>IFERROR(AVERAGE(L163:N163),"")</f>
        <v>0</v>
      </c>
      <c r="P163">
        <f>IF(O163&gt;=Cfg_HiMove, "Yes", "")</f>
        <v>0</v>
      </c>
      <c r="Q163">
        <f>IF($A163="","", $I163 + IFERROR(O163/30*$H163,0))</f>
        <v>0</v>
      </c>
      <c r="R163">
        <f>IF($A163="","", IF(J163&lt;=$F163, "Yes", ""))</f>
        <v>0</v>
      </c>
      <c r="S163">
        <f>IF(R163="Yes", CEILING(MAX($G163, Q163-J163), $G163), 0)</f>
        <v>0</v>
      </c>
      <c r="T163">
        <f>IFERROR(J163/(O163/30),"")</f>
        <v>0</v>
      </c>
    </row>
    <row r="164" spans="10:20">
      <c r="J164">
        <f>IF($A164="","", SUMIFS(Mov_Qty, Mov_Item, $A164))</f>
        <v>0</v>
      </c>
      <c r="K164">
        <f>IF($A164="","", J164 * $E164)</f>
        <v>0</v>
      </c>
      <c r="L164">
        <f>IF($A164="","", SUMIFS(-Mov_Qty, Mov_Item, $A164, Mov_Type, "Consumption", Mov_Date, "&gt;="&amp;$V$2, Mov_Date, "&lt;="&amp;$W$2))</f>
        <v>0</v>
      </c>
      <c r="M164">
        <f>IF($A164="","", SUMIFS(-Mov_Qty, Mov_Item, $A164, Mov_Type, "Consumption", Mov_Date, "&gt;="&amp;$X$2, Mov_Date, "&lt;="&amp;$Y$2))</f>
        <v>0</v>
      </c>
      <c r="N164">
        <f>IF($A164="","", SUMIFS(-Mov_Qty, Mov_Item, $A164, Mov_Type, "Consumption", Mov_Date, "&gt;="&amp;$Z$2, Mov_Date, "&lt;="&amp;$AA$2))</f>
        <v>0</v>
      </c>
      <c r="O164">
        <f>IFERROR(AVERAGE(L164:N164),"")</f>
        <v>0</v>
      </c>
      <c r="P164">
        <f>IF(O164&gt;=Cfg_HiMove, "Yes", "")</f>
        <v>0</v>
      </c>
      <c r="Q164">
        <f>IF($A164="","", $I164 + IFERROR(O164/30*$H164,0))</f>
        <v>0</v>
      </c>
      <c r="R164">
        <f>IF($A164="","", IF(J164&lt;=$F164, "Yes", ""))</f>
        <v>0</v>
      </c>
      <c r="S164">
        <f>IF(R164="Yes", CEILING(MAX($G164, Q164-J164), $G164), 0)</f>
        <v>0</v>
      </c>
      <c r="T164">
        <f>IFERROR(J164/(O164/30),"")</f>
        <v>0</v>
      </c>
    </row>
    <row r="165" spans="10:20">
      <c r="J165">
        <f>IF($A165="","", SUMIFS(Mov_Qty, Mov_Item, $A165))</f>
        <v>0</v>
      </c>
      <c r="K165">
        <f>IF($A165="","", J165 * $E165)</f>
        <v>0</v>
      </c>
      <c r="L165">
        <f>IF($A165="","", SUMIFS(-Mov_Qty, Mov_Item, $A165, Mov_Type, "Consumption", Mov_Date, "&gt;="&amp;$V$2, Mov_Date, "&lt;="&amp;$W$2))</f>
        <v>0</v>
      </c>
      <c r="M165">
        <f>IF($A165="","", SUMIFS(-Mov_Qty, Mov_Item, $A165, Mov_Type, "Consumption", Mov_Date, "&gt;="&amp;$X$2, Mov_Date, "&lt;="&amp;$Y$2))</f>
        <v>0</v>
      </c>
      <c r="N165">
        <f>IF($A165="","", SUMIFS(-Mov_Qty, Mov_Item, $A165, Mov_Type, "Consumption", Mov_Date, "&gt;="&amp;$Z$2, Mov_Date, "&lt;="&amp;$AA$2))</f>
        <v>0</v>
      </c>
      <c r="O165">
        <f>IFERROR(AVERAGE(L165:N165),"")</f>
        <v>0</v>
      </c>
      <c r="P165">
        <f>IF(O165&gt;=Cfg_HiMove, "Yes", "")</f>
        <v>0</v>
      </c>
      <c r="Q165">
        <f>IF($A165="","", $I165 + IFERROR(O165/30*$H165,0))</f>
        <v>0</v>
      </c>
      <c r="R165">
        <f>IF($A165="","", IF(J165&lt;=$F165, "Yes", ""))</f>
        <v>0</v>
      </c>
      <c r="S165">
        <f>IF(R165="Yes", CEILING(MAX($G165, Q165-J165), $G165), 0)</f>
        <v>0</v>
      </c>
      <c r="T165">
        <f>IFERROR(J165/(O165/30),"")</f>
        <v>0</v>
      </c>
    </row>
    <row r="166" spans="10:20">
      <c r="J166">
        <f>IF($A166="","", SUMIFS(Mov_Qty, Mov_Item, $A166))</f>
        <v>0</v>
      </c>
      <c r="K166">
        <f>IF($A166="","", J166 * $E166)</f>
        <v>0</v>
      </c>
      <c r="L166">
        <f>IF($A166="","", SUMIFS(-Mov_Qty, Mov_Item, $A166, Mov_Type, "Consumption", Mov_Date, "&gt;="&amp;$V$2, Mov_Date, "&lt;="&amp;$W$2))</f>
        <v>0</v>
      </c>
      <c r="M166">
        <f>IF($A166="","", SUMIFS(-Mov_Qty, Mov_Item, $A166, Mov_Type, "Consumption", Mov_Date, "&gt;="&amp;$X$2, Mov_Date, "&lt;="&amp;$Y$2))</f>
        <v>0</v>
      </c>
      <c r="N166">
        <f>IF($A166="","", SUMIFS(-Mov_Qty, Mov_Item, $A166, Mov_Type, "Consumption", Mov_Date, "&gt;="&amp;$Z$2, Mov_Date, "&lt;="&amp;$AA$2))</f>
        <v>0</v>
      </c>
      <c r="O166">
        <f>IFERROR(AVERAGE(L166:N166),"")</f>
        <v>0</v>
      </c>
      <c r="P166">
        <f>IF(O166&gt;=Cfg_HiMove, "Yes", "")</f>
        <v>0</v>
      </c>
      <c r="Q166">
        <f>IF($A166="","", $I166 + IFERROR(O166/30*$H166,0))</f>
        <v>0</v>
      </c>
      <c r="R166">
        <f>IF($A166="","", IF(J166&lt;=$F166, "Yes", ""))</f>
        <v>0</v>
      </c>
      <c r="S166">
        <f>IF(R166="Yes", CEILING(MAX($G166, Q166-J166), $G166), 0)</f>
        <v>0</v>
      </c>
      <c r="T166">
        <f>IFERROR(J166/(O166/30),"")</f>
        <v>0</v>
      </c>
    </row>
    <row r="167" spans="10:20">
      <c r="J167">
        <f>IF($A167="","", SUMIFS(Mov_Qty, Mov_Item, $A167))</f>
        <v>0</v>
      </c>
      <c r="K167">
        <f>IF($A167="","", J167 * $E167)</f>
        <v>0</v>
      </c>
      <c r="L167">
        <f>IF($A167="","", SUMIFS(-Mov_Qty, Mov_Item, $A167, Mov_Type, "Consumption", Mov_Date, "&gt;="&amp;$V$2, Mov_Date, "&lt;="&amp;$W$2))</f>
        <v>0</v>
      </c>
      <c r="M167">
        <f>IF($A167="","", SUMIFS(-Mov_Qty, Mov_Item, $A167, Mov_Type, "Consumption", Mov_Date, "&gt;="&amp;$X$2, Mov_Date, "&lt;="&amp;$Y$2))</f>
        <v>0</v>
      </c>
      <c r="N167">
        <f>IF($A167="","", SUMIFS(-Mov_Qty, Mov_Item, $A167, Mov_Type, "Consumption", Mov_Date, "&gt;="&amp;$Z$2, Mov_Date, "&lt;="&amp;$AA$2))</f>
        <v>0</v>
      </c>
      <c r="O167">
        <f>IFERROR(AVERAGE(L167:N167),"")</f>
        <v>0</v>
      </c>
      <c r="P167">
        <f>IF(O167&gt;=Cfg_HiMove, "Yes", "")</f>
        <v>0</v>
      </c>
      <c r="Q167">
        <f>IF($A167="","", $I167 + IFERROR(O167/30*$H167,0))</f>
        <v>0</v>
      </c>
      <c r="R167">
        <f>IF($A167="","", IF(J167&lt;=$F167, "Yes", ""))</f>
        <v>0</v>
      </c>
      <c r="S167">
        <f>IF(R167="Yes", CEILING(MAX($G167, Q167-J167), $G167), 0)</f>
        <v>0</v>
      </c>
      <c r="T167">
        <f>IFERROR(J167/(O167/30),"")</f>
        <v>0</v>
      </c>
    </row>
    <row r="168" spans="10:20">
      <c r="J168">
        <f>IF($A168="","", SUMIFS(Mov_Qty, Mov_Item, $A168))</f>
        <v>0</v>
      </c>
      <c r="K168">
        <f>IF($A168="","", J168 * $E168)</f>
        <v>0</v>
      </c>
      <c r="L168">
        <f>IF($A168="","", SUMIFS(-Mov_Qty, Mov_Item, $A168, Mov_Type, "Consumption", Mov_Date, "&gt;="&amp;$V$2, Mov_Date, "&lt;="&amp;$W$2))</f>
        <v>0</v>
      </c>
      <c r="M168">
        <f>IF($A168="","", SUMIFS(-Mov_Qty, Mov_Item, $A168, Mov_Type, "Consumption", Mov_Date, "&gt;="&amp;$X$2, Mov_Date, "&lt;="&amp;$Y$2))</f>
        <v>0</v>
      </c>
      <c r="N168">
        <f>IF($A168="","", SUMIFS(-Mov_Qty, Mov_Item, $A168, Mov_Type, "Consumption", Mov_Date, "&gt;="&amp;$Z$2, Mov_Date, "&lt;="&amp;$AA$2))</f>
        <v>0</v>
      </c>
      <c r="O168">
        <f>IFERROR(AVERAGE(L168:N168),"")</f>
        <v>0</v>
      </c>
      <c r="P168">
        <f>IF(O168&gt;=Cfg_HiMove, "Yes", "")</f>
        <v>0</v>
      </c>
      <c r="Q168">
        <f>IF($A168="","", $I168 + IFERROR(O168/30*$H168,0))</f>
        <v>0</v>
      </c>
      <c r="R168">
        <f>IF($A168="","", IF(J168&lt;=$F168, "Yes", ""))</f>
        <v>0</v>
      </c>
      <c r="S168">
        <f>IF(R168="Yes", CEILING(MAX($G168, Q168-J168), $G168), 0)</f>
        <v>0</v>
      </c>
      <c r="T168">
        <f>IFERROR(J168/(O168/30),"")</f>
        <v>0</v>
      </c>
    </row>
    <row r="169" spans="10:20">
      <c r="J169">
        <f>IF($A169="","", SUMIFS(Mov_Qty, Mov_Item, $A169))</f>
        <v>0</v>
      </c>
      <c r="K169">
        <f>IF($A169="","", J169 * $E169)</f>
        <v>0</v>
      </c>
      <c r="L169">
        <f>IF($A169="","", SUMIFS(-Mov_Qty, Mov_Item, $A169, Mov_Type, "Consumption", Mov_Date, "&gt;="&amp;$V$2, Mov_Date, "&lt;="&amp;$W$2))</f>
        <v>0</v>
      </c>
      <c r="M169">
        <f>IF($A169="","", SUMIFS(-Mov_Qty, Mov_Item, $A169, Mov_Type, "Consumption", Mov_Date, "&gt;="&amp;$X$2, Mov_Date, "&lt;="&amp;$Y$2))</f>
        <v>0</v>
      </c>
      <c r="N169">
        <f>IF($A169="","", SUMIFS(-Mov_Qty, Mov_Item, $A169, Mov_Type, "Consumption", Mov_Date, "&gt;="&amp;$Z$2, Mov_Date, "&lt;="&amp;$AA$2))</f>
        <v>0</v>
      </c>
      <c r="O169">
        <f>IFERROR(AVERAGE(L169:N169),"")</f>
        <v>0</v>
      </c>
      <c r="P169">
        <f>IF(O169&gt;=Cfg_HiMove, "Yes", "")</f>
        <v>0</v>
      </c>
      <c r="Q169">
        <f>IF($A169="","", $I169 + IFERROR(O169/30*$H169,0))</f>
        <v>0</v>
      </c>
      <c r="R169">
        <f>IF($A169="","", IF(J169&lt;=$F169, "Yes", ""))</f>
        <v>0</v>
      </c>
      <c r="S169">
        <f>IF(R169="Yes", CEILING(MAX($G169, Q169-J169), $G169), 0)</f>
        <v>0</v>
      </c>
      <c r="T169">
        <f>IFERROR(J169/(O169/30),"")</f>
        <v>0</v>
      </c>
    </row>
    <row r="170" spans="10:20">
      <c r="J170">
        <f>IF($A170="","", SUMIFS(Mov_Qty, Mov_Item, $A170))</f>
        <v>0</v>
      </c>
      <c r="K170">
        <f>IF($A170="","", J170 * $E170)</f>
        <v>0</v>
      </c>
      <c r="L170">
        <f>IF($A170="","", SUMIFS(-Mov_Qty, Mov_Item, $A170, Mov_Type, "Consumption", Mov_Date, "&gt;="&amp;$V$2, Mov_Date, "&lt;="&amp;$W$2))</f>
        <v>0</v>
      </c>
      <c r="M170">
        <f>IF($A170="","", SUMIFS(-Mov_Qty, Mov_Item, $A170, Mov_Type, "Consumption", Mov_Date, "&gt;="&amp;$X$2, Mov_Date, "&lt;="&amp;$Y$2))</f>
        <v>0</v>
      </c>
      <c r="N170">
        <f>IF($A170="","", SUMIFS(-Mov_Qty, Mov_Item, $A170, Mov_Type, "Consumption", Mov_Date, "&gt;="&amp;$Z$2, Mov_Date, "&lt;="&amp;$AA$2))</f>
        <v>0</v>
      </c>
      <c r="O170">
        <f>IFERROR(AVERAGE(L170:N170),"")</f>
        <v>0</v>
      </c>
      <c r="P170">
        <f>IF(O170&gt;=Cfg_HiMove, "Yes", "")</f>
        <v>0</v>
      </c>
      <c r="Q170">
        <f>IF($A170="","", $I170 + IFERROR(O170/30*$H170,0))</f>
        <v>0</v>
      </c>
      <c r="R170">
        <f>IF($A170="","", IF(J170&lt;=$F170, "Yes", ""))</f>
        <v>0</v>
      </c>
      <c r="S170">
        <f>IF(R170="Yes", CEILING(MAX($G170, Q170-J170), $G170), 0)</f>
        <v>0</v>
      </c>
      <c r="T170">
        <f>IFERROR(J170/(O170/30),"")</f>
        <v>0</v>
      </c>
    </row>
    <row r="171" spans="10:20">
      <c r="J171">
        <f>IF($A171="","", SUMIFS(Mov_Qty, Mov_Item, $A171))</f>
        <v>0</v>
      </c>
      <c r="K171">
        <f>IF($A171="","", J171 * $E171)</f>
        <v>0</v>
      </c>
      <c r="L171">
        <f>IF($A171="","", SUMIFS(-Mov_Qty, Mov_Item, $A171, Mov_Type, "Consumption", Mov_Date, "&gt;="&amp;$V$2, Mov_Date, "&lt;="&amp;$W$2))</f>
        <v>0</v>
      </c>
      <c r="M171">
        <f>IF($A171="","", SUMIFS(-Mov_Qty, Mov_Item, $A171, Mov_Type, "Consumption", Mov_Date, "&gt;="&amp;$X$2, Mov_Date, "&lt;="&amp;$Y$2))</f>
        <v>0</v>
      </c>
      <c r="N171">
        <f>IF($A171="","", SUMIFS(-Mov_Qty, Mov_Item, $A171, Mov_Type, "Consumption", Mov_Date, "&gt;="&amp;$Z$2, Mov_Date, "&lt;="&amp;$AA$2))</f>
        <v>0</v>
      </c>
      <c r="O171">
        <f>IFERROR(AVERAGE(L171:N171),"")</f>
        <v>0</v>
      </c>
      <c r="P171">
        <f>IF(O171&gt;=Cfg_HiMove, "Yes", "")</f>
        <v>0</v>
      </c>
      <c r="Q171">
        <f>IF($A171="","", $I171 + IFERROR(O171/30*$H171,0))</f>
        <v>0</v>
      </c>
      <c r="R171">
        <f>IF($A171="","", IF(J171&lt;=$F171, "Yes", ""))</f>
        <v>0</v>
      </c>
      <c r="S171">
        <f>IF(R171="Yes", CEILING(MAX($G171, Q171-J171), $G171), 0)</f>
        <v>0</v>
      </c>
      <c r="T171">
        <f>IFERROR(J171/(O171/30),"")</f>
        <v>0</v>
      </c>
    </row>
    <row r="172" spans="10:20">
      <c r="J172">
        <f>IF($A172="","", SUMIFS(Mov_Qty, Mov_Item, $A172))</f>
        <v>0</v>
      </c>
      <c r="K172">
        <f>IF($A172="","", J172 * $E172)</f>
        <v>0</v>
      </c>
      <c r="L172">
        <f>IF($A172="","", SUMIFS(-Mov_Qty, Mov_Item, $A172, Mov_Type, "Consumption", Mov_Date, "&gt;="&amp;$V$2, Mov_Date, "&lt;="&amp;$W$2))</f>
        <v>0</v>
      </c>
      <c r="M172">
        <f>IF($A172="","", SUMIFS(-Mov_Qty, Mov_Item, $A172, Mov_Type, "Consumption", Mov_Date, "&gt;="&amp;$X$2, Mov_Date, "&lt;="&amp;$Y$2))</f>
        <v>0</v>
      </c>
      <c r="N172">
        <f>IF($A172="","", SUMIFS(-Mov_Qty, Mov_Item, $A172, Mov_Type, "Consumption", Mov_Date, "&gt;="&amp;$Z$2, Mov_Date, "&lt;="&amp;$AA$2))</f>
        <v>0</v>
      </c>
      <c r="O172">
        <f>IFERROR(AVERAGE(L172:N172),"")</f>
        <v>0</v>
      </c>
      <c r="P172">
        <f>IF(O172&gt;=Cfg_HiMove, "Yes", "")</f>
        <v>0</v>
      </c>
      <c r="Q172">
        <f>IF($A172="","", $I172 + IFERROR(O172/30*$H172,0))</f>
        <v>0</v>
      </c>
      <c r="R172">
        <f>IF($A172="","", IF(J172&lt;=$F172, "Yes", ""))</f>
        <v>0</v>
      </c>
      <c r="S172">
        <f>IF(R172="Yes", CEILING(MAX($G172, Q172-J172), $G172), 0)</f>
        <v>0</v>
      </c>
      <c r="T172">
        <f>IFERROR(J172/(O172/30),"")</f>
        <v>0</v>
      </c>
    </row>
    <row r="173" spans="10:20">
      <c r="J173">
        <f>IF($A173="","", SUMIFS(Mov_Qty, Mov_Item, $A173))</f>
        <v>0</v>
      </c>
      <c r="K173">
        <f>IF($A173="","", J173 * $E173)</f>
        <v>0</v>
      </c>
      <c r="L173">
        <f>IF($A173="","", SUMIFS(-Mov_Qty, Mov_Item, $A173, Mov_Type, "Consumption", Mov_Date, "&gt;="&amp;$V$2, Mov_Date, "&lt;="&amp;$W$2))</f>
        <v>0</v>
      </c>
      <c r="M173">
        <f>IF($A173="","", SUMIFS(-Mov_Qty, Mov_Item, $A173, Mov_Type, "Consumption", Mov_Date, "&gt;="&amp;$X$2, Mov_Date, "&lt;="&amp;$Y$2))</f>
        <v>0</v>
      </c>
      <c r="N173">
        <f>IF($A173="","", SUMIFS(-Mov_Qty, Mov_Item, $A173, Mov_Type, "Consumption", Mov_Date, "&gt;="&amp;$Z$2, Mov_Date, "&lt;="&amp;$AA$2))</f>
        <v>0</v>
      </c>
      <c r="O173">
        <f>IFERROR(AVERAGE(L173:N173),"")</f>
        <v>0</v>
      </c>
      <c r="P173">
        <f>IF(O173&gt;=Cfg_HiMove, "Yes", "")</f>
        <v>0</v>
      </c>
      <c r="Q173">
        <f>IF($A173="","", $I173 + IFERROR(O173/30*$H173,0))</f>
        <v>0</v>
      </c>
      <c r="R173">
        <f>IF($A173="","", IF(J173&lt;=$F173, "Yes", ""))</f>
        <v>0</v>
      </c>
      <c r="S173">
        <f>IF(R173="Yes", CEILING(MAX($G173, Q173-J173), $G173), 0)</f>
        <v>0</v>
      </c>
      <c r="T173">
        <f>IFERROR(J173/(O173/30),"")</f>
        <v>0</v>
      </c>
    </row>
    <row r="174" spans="10:20">
      <c r="J174">
        <f>IF($A174="","", SUMIFS(Mov_Qty, Mov_Item, $A174))</f>
        <v>0</v>
      </c>
      <c r="K174">
        <f>IF($A174="","", J174 * $E174)</f>
        <v>0</v>
      </c>
      <c r="L174">
        <f>IF($A174="","", SUMIFS(-Mov_Qty, Mov_Item, $A174, Mov_Type, "Consumption", Mov_Date, "&gt;="&amp;$V$2, Mov_Date, "&lt;="&amp;$W$2))</f>
        <v>0</v>
      </c>
      <c r="M174">
        <f>IF($A174="","", SUMIFS(-Mov_Qty, Mov_Item, $A174, Mov_Type, "Consumption", Mov_Date, "&gt;="&amp;$X$2, Mov_Date, "&lt;="&amp;$Y$2))</f>
        <v>0</v>
      </c>
      <c r="N174">
        <f>IF($A174="","", SUMIFS(-Mov_Qty, Mov_Item, $A174, Mov_Type, "Consumption", Mov_Date, "&gt;="&amp;$Z$2, Mov_Date, "&lt;="&amp;$AA$2))</f>
        <v>0</v>
      </c>
      <c r="O174">
        <f>IFERROR(AVERAGE(L174:N174),"")</f>
        <v>0</v>
      </c>
      <c r="P174">
        <f>IF(O174&gt;=Cfg_HiMove, "Yes", "")</f>
        <v>0</v>
      </c>
      <c r="Q174">
        <f>IF($A174="","", $I174 + IFERROR(O174/30*$H174,0))</f>
        <v>0</v>
      </c>
      <c r="R174">
        <f>IF($A174="","", IF(J174&lt;=$F174, "Yes", ""))</f>
        <v>0</v>
      </c>
      <c r="S174">
        <f>IF(R174="Yes", CEILING(MAX($G174, Q174-J174), $G174), 0)</f>
        <v>0</v>
      </c>
      <c r="T174">
        <f>IFERROR(J174/(O174/30),"")</f>
        <v>0</v>
      </c>
    </row>
    <row r="175" spans="10:20">
      <c r="J175">
        <f>IF($A175="","", SUMIFS(Mov_Qty, Mov_Item, $A175))</f>
        <v>0</v>
      </c>
      <c r="K175">
        <f>IF($A175="","", J175 * $E175)</f>
        <v>0</v>
      </c>
      <c r="L175">
        <f>IF($A175="","", SUMIFS(-Mov_Qty, Mov_Item, $A175, Mov_Type, "Consumption", Mov_Date, "&gt;="&amp;$V$2, Mov_Date, "&lt;="&amp;$W$2))</f>
        <v>0</v>
      </c>
      <c r="M175">
        <f>IF($A175="","", SUMIFS(-Mov_Qty, Mov_Item, $A175, Mov_Type, "Consumption", Mov_Date, "&gt;="&amp;$X$2, Mov_Date, "&lt;="&amp;$Y$2))</f>
        <v>0</v>
      </c>
      <c r="N175">
        <f>IF($A175="","", SUMIFS(-Mov_Qty, Mov_Item, $A175, Mov_Type, "Consumption", Mov_Date, "&gt;="&amp;$Z$2, Mov_Date, "&lt;="&amp;$AA$2))</f>
        <v>0</v>
      </c>
      <c r="O175">
        <f>IFERROR(AVERAGE(L175:N175),"")</f>
        <v>0</v>
      </c>
      <c r="P175">
        <f>IF(O175&gt;=Cfg_HiMove, "Yes", "")</f>
        <v>0</v>
      </c>
      <c r="Q175">
        <f>IF($A175="","", $I175 + IFERROR(O175/30*$H175,0))</f>
        <v>0</v>
      </c>
      <c r="R175">
        <f>IF($A175="","", IF(J175&lt;=$F175, "Yes", ""))</f>
        <v>0</v>
      </c>
      <c r="S175">
        <f>IF(R175="Yes", CEILING(MAX($G175, Q175-J175), $G175), 0)</f>
        <v>0</v>
      </c>
      <c r="T175">
        <f>IFERROR(J175/(O175/30),"")</f>
        <v>0</v>
      </c>
    </row>
    <row r="176" spans="10:20">
      <c r="J176">
        <f>IF($A176="","", SUMIFS(Mov_Qty, Mov_Item, $A176))</f>
        <v>0</v>
      </c>
      <c r="K176">
        <f>IF($A176="","", J176 * $E176)</f>
        <v>0</v>
      </c>
      <c r="L176">
        <f>IF($A176="","", SUMIFS(-Mov_Qty, Mov_Item, $A176, Mov_Type, "Consumption", Mov_Date, "&gt;="&amp;$V$2, Mov_Date, "&lt;="&amp;$W$2))</f>
        <v>0</v>
      </c>
      <c r="M176">
        <f>IF($A176="","", SUMIFS(-Mov_Qty, Mov_Item, $A176, Mov_Type, "Consumption", Mov_Date, "&gt;="&amp;$X$2, Mov_Date, "&lt;="&amp;$Y$2))</f>
        <v>0</v>
      </c>
      <c r="N176">
        <f>IF($A176="","", SUMIFS(-Mov_Qty, Mov_Item, $A176, Mov_Type, "Consumption", Mov_Date, "&gt;="&amp;$Z$2, Mov_Date, "&lt;="&amp;$AA$2))</f>
        <v>0</v>
      </c>
      <c r="O176">
        <f>IFERROR(AVERAGE(L176:N176),"")</f>
        <v>0</v>
      </c>
      <c r="P176">
        <f>IF(O176&gt;=Cfg_HiMove, "Yes", "")</f>
        <v>0</v>
      </c>
      <c r="Q176">
        <f>IF($A176="","", $I176 + IFERROR(O176/30*$H176,0))</f>
        <v>0</v>
      </c>
      <c r="R176">
        <f>IF($A176="","", IF(J176&lt;=$F176, "Yes", ""))</f>
        <v>0</v>
      </c>
      <c r="S176">
        <f>IF(R176="Yes", CEILING(MAX($G176, Q176-J176), $G176), 0)</f>
        <v>0</v>
      </c>
      <c r="T176">
        <f>IFERROR(J176/(O176/30),"")</f>
        <v>0</v>
      </c>
    </row>
    <row r="177" spans="10:20">
      <c r="J177">
        <f>IF($A177="","", SUMIFS(Mov_Qty, Mov_Item, $A177))</f>
        <v>0</v>
      </c>
      <c r="K177">
        <f>IF($A177="","", J177 * $E177)</f>
        <v>0</v>
      </c>
      <c r="L177">
        <f>IF($A177="","", SUMIFS(-Mov_Qty, Mov_Item, $A177, Mov_Type, "Consumption", Mov_Date, "&gt;="&amp;$V$2, Mov_Date, "&lt;="&amp;$W$2))</f>
        <v>0</v>
      </c>
      <c r="M177">
        <f>IF($A177="","", SUMIFS(-Mov_Qty, Mov_Item, $A177, Mov_Type, "Consumption", Mov_Date, "&gt;="&amp;$X$2, Mov_Date, "&lt;="&amp;$Y$2))</f>
        <v>0</v>
      </c>
      <c r="N177">
        <f>IF($A177="","", SUMIFS(-Mov_Qty, Mov_Item, $A177, Mov_Type, "Consumption", Mov_Date, "&gt;="&amp;$Z$2, Mov_Date, "&lt;="&amp;$AA$2))</f>
        <v>0</v>
      </c>
      <c r="O177">
        <f>IFERROR(AVERAGE(L177:N177),"")</f>
        <v>0</v>
      </c>
      <c r="P177">
        <f>IF(O177&gt;=Cfg_HiMove, "Yes", "")</f>
        <v>0</v>
      </c>
      <c r="Q177">
        <f>IF($A177="","", $I177 + IFERROR(O177/30*$H177,0))</f>
        <v>0</v>
      </c>
      <c r="R177">
        <f>IF($A177="","", IF(J177&lt;=$F177, "Yes", ""))</f>
        <v>0</v>
      </c>
      <c r="S177">
        <f>IF(R177="Yes", CEILING(MAX($G177, Q177-J177), $G177), 0)</f>
        <v>0</v>
      </c>
      <c r="T177">
        <f>IFERROR(J177/(O177/30),"")</f>
        <v>0</v>
      </c>
    </row>
    <row r="178" spans="10:20">
      <c r="J178">
        <f>IF($A178="","", SUMIFS(Mov_Qty, Mov_Item, $A178))</f>
        <v>0</v>
      </c>
      <c r="K178">
        <f>IF($A178="","", J178 * $E178)</f>
        <v>0</v>
      </c>
      <c r="L178">
        <f>IF($A178="","", SUMIFS(-Mov_Qty, Mov_Item, $A178, Mov_Type, "Consumption", Mov_Date, "&gt;="&amp;$V$2, Mov_Date, "&lt;="&amp;$W$2))</f>
        <v>0</v>
      </c>
      <c r="M178">
        <f>IF($A178="","", SUMIFS(-Mov_Qty, Mov_Item, $A178, Mov_Type, "Consumption", Mov_Date, "&gt;="&amp;$X$2, Mov_Date, "&lt;="&amp;$Y$2))</f>
        <v>0</v>
      </c>
      <c r="N178">
        <f>IF($A178="","", SUMIFS(-Mov_Qty, Mov_Item, $A178, Mov_Type, "Consumption", Mov_Date, "&gt;="&amp;$Z$2, Mov_Date, "&lt;="&amp;$AA$2))</f>
        <v>0</v>
      </c>
      <c r="O178">
        <f>IFERROR(AVERAGE(L178:N178),"")</f>
        <v>0</v>
      </c>
      <c r="P178">
        <f>IF(O178&gt;=Cfg_HiMove, "Yes", "")</f>
        <v>0</v>
      </c>
      <c r="Q178">
        <f>IF($A178="","", $I178 + IFERROR(O178/30*$H178,0))</f>
        <v>0</v>
      </c>
      <c r="R178">
        <f>IF($A178="","", IF(J178&lt;=$F178, "Yes", ""))</f>
        <v>0</v>
      </c>
      <c r="S178">
        <f>IF(R178="Yes", CEILING(MAX($G178, Q178-J178), $G178), 0)</f>
        <v>0</v>
      </c>
      <c r="T178">
        <f>IFERROR(J178/(O178/30),"")</f>
        <v>0</v>
      </c>
    </row>
    <row r="179" spans="10:20">
      <c r="J179">
        <f>IF($A179="","", SUMIFS(Mov_Qty, Mov_Item, $A179))</f>
        <v>0</v>
      </c>
      <c r="K179">
        <f>IF($A179="","", J179 * $E179)</f>
        <v>0</v>
      </c>
      <c r="L179">
        <f>IF($A179="","", SUMIFS(-Mov_Qty, Mov_Item, $A179, Mov_Type, "Consumption", Mov_Date, "&gt;="&amp;$V$2, Mov_Date, "&lt;="&amp;$W$2))</f>
        <v>0</v>
      </c>
      <c r="M179">
        <f>IF($A179="","", SUMIFS(-Mov_Qty, Mov_Item, $A179, Mov_Type, "Consumption", Mov_Date, "&gt;="&amp;$X$2, Mov_Date, "&lt;="&amp;$Y$2))</f>
        <v>0</v>
      </c>
      <c r="N179">
        <f>IF($A179="","", SUMIFS(-Mov_Qty, Mov_Item, $A179, Mov_Type, "Consumption", Mov_Date, "&gt;="&amp;$Z$2, Mov_Date, "&lt;="&amp;$AA$2))</f>
        <v>0</v>
      </c>
      <c r="O179">
        <f>IFERROR(AVERAGE(L179:N179),"")</f>
        <v>0</v>
      </c>
      <c r="P179">
        <f>IF(O179&gt;=Cfg_HiMove, "Yes", "")</f>
        <v>0</v>
      </c>
      <c r="Q179">
        <f>IF($A179="","", $I179 + IFERROR(O179/30*$H179,0))</f>
        <v>0</v>
      </c>
      <c r="R179">
        <f>IF($A179="","", IF(J179&lt;=$F179, "Yes", ""))</f>
        <v>0</v>
      </c>
      <c r="S179">
        <f>IF(R179="Yes", CEILING(MAX($G179, Q179-J179), $G179), 0)</f>
        <v>0</v>
      </c>
      <c r="T179">
        <f>IFERROR(J179/(O179/30),"")</f>
        <v>0</v>
      </c>
    </row>
    <row r="180" spans="10:20">
      <c r="J180">
        <f>IF($A180="","", SUMIFS(Mov_Qty, Mov_Item, $A180))</f>
        <v>0</v>
      </c>
      <c r="K180">
        <f>IF($A180="","", J180 * $E180)</f>
        <v>0</v>
      </c>
      <c r="L180">
        <f>IF($A180="","", SUMIFS(-Mov_Qty, Mov_Item, $A180, Mov_Type, "Consumption", Mov_Date, "&gt;="&amp;$V$2, Mov_Date, "&lt;="&amp;$W$2))</f>
        <v>0</v>
      </c>
      <c r="M180">
        <f>IF($A180="","", SUMIFS(-Mov_Qty, Mov_Item, $A180, Mov_Type, "Consumption", Mov_Date, "&gt;="&amp;$X$2, Mov_Date, "&lt;="&amp;$Y$2))</f>
        <v>0</v>
      </c>
      <c r="N180">
        <f>IF($A180="","", SUMIFS(-Mov_Qty, Mov_Item, $A180, Mov_Type, "Consumption", Mov_Date, "&gt;="&amp;$Z$2, Mov_Date, "&lt;="&amp;$AA$2))</f>
        <v>0</v>
      </c>
      <c r="O180">
        <f>IFERROR(AVERAGE(L180:N180),"")</f>
        <v>0</v>
      </c>
      <c r="P180">
        <f>IF(O180&gt;=Cfg_HiMove, "Yes", "")</f>
        <v>0</v>
      </c>
      <c r="Q180">
        <f>IF($A180="","", $I180 + IFERROR(O180/30*$H180,0))</f>
        <v>0</v>
      </c>
      <c r="R180">
        <f>IF($A180="","", IF(J180&lt;=$F180, "Yes", ""))</f>
        <v>0</v>
      </c>
      <c r="S180">
        <f>IF(R180="Yes", CEILING(MAX($G180, Q180-J180), $G180), 0)</f>
        <v>0</v>
      </c>
      <c r="T180">
        <f>IFERROR(J180/(O180/30),"")</f>
        <v>0</v>
      </c>
    </row>
    <row r="181" spans="10:20">
      <c r="J181">
        <f>IF($A181="","", SUMIFS(Mov_Qty, Mov_Item, $A181))</f>
        <v>0</v>
      </c>
      <c r="K181">
        <f>IF($A181="","", J181 * $E181)</f>
        <v>0</v>
      </c>
      <c r="L181">
        <f>IF($A181="","", SUMIFS(-Mov_Qty, Mov_Item, $A181, Mov_Type, "Consumption", Mov_Date, "&gt;="&amp;$V$2, Mov_Date, "&lt;="&amp;$W$2))</f>
        <v>0</v>
      </c>
      <c r="M181">
        <f>IF($A181="","", SUMIFS(-Mov_Qty, Mov_Item, $A181, Mov_Type, "Consumption", Mov_Date, "&gt;="&amp;$X$2, Mov_Date, "&lt;="&amp;$Y$2))</f>
        <v>0</v>
      </c>
      <c r="N181">
        <f>IF($A181="","", SUMIFS(-Mov_Qty, Mov_Item, $A181, Mov_Type, "Consumption", Mov_Date, "&gt;="&amp;$Z$2, Mov_Date, "&lt;="&amp;$AA$2))</f>
        <v>0</v>
      </c>
      <c r="O181">
        <f>IFERROR(AVERAGE(L181:N181),"")</f>
        <v>0</v>
      </c>
      <c r="P181">
        <f>IF(O181&gt;=Cfg_HiMove, "Yes", "")</f>
        <v>0</v>
      </c>
      <c r="Q181">
        <f>IF($A181="","", $I181 + IFERROR(O181/30*$H181,0))</f>
        <v>0</v>
      </c>
      <c r="R181">
        <f>IF($A181="","", IF(J181&lt;=$F181, "Yes", ""))</f>
        <v>0</v>
      </c>
      <c r="S181">
        <f>IF(R181="Yes", CEILING(MAX($G181, Q181-J181), $G181), 0)</f>
        <v>0</v>
      </c>
      <c r="T181">
        <f>IFERROR(J181/(O181/30),"")</f>
        <v>0</v>
      </c>
    </row>
    <row r="182" spans="10:20">
      <c r="J182">
        <f>IF($A182="","", SUMIFS(Mov_Qty, Mov_Item, $A182))</f>
        <v>0</v>
      </c>
      <c r="K182">
        <f>IF($A182="","", J182 * $E182)</f>
        <v>0</v>
      </c>
      <c r="L182">
        <f>IF($A182="","", SUMIFS(-Mov_Qty, Mov_Item, $A182, Mov_Type, "Consumption", Mov_Date, "&gt;="&amp;$V$2, Mov_Date, "&lt;="&amp;$W$2))</f>
        <v>0</v>
      </c>
      <c r="M182">
        <f>IF($A182="","", SUMIFS(-Mov_Qty, Mov_Item, $A182, Mov_Type, "Consumption", Mov_Date, "&gt;="&amp;$X$2, Mov_Date, "&lt;="&amp;$Y$2))</f>
        <v>0</v>
      </c>
      <c r="N182">
        <f>IF($A182="","", SUMIFS(-Mov_Qty, Mov_Item, $A182, Mov_Type, "Consumption", Mov_Date, "&gt;="&amp;$Z$2, Mov_Date, "&lt;="&amp;$AA$2))</f>
        <v>0</v>
      </c>
      <c r="O182">
        <f>IFERROR(AVERAGE(L182:N182),"")</f>
        <v>0</v>
      </c>
      <c r="P182">
        <f>IF(O182&gt;=Cfg_HiMove, "Yes", "")</f>
        <v>0</v>
      </c>
      <c r="Q182">
        <f>IF($A182="","", $I182 + IFERROR(O182/30*$H182,0))</f>
        <v>0</v>
      </c>
      <c r="R182">
        <f>IF($A182="","", IF(J182&lt;=$F182, "Yes", ""))</f>
        <v>0</v>
      </c>
      <c r="S182">
        <f>IF(R182="Yes", CEILING(MAX($G182, Q182-J182), $G182), 0)</f>
        <v>0</v>
      </c>
      <c r="T182">
        <f>IFERROR(J182/(O182/30),"")</f>
        <v>0</v>
      </c>
    </row>
    <row r="183" spans="10:20">
      <c r="J183">
        <f>IF($A183="","", SUMIFS(Mov_Qty, Mov_Item, $A183))</f>
        <v>0</v>
      </c>
      <c r="K183">
        <f>IF($A183="","", J183 * $E183)</f>
        <v>0</v>
      </c>
      <c r="L183">
        <f>IF($A183="","", SUMIFS(-Mov_Qty, Mov_Item, $A183, Mov_Type, "Consumption", Mov_Date, "&gt;="&amp;$V$2, Mov_Date, "&lt;="&amp;$W$2))</f>
        <v>0</v>
      </c>
      <c r="M183">
        <f>IF($A183="","", SUMIFS(-Mov_Qty, Mov_Item, $A183, Mov_Type, "Consumption", Mov_Date, "&gt;="&amp;$X$2, Mov_Date, "&lt;="&amp;$Y$2))</f>
        <v>0</v>
      </c>
      <c r="N183">
        <f>IF($A183="","", SUMIFS(-Mov_Qty, Mov_Item, $A183, Mov_Type, "Consumption", Mov_Date, "&gt;="&amp;$Z$2, Mov_Date, "&lt;="&amp;$AA$2))</f>
        <v>0</v>
      </c>
      <c r="O183">
        <f>IFERROR(AVERAGE(L183:N183),"")</f>
        <v>0</v>
      </c>
      <c r="P183">
        <f>IF(O183&gt;=Cfg_HiMove, "Yes", "")</f>
        <v>0</v>
      </c>
      <c r="Q183">
        <f>IF($A183="","", $I183 + IFERROR(O183/30*$H183,0))</f>
        <v>0</v>
      </c>
      <c r="R183">
        <f>IF($A183="","", IF(J183&lt;=$F183, "Yes", ""))</f>
        <v>0</v>
      </c>
      <c r="S183">
        <f>IF(R183="Yes", CEILING(MAX($G183, Q183-J183), $G183), 0)</f>
        <v>0</v>
      </c>
      <c r="T183">
        <f>IFERROR(J183/(O183/30),"")</f>
        <v>0</v>
      </c>
    </row>
    <row r="184" spans="10:20">
      <c r="J184">
        <f>IF($A184="","", SUMIFS(Mov_Qty, Mov_Item, $A184))</f>
        <v>0</v>
      </c>
      <c r="K184">
        <f>IF($A184="","", J184 * $E184)</f>
        <v>0</v>
      </c>
      <c r="L184">
        <f>IF($A184="","", SUMIFS(-Mov_Qty, Mov_Item, $A184, Mov_Type, "Consumption", Mov_Date, "&gt;="&amp;$V$2, Mov_Date, "&lt;="&amp;$W$2))</f>
        <v>0</v>
      </c>
      <c r="M184">
        <f>IF($A184="","", SUMIFS(-Mov_Qty, Mov_Item, $A184, Mov_Type, "Consumption", Mov_Date, "&gt;="&amp;$X$2, Mov_Date, "&lt;="&amp;$Y$2))</f>
        <v>0</v>
      </c>
      <c r="N184">
        <f>IF($A184="","", SUMIFS(-Mov_Qty, Mov_Item, $A184, Mov_Type, "Consumption", Mov_Date, "&gt;="&amp;$Z$2, Mov_Date, "&lt;="&amp;$AA$2))</f>
        <v>0</v>
      </c>
      <c r="O184">
        <f>IFERROR(AVERAGE(L184:N184),"")</f>
        <v>0</v>
      </c>
      <c r="P184">
        <f>IF(O184&gt;=Cfg_HiMove, "Yes", "")</f>
        <v>0</v>
      </c>
      <c r="Q184">
        <f>IF($A184="","", $I184 + IFERROR(O184/30*$H184,0))</f>
        <v>0</v>
      </c>
      <c r="R184">
        <f>IF($A184="","", IF(J184&lt;=$F184, "Yes", ""))</f>
        <v>0</v>
      </c>
      <c r="S184">
        <f>IF(R184="Yes", CEILING(MAX($G184, Q184-J184), $G184), 0)</f>
        <v>0</v>
      </c>
      <c r="T184">
        <f>IFERROR(J184/(O184/30),"")</f>
        <v>0</v>
      </c>
    </row>
    <row r="185" spans="10:20">
      <c r="J185">
        <f>IF($A185="","", SUMIFS(Mov_Qty, Mov_Item, $A185))</f>
        <v>0</v>
      </c>
      <c r="K185">
        <f>IF($A185="","", J185 * $E185)</f>
        <v>0</v>
      </c>
      <c r="L185">
        <f>IF($A185="","", SUMIFS(-Mov_Qty, Mov_Item, $A185, Mov_Type, "Consumption", Mov_Date, "&gt;="&amp;$V$2, Mov_Date, "&lt;="&amp;$W$2))</f>
        <v>0</v>
      </c>
      <c r="M185">
        <f>IF($A185="","", SUMIFS(-Mov_Qty, Mov_Item, $A185, Mov_Type, "Consumption", Mov_Date, "&gt;="&amp;$X$2, Mov_Date, "&lt;="&amp;$Y$2))</f>
        <v>0</v>
      </c>
      <c r="N185">
        <f>IF($A185="","", SUMIFS(-Mov_Qty, Mov_Item, $A185, Mov_Type, "Consumption", Mov_Date, "&gt;="&amp;$Z$2, Mov_Date, "&lt;="&amp;$AA$2))</f>
        <v>0</v>
      </c>
      <c r="O185">
        <f>IFERROR(AVERAGE(L185:N185),"")</f>
        <v>0</v>
      </c>
      <c r="P185">
        <f>IF(O185&gt;=Cfg_HiMove, "Yes", "")</f>
        <v>0</v>
      </c>
      <c r="Q185">
        <f>IF($A185="","", $I185 + IFERROR(O185/30*$H185,0))</f>
        <v>0</v>
      </c>
      <c r="R185">
        <f>IF($A185="","", IF(J185&lt;=$F185, "Yes", ""))</f>
        <v>0</v>
      </c>
      <c r="S185">
        <f>IF(R185="Yes", CEILING(MAX($G185, Q185-J185), $G185), 0)</f>
        <v>0</v>
      </c>
      <c r="T185">
        <f>IFERROR(J185/(O185/30),"")</f>
        <v>0</v>
      </c>
    </row>
    <row r="186" spans="10:20">
      <c r="J186">
        <f>IF($A186="","", SUMIFS(Mov_Qty, Mov_Item, $A186))</f>
        <v>0</v>
      </c>
      <c r="K186">
        <f>IF($A186="","", J186 * $E186)</f>
        <v>0</v>
      </c>
      <c r="L186">
        <f>IF($A186="","", SUMIFS(-Mov_Qty, Mov_Item, $A186, Mov_Type, "Consumption", Mov_Date, "&gt;="&amp;$V$2, Mov_Date, "&lt;="&amp;$W$2))</f>
        <v>0</v>
      </c>
      <c r="M186">
        <f>IF($A186="","", SUMIFS(-Mov_Qty, Mov_Item, $A186, Mov_Type, "Consumption", Mov_Date, "&gt;="&amp;$X$2, Mov_Date, "&lt;="&amp;$Y$2))</f>
        <v>0</v>
      </c>
      <c r="N186">
        <f>IF($A186="","", SUMIFS(-Mov_Qty, Mov_Item, $A186, Mov_Type, "Consumption", Mov_Date, "&gt;="&amp;$Z$2, Mov_Date, "&lt;="&amp;$AA$2))</f>
        <v>0</v>
      </c>
      <c r="O186">
        <f>IFERROR(AVERAGE(L186:N186),"")</f>
        <v>0</v>
      </c>
      <c r="P186">
        <f>IF(O186&gt;=Cfg_HiMove, "Yes", "")</f>
        <v>0</v>
      </c>
      <c r="Q186">
        <f>IF($A186="","", $I186 + IFERROR(O186/30*$H186,0))</f>
        <v>0</v>
      </c>
      <c r="R186">
        <f>IF($A186="","", IF(J186&lt;=$F186, "Yes", ""))</f>
        <v>0</v>
      </c>
      <c r="S186">
        <f>IF(R186="Yes", CEILING(MAX($G186, Q186-J186), $G186), 0)</f>
        <v>0</v>
      </c>
      <c r="T186">
        <f>IFERROR(J186/(O186/30),"")</f>
        <v>0</v>
      </c>
    </row>
    <row r="187" spans="10:20">
      <c r="J187">
        <f>IF($A187="","", SUMIFS(Mov_Qty, Mov_Item, $A187))</f>
        <v>0</v>
      </c>
      <c r="K187">
        <f>IF($A187="","", J187 * $E187)</f>
        <v>0</v>
      </c>
      <c r="L187">
        <f>IF($A187="","", SUMIFS(-Mov_Qty, Mov_Item, $A187, Mov_Type, "Consumption", Mov_Date, "&gt;="&amp;$V$2, Mov_Date, "&lt;="&amp;$W$2))</f>
        <v>0</v>
      </c>
      <c r="M187">
        <f>IF($A187="","", SUMIFS(-Mov_Qty, Mov_Item, $A187, Mov_Type, "Consumption", Mov_Date, "&gt;="&amp;$X$2, Mov_Date, "&lt;="&amp;$Y$2))</f>
        <v>0</v>
      </c>
      <c r="N187">
        <f>IF($A187="","", SUMIFS(-Mov_Qty, Mov_Item, $A187, Mov_Type, "Consumption", Mov_Date, "&gt;="&amp;$Z$2, Mov_Date, "&lt;="&amp;$AA$2))</f>
        <v>0</v>
      </c>
      <c r="O187">
        <f>IFERROR(AVERAGE(L187:N187),"")</f>
        <v>0</v>
      </c>
      <c r="P187">
        <f>IF(O187&gt;=Cfg_HiMove, "Yes", "")</f>
        <v>0</v>
      </c>
      <c r="Q187">
        <f>IF($A187="","", $I187 + IFERROR(O187/30*$H187,0))</f>
        <v>0</v>
      </c>
      <c r="R187">
        <f>IF($A187="","", IF(J187&lt;=$F187, "Yes", ""))</f>
        <v>0</v>
      </c>
      <c r="S187">
        <f>IF(R187="Yes", CEILING(MAX($G187, Q187-J187), $G187), 0)</f>
        <v>0</v>
      </c>
      <c r="T187">
        <f>IFERROR(J187/(O187/30),"")</f>
        <v>0</v>
      </c>
    </row>
    <row r="188" spans="10:20">
      <c r="J188">
        <f>IF($A188="","", SUMIFS(Mov_Qty, Mov_Item, $A188))</f>
        <v>0</v>
      </c>
      <c r="K188">
        <f>IF($A188="","", J188 * $E188)</f>
        <v>0</v>
      </c>
      <c r="L188">
        <f>IF($A188="","", SUMIFS(-Mov_Qty, Mov_Item, $A188, Mov_Type, "Consumption", Mov_Date, "&gt;="&amp;$V$2, Mov_Date, "&lt;="&amp;$W$2))</f>
        <v>0</v>
      </c>
      <c r="M188">
        <f>IF($A188="","", SUMIFS(-Mov_Qty, Mov_Item, $A188, Mov_Type, "Consumption", Mov_Date, "&gt;="&amp;$X$2, Mov_Date, "&lt;="&amp;$Y$2))</f>
        <v>0</v>
      </c>
      <c r="N188">
        <f>IF($A188="","", SUMIFS(-Mov_Qty, Mov_Item, $A188, Mov_Type, "Consumption", Mov_Date, "&gt;="&amp;$Z$2, Mov_Date, "&lt;="&amp;$AA$2))</f>
        <v>0</v>
      </c>
      <c r="O188">
        <f>IFERROR(AVERAGE(L188:N188),"")</f>
        <v>0</v>
      </c>
      <c r="P188">
        <f>IF(O188&gt;=Cfg_HiMove, "Yes", "")</f>
        <v>0</v>
      </c>
      <c r="Q188">
        <f>IF($A188="","", $I188 + IFERROR(O188/30*$H188,0))</f>
        <v>0</v>
      </c>
      <c r="R188">
        <f>IF($A188="","", IF(J188&lt;=$F188, "Yes", ""))</f>
        <v>0</v>
      </c>
      <c r="S188">
        <f>IF(R188="Yes", CEILING(MAX($G188, Q188-J188), $G188), 0)</f>
        <v>0</v>
      </c>
      <c r="T188">
        <f>IFERROR(J188/(O188/30),"")</f>
        <v>0</v>
      </c>
    </row>
    <row r="189" spans="10:20">
      <c r="J189">
        <f>IF($A189="","", SUMIFS(Mov_Qty, Mov_Item, $A189))</f>
        <v>0</v>
      </c>
      <c r="K189">
        <f>IF($A189="","", J189 * $E189)</f>
        <v>0</v>
      </c>
      <c r="L189">
        <f>IF($A189="","", SUMIFS(-Mov_Qty, Mov_Item, $A189, Mov_Type, "Consumption", Mov_Date, "&gt;="&amp;$V$2, Mov_Date, "&lt;="&amp;$W$2))</f>
        <v>0</v>
      </c>
      <c r="M189">
        <f>IF($A189="","", SUMIFS(-Mov_Qty, Mov_Item, $A189, Mov_Type, "Consumption", Mov_Date, "&gt;="&amp;$X$2, Mov_Date, "&lt;="&amp;$Y$2))</f>
        <v>0</v>
      </c>
      <c r="N189">
        <f>IF($A189="","", SUMIFS(-Mov_Qty, Mov_Item, $A189, Mov_Type, "Consumption", Mov_Date, "&gt;="&amp;$Z$2, Mov_Date, "&lt;="&amp;$AA$2))</f>
        <v>0</v>
      </c>
      <c r="O189">
        <f>IFERROR(AVERAGE(L189:N189),"")</f>
        <v>0</v>
      </c>
      <c r="P189">
        <f>IF(O189&gt;=Cfg_HiMove, "Yes", "")</f>
        <v>0</v>
      </c>
      <c r="Q189">
        <f>IF($A189="","", $I189 + IFERROR(O189/30*$H189,0))</f>
        <v>0</v>
      </c>
      <c r="R189">
        <f>IF($A189="","", IF(J189&lt;=$F189, "Yes", ""))</f>
        <v>0</v>
      </c>
      <c r="S189">
        <f>IF(R189="Yes", CEILING(MAX($G189, Q189-J189), $G189), 0)</f>
        <v>0</v>
      </c>
      <c r="T189">
        <f>IFERROR(J189/(O189/30),"")</f>
        <v>0</v>
      </c>
    </row>
    <row r="190" spans="10:20">
      <c r="J190">
        <f>IF($A190="","", SUMIFS(Mov_Qty, Mov_Item, $A190))</f>
        <v>0</v>
      </c>
      <c r="K190">
        <f>IF($A190="","", J190 * $E190)</f>
        <v>0</v>
      </c>
      <c r="L190">
        <f>IF($A190="","", SUMIFS(-Mov_Qty, Mov_Item, $A190, Mov_Type, "Consumption", Mov_Date, "&gt;="&amp;$V$2, Mov_Date, "&lt;="&amp;$W$2))</f>
        <v>0</v>
      </c>
      <c r="M190">
        <f>IF($A190="","", SUMIFS(-Mov_Qty, Mov_Item, $A190, Mov_Type, "Consumption", Mov_Date, "&gt;="&amp;$X$2, Mov_Date, "&lt;="&amp;$Y$2))</f>
        <v>0</v>
      </c>
      <c r="N190">
        <f>IF($A190="","", SUMIFS(-Mov_Qty, Mov_Item, $A190, Mov_Type, "Consumption", Mov_Date, "&gt;="&amp;$Z$2, Mov_Date, "&lt;="&amp;$AA$2))</f>
        <v>0</v>
      </c>
      <c r="O190">
        <f>IFERROR(AVERAGE(L190:N190),"")</f>
        <v>0</v>
      </c>
      <c r="P190">
        <f>IF(O190&gt;=Cfg_HiMove, "Yes", "")</f>
        <v>0</v>
      </c>
      <c r="Q190">
        <f>IF($A190="","", $I190 + IFERROR(O190/30*$H190,0))</f>
        <v>0</v>
      </c>
      <c r="R190">
        <f>IF($A190="","", IF(J190&lt;=$F190, "Yes", ""))</f>
        <v>0</v>
      </c>
      <c r="S190">
        <f>IF(R190="Yes", CEILING(MAX($G190, Q190-J190), $G190), 0)</f>
        <v>0</v>
      </c>
      <c r="T190">
        <f>IFERROR(J190/(O190/30),"")</f>
        <v>0</v>
      </c>
    </row>
    <row r="191" spans="10:20">
      <c r="J191">
        <f>IF($A191="","", SUMIFS(Mov_Qty, Mov_Item, $A191))</f>
        <v>0</v>
      </c>
      <c r="K191">
        <f>IF($A191="","", J191 * $E191)</f>
        <v>0</v>
      </c>
      <c r="L191">
        <f>IF($A191="","", SUMIFS(-Mov_Qty, Mov_Item, $A191, Mov_Type, "Consumption", Mov_Date, "&gt;="&amp;$V$2, Mov_Date, "&lt;="&amp;$W$2))</f>
        <v>0</v>
      </c>
      <c r="M191">
        <f>IF($A191="","", SUMIFS(-Mov_Qty, Mov_Item, $A191, Mov_Type, "Consumption", Mov_Date, "&gt;="&amp;$X$2, Mov_Date, "&lt;="&amp;$Y$2))</f>
        <v>0</v>
      </c>
      <c r="N191">
        <f>IF($A191="","", SUMIFS(-Mov_Qty, Mov_Item, $A191, Mov_Type, "Consumption", Mov_Date, "&gt;="&amp;$Z$2, Mov_Date, "&lt;="&amp;$AA$2))</f>
        <v>0</v>
      </c>
      <c r="O191">
        <f>IFERROR(AVERAGE(L191:N191),"")</f>
        <v>0</v>
      </c>
      <c r="P191">
        <f>IF(O191&gt;=Cfg_HiMove, "Yes", "")</f>
        <v>0</v>
      </c>
      <c r="Q191">
        <f>IF($A191="","", $I191 + IFERROR(O191/30*$H191,0))</f>
        <v>0</v>
      </c>
      <c r="R191">
        <f>IF($A191="","", IF(J191&lt;=$F191, "Yes", ""))</f>
        <v>0</v>
      </c>
      <c r="S191">
        <f>IF(R191="Yes", CEILING(MAX($G191, Q191-J191), $G191), 0)</f>
        <v>0</v>
      </c>
      <c r="T191">
        <f>IFERROR(J191/(O191/30),"")</f>
        <v>0</v>
      </c>
    </row>
    <row r="192" spans="10:20">
      <c r="J192">
        <f>IF($A192="","", SUMIFS(Mov_Qty, Mov_Item, $A192))</f>
        <v>0</v>
      </c>
      <c r="K192">
        <f>IF($A192="","", J192 * $E192)</f>
        <v>0</v>
      </c>
      <c r="L192">
        <f>IF($A192="","", SUMIFS(-Mov_Qty, Mov_Item, $A192, Mov_Type, "Consumption", Mov_Date, "&gt;="&amp;$V$2, Mov_Date, "&lt;="&amp;$W$2))</f>
        <v>0</v>
      </c>
      <c r="M192">
        <f>IF($A192="","", SUMIFS(-Mov_Qty, Mov_Item, $A192, Mov_Type, "Consumption", Mov_Date, "&gt;="&amp;$X$2, Mov_Date, "&lt;="&amp;$Y$2))</f>
        <v>0</v>
      </c>
      <c r="N192">
        <f>IF($A192="","", SUMIFS(-Mov_Qty, Mov_Item, $A192, Mov_Type, "Consumption", Mov_Date, "&gt;="&amp;$Z$2, Mov_Date, "&lt;="&amp;$AA$2))</f>
        <v>0</v>
      </c>
      <c r="O192">
        <f>IFERROR(AVERAGE(L192:N192),"")</f>
        <v>0</v>
      </c>
      <c r="P192">
        <f>IF(O192&gt;=Cfg_HiMove, "Yes", "")</f>
        <v>0</v>
      </c>
      <c r="Q192">
        <f>IF($A192="","", $I192 + IFERROR(O192/30*$H192,0))</f>
        <v>0</v>
      </c>
      <c r="R192">
        <f>IF($A192="","", IF(J192&lt;=$F192, "Yes", ""))</f>
        <v>0</v>
      </c>
      <c r="S192">
        <f>IF(R192="Yes", CEILING(MAX($G192, Q192-J192), $G192), 0)</f>
        <v>0</v>
      </c>
      <c r="T192">
        <f>IFERROR(J192/(O192/30),"")</f>
        <v>0</v>
      </c>
    </row>
    <row r="193" spans="10:20">
      <c r="J193">
        <f>IF($A193="","", SUMIFS(Mov_Qty, Mov_Item, $A193))</f>
        <v>0</v>
      </c>
      <c r="K193">
        <f>IF($A193="","", J193 * $E193)</f>
        <v>0</v>
      </c>
      <c r="L193">
        <f>IF($A193="","", SUMIFS(-Mov_Qty, Mov_Item, $A193, Mov_Type, "Consumption", Mov_Date, "&gt;="&amp;$V$2, Mov_Date, "&lt;="&amp;$W$2))</f>
        <v>0</v>
      </c>
      <c r="M193">
        <f>IF($A193="","", SUMIFS(-Mov_Qty, Mov_Item, $A193, Mov_Type, "Consumption", Mov_Date, "&gt;="&amp;$X$2, Mov_Date, "&lt;="&amp;$Y$2))</f>
        <v>0</v>
      </c>
      <c r="N193">
        <f>IF($A193="","", SUMIFS(-Mov_Qty, Mov_Item, $A193, Mov_Type, "Consumption", Mov_Date, "&gt;="&amp;$Z$2, Mov_Date, "&lt;="&amp;$AA$2))</f>
        <v>0</v>
      </c>
      <c r="O193">
        <f>IFERROR(AVERAGE(L193:N193),"")</f>
        <v>0</v>
      </c>
      <c r="P193">
        <f>IF(O193&gt;=Cfg_HiMove, "Yes", "")</f>
        <v>0</v>
      </c>
      <c r="Q193">
        <f>IF($A193="","", $I193 + IFERROR(O193/30*$H193,0))</f>
        <v>0</v>
      </c>
      <c r="R193">
        <f>IF($A193="","", IF(J193&lt;=$F193, "Yes", ""))</f>
        <v>0</v>
      </c>
      <c r="S193">
        <f>IF(R193="Yes", CEILING(MAX($G193, Q193-J193), $G193), 0)</f>
        <v>0</v>
      </c>
      <c r="T193">
        <f>IFERROR(J193/(O193/30),"")</f>
        <v>0</v>
      </c>
    </row>
    <row r="194" spans="10:20">
      <c r="J194">
        <f>IF($A194="","", SUMIFS(Mov_Qty, Mov_Item, $A194))</f>
        <v>0</v>
      </c>
      <c r="K194">
        <f>IF($A194="","", J194 * $E194)</f>
        <v>0</v>
      </c>
      <c r="L194">
        <f>IF($A194="","", SUMIFS(-Mov_Qty, Mov_Item, $A194, Mov_Type, "Consumption", Mov_Date, "&gt;="&amp;$V$2, Mov_Date, "&lt;="&amp;$W$2))</f>
        <v>0</v>
      </c>
      <c r="M194">
        <f>IF($A194="","", SUMIFS(-Mov_Qty, Mov_Item, $A194, Mov_Type, "Consumption", Mov_Date, "&gt;="&amp;$X$2, Mov_Date, "&lt;="&amp;$Y$2))</f>
        <v>0</v>
      </c>
      <c r="N194">
        <f>IF($A194="","", SUMIFS(-Mov_Qty, Mov_Item, $A194, Mov_Type, "Consumption", Mov_Date, "&gt;="&amp;$Z$2, Mov_Date, "&lt;="&amp;$AA$2))</f>
        <v>0</v>
      </c>
      <c r="O194">
        <f>IFERROR(AVERAGE(L194:N194),"")</f>
        <v>0</v>
      </c>
      <c r="P194">
        <f>IF(O194&gt;=Cfg_HiMove, "Yes", "")</f>
        <v>0</v>
      </c>
      <c r="Q194">
        <f>IF($A194="","", $I194 + IFERROR(O194/30*$H194,0))</f>
        <v>0</v>
      </c>
      <c r="R194">
        <f>IF($A194="","", IF(J194&lt;=$F194, "Yes", ""))</f>
        <v>0</v>
      </c>
      <c r="S194">
        <f>IF(R194="Yes", CEILING(MAX($G194, Q194-J194), $G194), 0)</f>
        <v>0</v>
      </c>
      <c r="T194">
        <f>IFERROR(J194/(O194/30),"")</f>
        <v>0</v>
      </c>
    </row>
    <row r="195" spans="10:20">
      <c r="J195">
        <f>IF($A195="","", SUMIFS(Mov_Qty, Mov_Item, $A195))</f>
        <v>0</v>
      </c>
      <c r="K195">
        <f>IF($A195="","", J195 * $E195)</f>
        <v>0</v>
      </c>
      <c r="L195">
        <f>IF($A195="","", SUMIFS(-Mov_Qty, Mov_Item, $A195, Mov_Type, "Consumption", Mov_Date, "&gt;="&amp;$V$2, Mov_Date, "&lt;="&amp;$W$2))</f>
        <v>0</v>
      </c>
      <c r="M195">
        <f>IF($A195="","", SUMIFS(-Mov_Qty, Mov_Item, $A195, Mov_Type, "Consumption", Mov_Date, "&gt;="&amp;$X$2, Mov_Date, "&lt;="&amp;$Y$2))</f>
        <v>0</v>
      </c>
      <c r="N195">
        <f>IF($A195="","", SUMIFS(-Mov_Qty, Mov_Item, $A195, Mov_Type, "Consumption", Mov_Date, "&gt;="&amp;$Z$2, Mov_Date, "&lt;="&amp;$AA$2))</f>
        <v>0</v>
      </c>
      <c r="O195">
        <f>IFERROR(AVERAGE(L195:N195),"")</f>
        <v>0</v>
      </c>
      <c r="P195">
        <f>IF(O195&gt;=Cfg_HiMove, "Yes", "")</f>
        <v>0</v>
      </c>
      <c r="Q195">
        <f>IF($A195="","", $I195 + IFERROR(O195/30*$H195,0))</f>
        <v>0</v>
      </c>
      <c r="R195">
        <f>IF($A195="","", IF(J195&lt;=$F195, "Yes", ""))</f>
        <v>0</v>
      </c>
      <c r="S195">
        <f>IF(R195="Yes", CEILING(MAX($G195, Q195-J195), $G195), 0)</f>
        <v>0</v>
      </c>
      <c r="T195">
        <f>IFERROR(J195/(O195/30),"")</f>
        <v>0</v>
      </c>
    </row>
    <row r="196" spans="10:20">
      <c r="J196">
        <f>IF($A196="","", SUMIFS(Mov_Qty, Mov_Item, $A196))</f>
        <v>0</v>
      </c>
      <c r="K196">
        <f>IF($A196="","", J196 * $E196)</f>
        <v>0</v>
      </c>
      <c r="L196">
        <f>IF($A196="","", SUMIFS(-Mov_Qty, Mov_Item, $A196, Mov_Type, "Consumption", Mov_Date, "&gt;="&amp;$V$2, Mov_Date, "&lt;="&amp;$W$2))</f>
        <v>0</v>
      </c>
      <c r="M196">
        <f>IF($A196="","", SUMIFS(-Mov_Qty, Mov_Item, $A196, Mov_Type, "Consumption", Mov_Date, "&gt;="&amp;$X$2, Mov_Date, "&lt;="&amp;$Y$2))</f>
        <v>0</v>
      </c>
      <c r="N196">
        <f>IF($A196="","", SUMIFS(-Mov_Qty, Mov_Item, $A196, Mov_Type, "Consumption", Mov_Date, "&gt;="&amp;$Z$2, Mov_Date, "&lt;="&amp;$AA$2))</f>
        <v>0</v>
      </c>
      <c r="O196">
        <f>IFERROR(AVERAGE(L196:N196),"")</f>
        <v>0</v>
      </c>
      <c r="P196">
        <f>IF(O196&gt;=Cfg_HiMove, "Yes", "")</f>
        <v>0</v>
      </c>
      <c r="Q196">
        <f>IF($A196="","", $I196 + IFERROR(O196/30*$H196,0))</f>
        <v>0</v>
      </c>
      <c r="R196">
        <f>IF($A196="","", IF(J196&lt;=$F196, "Yes", ""))</f>
        <v>0</v>
      </c>
      <c r="S196">
        <f>IF(R196="Yes", CEILING(MAX($G196, Q196-J196), $G196), 0)</f>
        <v>0</v>
      </c>
      <c r="T196">
        <f>IFERROR(J196/(O196/30),"")</f>
        <v>0</v>
      </c>
    </row>
    <row r="197" spans="10:20">
      <c r="J197">
        <f>IF($A197="","", SUMIFS(Mov_Qty, Mov_Item, $A197))</f>
        <v>0</v>
      </c>
      <c r="K197">
        <f>IF($A197="","", J197 * $E197)</f>
        <v>0</v>
      </c>
      <c r="L197">
        <f>IF($A197="","", SUMIFS(-Mov_Qty, Mov_Item, $A197, Mov_Type, "Consumption", Mov_Date, "&gt;="&amp;$V$2, Mov_Date, "&lt;="&amp;$W$2))</f>
        <v>0</v>
      </c>
      <c r="M197">
        <f>IF($A197="","", SUMIFS(-Mov_Qty, Mov_Item, $A197, Mov_Type, "Consumption", Mov_Date, "&gt;="&amp;$X$2, Mov_Date, "&lt;="&amp;$Y$2))</f>
        <v>0</v>
      </c>
      <c r="N197">
        <f>IF($A197="","", SUMIFS(-Mov_Qty, Mov_Item, $A197, Mov_Type, "Consumption", Mov_Date, "&gt;="&amp;$Z$2, Mov_Date, "&lt;="&amp;$AA$2))</f>
        <v>0</v>
      </c>
      <c r="O197">
        <f>IFERROR(AVERAGE(L197:N197),"")</f>
        <v>0</v>
      </c>
      <c r="P197">
        <f>IF(O197&gt;=Cfg_HiMove, "Yes", "")</f>
        <v>0</v>
      </c>
      <c r="Q197">
        <f>IF($A197="","", $I197 + IFERROR(O197/30*$H197,0))</f>
        <v>0</v>
      </c>
      <c r="R197">
        <f>IF($A197="","", IF(J197&lt;=$F197, "Yes", ""))</f>
        <v>0</v>
      </c>
      <c r="S197">
        <f>IF(R197="Yes", CEILING(MAX($G197, Q197-J197), $G197), 0)</f>
        <v>0</v>
      </c>
      <c r="T197">
        <f>IFERROR(J197/(O197/30),"")</f>
        <v>0</v>
      </c>
    </row>
    <row r="198" spans="10:20">
      <c r="J198">
        <f>IF($A198="","", SUMIFS(Mov_Qty, Mov_Item, $A198))</f>
        <v>0</v>
      </c>
      <c r="K198">
        <f>IF($A198="","", J198 * $E198)</f>
        <v>0</v>
      </c>
      <c r="L198">
        <f>IF($A198="","", SUMIFS(-Mov_Qty, Mov_Item, $A198, Mov_Type, "Consumption", Mov_Date, "&gt;="&amp;$V$2, Mov_Date, "&lt;="&amp;$W$2))</f>
        <v>0</v>
      </c>
      <c r="M198">
        <f>IF($A198="","", SUMIFS(-Mov_Qty, Mov_Item, $A198, Mov_Type, "Consumption", Mov_Date, "&gt;="&amp;$X$2, Mov_Date, "&lt;="&amp;$Y$2))</f>
        <v>0</v>
      </c>
      <c r="N198">
        <f>IF($A198="","", SUMIFS(-Mov_Qty, Mov_Item, $A198, Mov_Type, "Consumption", Mov_Date, "&gt;="&amp;$Z$2, Mov_Date, "&lt;="&amp;$AA$2))</f>
        <v>0</v>
      </c>
      <c r="O198">
        <f>IFERROR(AVERAGE(L198:N198),"")</f>
        <v>0</v>
      </c>
      <c r="P198">
        <f>IF(O198&gt;=Cfg_HiMove, "Yes", "")</f>
        <v>0</v>
      </c>
      <c r="Q198">
        <f>IF($A198="","", $I198 + IFERROR(O198/30*$H198,0))</f>
        <v>0</v>
      </c>
      <c r="R198">
        <f>IF($A198="","", IF(J198&lt;=$F198, "Yes", ""))</f>
        <v>0</v>
      </c>
      <c r="S198">
        <f>IF(R198="Yes", CEILING(MAX($G198, Q198-J198), $G198), 0)</f>
        <v>0</v>
      </c>
      <c r="T198">
        <f>IFERROR(J198/(O198/30),"")</f>
        <v>0</v>
      </c>
    </row>
    <row r="199" spans="10:20">
      <c r="J199">
        <f>IF($A199="","", SUMIFS(Mov_Qty, Mov_Item, $A199))</f>
        <v>0</v>
      </c>
      <c r="K199">
        <f>IF($A199="","", J199 * $E199)</f>
        <v>0</v>
      </c>
      <c r="L199">
        <f>IF($A199="","", SUMIFS(-Mov_Qty, Mov_Item, $A199, Mov_Type, "Consumption", Mov_Date, "&gt;="&amp;$V$2, Mov_Date, "&lt;="&amp;$W$2))</f>
        <v>0</v>
      </c>
      <c r="M199">
        <f>IF($A199="","", SUMIFS(-Mov_Qty, Mov_Item, $A199, Mov_Type, "Consumption", Mov_Date, "&gt;="&amp;$X$2, Mov_Date, "&lt;="&amp;$Y$2))</f>
        <v>0</v>
      </c>
      <c r="N199">
        <f>IF($A199="","", SUMIFS(-Mov_Qty, Mov_Item, $A199, Mov_Type, "Consumption", Mov_Date, "&gt;="&amp;$Z$2, Mov_Date, "&lt;="&amp;$AA$2))</f>
        <v>0</v>
      </c>
      <c r="O199">
        <f>IFERROR(AVERAGE(L199:N199),"")</f>
        <v>0</v>
      </c>
      <c r="P199">
        <f>IF(O199&gt;=Cfg_HiMove, "Yes", "")</f>
        <v>0</v>
      </c>
      <c r="Q199">
        <f>IF($A199="","", $I199 + IFERROR(O199/30*$H199,0))</f>
        <v>0</v>
      </c>
      <c r="R199">
        <f>IF($A199="","", IF(J199&lt;=$F199, "Yes", ""))</f>
        <v>0</v>
      </c>
      <c r="S199">
        <f>IF(R199="Yes", CEILING(MAX($G199, Q199-J199), $G199), 0)</f>
        <v>0</v>
      </c>
      <c r="T199">
        <f>IFERROR(J199/(O199/30),"")</f>
        <v>0</v>
      </c>
    </row>
    <row r="200" spans="10:20">
      <c r="J200">
        <f>IF($A200="","", SUMIFS(Mov_Qty, Mov_Item, $A200))</f>
        <v>0</v>
      </c>
      <c r="K200">
        <f>IF($A200="","", J200 * $E200)</f>
        <v>0</v>
      </c>
      <c r="L200">
        <f>IF($A200="","", SUMIFS(-Mov_Qty, Mov_Item, $A200, Mov_Type, "Consumption", Mov_Date, "&gt;="&amp;$V$2, Mov_Date, "&lt;="&amp;$W$2))</f>
        <v>0</v>
      </c>
      <c r="M200">
        <f>IF($A200="","", SUMIFS(-Mov_Qty, Mov_Item, $A200, Mov_Type, "Consumption", Mov_Date, "&gt;="&amp;$X$2, Mov_Date, "&lt;="&amp;$Y$2))</f>
        <v>0</v>
      </c>
      <c r="N200">
        <f>IF($A200="","", SUMIFS(-Mov_Qty, Mov_Item, $A200, Mov_Type, "Consumption", Mov_Date, "&gt;="&amp;$Z$2, Mov_Date, "&lt;="&amp;$AA$2))</f>
        <v>0</v>
      </c>
      <c r="O200">
        <f>IFERROR(AVERAGE(L200:N200),"")</f>
        <v>0</v>
      </c>
      <c r="P200">
        <f>IF(O200&gt;=Cfg_HiMove, "Yes", "")</f>
        <v>0</v>
      </c>
      <c r="Q200">
        <f>IF($A200="","", $I200 + IFERROR(O200/30*$H200,0))</f>
        <v>0</v>
      </c>
      <c r="R200">
        <f>IF($A200="","", IF(J200&lt;=$F200, "Yes", ""))</f>
        <v>0</v>
      </c>
      <c r="S200">
        <f>IF(R200="Yes", CEILING(MAX($G200, Q200-J200), $G200), 0)</f>
        <v>0</v>
      </c>
      <c r="T200">
        <f>IFERROR(J200/(O200/30),"")</f>
        <v>0</v>
      </c>
    </row>
    <row r="201" spans="10:20">
      <c r="J201">
        <f>IF($A201="","", SUMIFS(Mov_Qty, Mov_Item, $A201))</f>
        <v>0</v>
      </c>
      <c r="K201">
        <f>IF($A201="","", J201 * $E201)</f>
        <v>0</v>
      </c>
      <c r="L201">
        <f>IF($A201="","", SUMIFS(-Mov_Qty, Mov_Item, $A201, Mov_Type, "Consumption", Mov_Date, "&gt;="&amp;$V$2, Mov_Date, "&lt;="&amp;$W$2))</f>
        <v>0</v>
      </c>
      <c r="M201">
        <f>IF($A201="","", SUMIFS(-Mov_Qty, Mov_Item, $A201, Mov_Type, "Consumption", Mov_Date, "&gt;="&amp;$X$2, Mov_Date, "&lt;="&amp;$Y$2))</f>
        <v>0</v>
      </c>
      <c r="N201">
        <f>IF($A201="","", SUMIFS(-Mov_Qty, Mov_Item, $A201, Mov_Type, "Consumption", Mov_Date, "&gt;="&amp;$Z$2, Mov_Date, "&lt;="&amp;$AA$2))</f>
        <v>0</v>
      </c>
      <c r="O201">
        <f>IFERROR(AVERAGE(L201:N201),"")</f>
        <v>0</v>
      </c>
      <c r="P201">
        <f>IF(O201&gt;=Cfg_HiMove, "Yes", "")</f>
        <v>0</v>
      </c>
      <c r="Q201">
        <f>IF($A201="","", $I201 + IFERROR(O201/30*$H201,0))</f>
        <v>0</v>
      </c>
      <c r="R201">
        <f>IF($A201="","", IF(J201&lt;=$F201, "Yes", ""))</f>
        <v>0</v>
      </c>
      <c r="S201">
        <f>IF(R201="Yes", CEILING(MAX($G201, Q201-J201), $G201), 0)</f>
        <v>0</v>
      </c>
      <c r="T201">
        <f>IFERROR(J201/(O201/30),"")</f>
        <v>0</v>
      </c>
    </row>
    <row r="202" spans="10:20">
      <c r="J202">
        <f>IF($A202="","", SUMIFS(Mov_Qty, Mov_Item, $A202))</f>
        <v>0</v>
      </c>
      <c r="K202">
        <f>IF($A202="","", J202 * $E202)</f>
        <v>0</v>
      </c>
      <c r="L202">
        <f>IF($A202="","", SUMIFS(-Mov_Qty, Mov_Item, $A202, Mov_Type, "Consumption", Mov_Date, "&gt;="&amp;$V$2, Mov_Date, "&lt;="&amp;$W$2))</f>
        <v>0</v>
      </c>
      <c r="M202">
        <f>IF($A202="","", SUMIFS(-Mov_Qty, Mov_Item, $A202, Mov_Type, "Consumption", Mov_Date, "&gt;="&amp;$X$2, Mov_Date, "&lt;="&amp;$Y$2))</f>
        <v>0</v>
      </c>
      <c r="N202">
        <f>IF($A202="","", SUMIFS(-Mov_Qty, Mov_Item, $A202, Mov_Type, "Consumption", Mov_Date, "&gt;="&amp;$Z$2, Mov_Date, "&lt;="&amp;$AA$2))</f>
        <v>0</v>
      </c>
      <c r="O202">
        <f>IFERROR(AVERAGE(L202:N202),"")</f>
        <v>0</v>
      </c>
      <c r="P202">
        <f>IF(O202&gt;=Cfg_HiMove, "Yes", "")</f>
        <v>0</v>
      </c>
      <c r="Q202">
        <f>IF($A202="","", $I202 + IFERROR(O202/30*$H202,0))</f>
        <v>0</v>
      </c>
      <c r="R202">
        <f>IF($A202="","", IF(J202&lt;=$F202, "Yes", ""))</f>
        <v>0</v>
      </c>
      <c r="S202">
        <f>IF(R202="Yes", CEILING(MAX($G202, Q202-J202), $G202), 0)</f>
        <v>0</v>
      </c>
      <c r="T202">
        <f>IFERROR(J202/(O202/30),"")</f>
        <v>0</v>
      </c>
    </row>
    <row r="203" spans="10:20">
      <c r="J203">
        <f>IF($A203="","", SUMIFS(Mov_Qty, Mov_Item, $A203))</f>
        <v>0</v>
      </c>
      <c r="K203">
        <f>IF($A203="","", J203 * $E203)</f>
        <v>0</v>
      </c>
      <c r="L203">
        <f>IF($A203="","", SUMIFS(-Mov_Qty, Mov_Item, $A203, Mov_Type, "Consumption", Mov_Date, "&gt;="&amp;$V$2, Mov_Date, "&lt;="&amp;$W$2))</f>
        <v>0</v>
      </c>
      <c r="M203">
        <f>IF($A203="","", SUMIFS(-Mov_Qty, Mov_Item, $A203, Mov_Type, "Consumption", Mov_Date, "&gt;="&amp;$X$2, Mov_Date, "&lt;="&amp;$Y$2))</f>
        <v>0</v>
      </c>
      <c r="N203">
        <f>IF($A203="","", SUMIFS(-Mov_Qty, Mov_Item, $A203, Mov_Type, "Consumption", Mov_Date, "&gt;="&amp;$Z$2, Mov_Date, "&lt;="&amp;$AA$2))</f>
        <v>0</v>
      </c>
      <c r="O203">
        <f>IFERROR(AVERAGE(L203:N203),"")</f>
        <v>0</v>
      </c>
      <c r="P203">
        <f>IF(O203&gt;=Cfg_HiMove, "Yes", "")</f>
        <v>0</v>
      </c>
      <c r="Q203">
        <f>IF($A203="","", $I203 + IFERROR(O203/30*$H203,0))</f>
        <v>0</v>
      </c>
      <c r="R203">
        <f>IF($A203="","", IF(J203&lt;=$F203, "Yes", ""))</f>
        <v>0</v>
      </c>
      <c r="S203">
        <f>IF(R203="Yes", CEILING(MAX($G203, Q203-J203), $G203), 0)</f>
        <v>0</v>
      </c>
      <c r="T203">
        <f>IFERROR(J203/(O203/30),"")</f>
        <v>0</v>
      </c>
    </row>
    <row r="204" spans="10:20">
      <c r="J204">
        <f>IF($A204="","", SUMIFS(Mov_Qty, Mov_Item, $A204))</f>
        <v>0</v>
      </c>
      <c r="K204">
        <f>IF($A204="","", J204 * $E204)</f>
        <v>0</v>
      </c>
      <c r="L204">
        <f>IF($A204="","", SUMIFS(-Mov_Qty, Mov_Item, $A204, Mov_Type, "Consumption", Mov_Date, "&gt;="&amp;$V$2, Mov_Date, "&lt;="&amp;$W$2))</f>
        <v>0</v>
      </c>
      <c r="M204">
        <f>IF($A204="","", SUMIFS(-Mov_Qty, Mov_Item, $A204, Mov_Type, "Consumption", Mov_Date, "&gt;="&amp;$X$2, Mov_Date, "&lt;="&amp;$Y$2))</f>
        <v>0</v>
      </c>
      <c r="N204">
        <f>IF($A204="","", SUMIFS(-Mov_Qty, Mov_Item, $A204, Mov_Type, "Consumption", Mov_Date, "&gt;="&amp;$Z$2, Mov_Date, "&lt;="&amp;$AA$2))</f>
        <v>0</v>
      </c>
      <c r="O204">
        <f>IFERROR(AVERAGE(L204:N204),"")</f>
        <v>0</v>
      </c>
      <c r="P204">
        <f>IF(O204&gt;=Cfg_HiMove, "Yes", "")</f>
        <v>0</v>
      </c>
      <c r="Q204">
        <f>IF($A204="","", $I204 + IFERROR(O204/30*$H204,0))</f>
        <v>0</v>
      </c>
      <c r="R204">
        <f>IF($A204="","", IF(J204&lt;=$F204, "Yes", ""))</f>
        <v>0</v>
      </c>
      <c r="S204">
        <f>IF(R204="Yes", CEILING(MAX($G204, Q204-J204), $G204), 0)</f>
        <v>0</v>
      </c>
      <c r="T204">
        <f>IFERROR(J204/(O204/30),"")</f>
        <v>0</v>
      </c>
    </row>
    <row r="205" spans="10:20">
      <c r="J205">
        <f>IF($A205="","", SUMIFS(Mov_Qty, Mov_Item, $A205))</f>
        <v>0</v>
      </c>
      <c r="K205">
        <f>IF($A205="","", J205 * $E205)</f>
        <v>0</v>
      </c>
      <c r="L205">
        <f>IF($A205="","", SUMIFS(-Mov_Qty, Mov_Item, $A205, Mov_Type, "Consumption", Mov_Date, "&gt;="&amp;$V$2, Mov_Date, "&lt;="&amp;$W$2))</f>
        <v>0</v>
      </c>
      <c r="M205">
        <f>IF($A205="","", SUMIFS(-Mov_Qty, Mov_Item, $A205, Mov_Type, "Consumption", Mov_Date, "&gt;="&amp;$X$2, Mov_Date, "&lt;="&amp;$Y$2))</f>
        <v>0</v>
      </c>
      <c r="N205">
        <f>IF($A205="","", SUMIFS(-Mov_Qty, Mov_Item, $A205, Mov_Type, "Consumption", Mov_Date, "&gt;="&amp;$Z$2, Mov_Date, "&lt;="&amp;$AA$2))</f>
        <v>0</v>
      </c>
      <c r="O205">
        <f>IFERROR(AVERAGE(L205:N205),"")</f>
        <v>0</v>
      </c>
      <c r="P205">
        <f>IF(O205&gt;=Cfg_HiMove, "Yes", "")</f>
        <v>0</v>
      </c>
      <c r="Q205">
        <f>IF($A205="","", $I205 + IFERROR(O205/30*$H205,0))</f>
        <v>0</v>
      </c>
      <c r="R205">
        <f>IF($A205="","", IF(J205&lt;=$F205, "Yes", ""))</f>
        <v>0</v>
      </c>
      <c r="S205">
        <f>IF(R205="Yes", CEILING(MAX($G205, Q205-J205), $G205), 0)</f>
        <v>0</v>
      </c>
      <c r="T205">
        <f>IFERROR(J205/(O205/30),"")</f>
        <v>0</v>
      </c>
    </row>
    <row r="206" spans="10:20">
      <c r="J206">
        <f>IF($A206="","", SUMIFS(Mov_Qty, Mov_Item, $A206))</f>
        <v>0</v>
      </c>
      <c r="K206">
        <f>IF($A206="","", J206 * $E206)</f>
        <v>0</v>
      </c>
      <c r="L206">
        <f>IF($A206="","", SUMIFS(-Mov_Qty, Mov_Item, $A206, Mov_Type, "Consumption", Mov_Date, "&gt;="&amp;$V$2, Mov_Date, "&lt;="&amp;$W$2))</f>
        <v>0</v>
      </c>
      <c r="M206">
        <f>IF($A206="","", SUMIFS(-Mov_Qty, Mov_Item, $A206, Mov_Type, "Consumption", Mov_Date, "&gt;="&amp;$X$2, Mov_Date, "&lt;="&amp;$Y$2))</f>
        <v>0</v>
      </c>
      <c r="N206">
        <f>IF($A206="","", SUMIFS(-Mov_Qty, Mov_Item, $A206, Mov_Type, "Consumption", Mov_Date, "&gt;="&amp;$Z$2, Mov_Date, "&lt;="&amp;$AA$2))</f>
        <v>0</v>
      </c>
      <c r="O206">
        <f>IFERROR(AVERAGE(L206:N206),"")</f>
        <v>0</v>
      </c>
      <c r="P206">
        <f>IF(O206&gt;=Cfg_HiMove, "Yes", "")</f>
        <v>0</v>
      </c>
      <c r="Q206">
        <f>IF($A206="","", $I206 + IFERROR(O206/30*$H206,0))</f>
        <v>0</v>
      </c>
      <c r="R206">
        <f>IF($A206="","", IF(J206&lt;=$F206, "Yes", ""))</f>
        <v>0</v>
      </c>
      <c r="S206">
        <f>IF(R206="Yes", CEILING(MAX($G206, Q206-J206), $G206), 0)</f>
        <v>0</v>
      </c>
      <c r="T206">
        <f>IFERROR(J206/(O206/30),"")</f>
        <v>0</v>
      </c>
    </row>
    <row r="207" spans="10:20">
      <c r="J207">
        <f>IF($A207="","", SUMIFS(Mov_Qty, Mov_Item, $A207))</f>
        <v>0</v>
      </c>
      <c r="K207">
        <f>IF($A207="","", J207 * $E207)</f>
        <v>0</v>
      </c>
      <c r="L207">
        <f>IF($A207="","", SUMIFS(-Mov_Qty, Mov_Item, $A207, Mov_Type, "Consumption", Mov_Date, "&gt;="&amp;$V$2, Mov_Date, "&lt;="&amp;$W$2))</f>
        <v>0</v>
      </c>
      <c r="M207">
        <f>IF($A207="","", SUMIFS(-Mov_Qty, Mov_Item, $A207, Mov_Type, "Consumption", Mov_Date, "&gt;="&amp;$X$2, Mov_Date, "&lt;="&amp;$Y$2))</f>
        <v>0</v>
      </c>
      <c r="N207">
        <f>IF($A207="","", SUMIFS(-Mov_Qty, Mov_Item, $A207, Mov_Type, "Consumption", Mov_Date, "&gt;="&amp;$Z$2, Mov_Date, "&lt;="&amp;$AA$2))</f>
        <v>0</v>
      </c>
      <c r="O207">
        <f>IFERROR(AVERAGE(L207:N207),"")</f>
        <v>0</v>
      </c>
      <c r="P207">
        <f>IF(O207&gt;=Cfg_HiMove, "Yes", "")</f>
        <v>0</v>
      </c>
      <c r="Q207">
        <f>IF($A207="","", $I207 + IFERROR(O207/30*$H207,0))</f>
        <v>0</v>
      </c>
      <c r="R207">
        <f>IF($A207="","", IF(J207&lt;=$F207, "Yes", ""))</f>
        <v>0</v>
      </c>
      <c r="S207">
        <f>IF(R207="Yes", CEILING(MAX($G207, Q207-J207), $G207), 0)</f>
        <v>0</v>
      </c>
      <c r="T207">
        <f>IFERROR(J207/(O207/30),"")</f>
        <v>0</v>
      </c>
    </row>
    <row r="208" spans="10:20">
      <c r="J208">
        <f>IF($A208="","", SUMIFS(Mov_Qty, Mov_Item, $A208))</f>
        <v>0</v>
      </c>
      <c r="K208">
        <f>IF($A208="","", J208 * $E208)</f>
        <v>0</v>
      </c>
      <c r="L208">
        <f>IF($A208="","", SUMIFS(-Mov_Qty, Mov_Item, $A208, Mov_Type, "Consumption", Mov_Date, "&gt;="&amp;$V$2, Mov_Date, "&lt;="&amp;$W$2))</f>
        <v>0</v>
      </c>
      <c r="M208">
        <f>IF($A208="","", SUMIFS(-Mov_Qty, Mov_Item, $A208, Mov_Type, "Consumption", Mov_Date, "&gt;="&amp;$X$2, Mov_Date, "&lt;="&amp;$Y$2))</f>
        <v>0</v>
      </c>
      <c r="N208">
        <f>IF($A208="","", SUMIFS(-Mov_Qty, Mov_Item, $A208, Mov_Type, "Consumption", Mov_Date, "&gt;="&amp;$Z$2, Mov_Date, "&lt;="&amp;$AA$2))</f>
        <v>0</v>
      </c>
      <c r="O208">
        <f>IFERROR(AVERAGE(L208:N208),"")</f>
        <v>0</v>
      </c>
      <c r="P208">
        <f>IF(O208&gt;=Cfg_HiMove, "Yes", "")</f>
        <v>0</v>
      </c>
      <c r="Q208">
        <f>IF($A208="","", $I208 + IFERROR(O208/30*$H208,0))</f>
        <v>0</v>
      </c>
      <c r="R208">
        <f>IF($A208="","", IF(J208&lt;=$F208, "Yes", ""))</f>
        <v>0</v>
      </c>
      <c r="S208">
        <f>IF(R208="Yes", CEILING(MAX($G208, Q208-J208), $G208), 0)</f>
        <v>0</v>
      </c>
      <c r="T208">
        <f>IFERROR(J208/(O208/30),"")</f>
        <v>0</v>
      </c>
    </row>
    <row r="209" spans="10:20">
      <c r="J209">
        <f>IF($A209="","", SUMIFS(Mov_Qty, Mov_Item, $A209))</f>
        <v>0</v>
      </c>
      <c r="K209">
        <f>IF($A209="","", J209 * $E209)</f>
        <v>0</v>
      </c>
      <c r="L209">
        <f>IF($A209="","", SUMIFS(-Mov_Qty, Mov_Item, $A209, Mov_Type, "Consumption", Mov_Date, "&gt;="&amp;$V$2, Mov_Date, "&lt;="&amp;$W$2))</f>
        <v>0</v>
      </c>
      <c r="M209">
        <f>IF($A209="","", SUMIFS(-Mov_Qty, Mov_Item, $A209, Mov_Type, "Consumption", Mov_Date, "&gt;="&amp;$X$2, Mov_Date, "&lt;="&amp;$Y$2))</f>
        <v>0</v>
      </c>
      <c r="N209">
        <f>IF($A209="","", SUMIFS(-Mov_Qty, Mov_Item, $A209, Mov_Type, "Consumption", Mov_Date, "&gt;="&amp;$Z$2, Mov_Date, "&lt;="&amp;$AA$2))</f>
        <v>0</v>
      </c>
      <c r="O209">
        <f>IFERROR(AVERAGE(L209:N209),"")</f>
        <v>0</v>
      </c>
      <c r="P209">
        <f>IF(O209&gt;=Cfg_HiMove, "Yes", "")</f>
        <v>0</v>
      </c>
      <c r="Q209">
        <f>IF($A209="","", $I209 + IFERROR(O209/30*$H209,0))</f>
        <v>0</v>
      </c>
      <c r="R209">
        <f>IF($A209="","", IF(J209&lt;=$F209, "Yes", ""))</f>
        <v>0</v>
      </c>
      <c r="S209">
        <f>IF(R209="Yes", CEILING(MAX($G209, Q209-J209), $G209), 0)</f>
        <v>0</v>
      </c>
      <c r="T209">
        <f>IFERROR(J209/(O209/30),"")</f>
        <v>0</v>
      </c>
    </row>
    <row r="210" spans="10:20">
      <c r="J210">
        <f>IF($A210="","", SUMIFS(Mov_Qty, Mov_Item, $A210))</f>
        <v>0</v>
      </c>
      <c r="K210">
        <f>IF($A210="","", J210 * $E210)</f>
        <v>0</v>
      </c>
      <c r="L210">
        <f>IF($A210="","", SUMIFS(-Mov_Qty, Mov_Item, $A210, Mov_Type, "Consumption", Mov_Date, "&gt;="&amp;$V$2, Mov_Date, "&lt;="&amp;$W$2))</f>
        <v>0</v>
      </c>
      <c r="M210">
        <f>IF($A210="","", SUMIFS(-Mov_Qty, Mov_Item, $A210, Mov_Type, "Consumption", Mov_Date, "&gt;="&amp;$X$2, Mov_Date, "&lt;="&amp;$Y$2))</f>
        <v>0</v>
      </c>
      <c r="N210">
        <f>IF($A210="","", SUMIFS(-Mov_Qty, Mov_Item, $A210, Mov_Type, "Consumption", Mov_Date, "&gt;="&amp;$Z$2, Mov_Date, "&lt;="&amp;$AA$2))</f>
        <v>0</v>
      </c>
      <c r="O210">
        <f>IFERROR(AVERAGE(L210:N210),"")</f>
        <v>0</v>
      </c>
      <c r="P210">
        <f>IF(O210&gt;=Cfg_HiMove, "Yes", "")</f>
        <v>0</v>
      </c>
      <c r="Q210">
        <f>IF($A210="","", $I210 + IFERROR(O210/30*$H210,0))</f>
        <v>0</v>
      </c>
      <c r="R210">
        <f>IF($A210="","", IF(J210&lt;=$F210, "Yes", ""))</f>
        <v>0</v>
      </c>
      <c r="S210">
        <f>IF(R210="Yes", CEILING(MAX($G210, Q210-J210), $G210), 0)</f>
        <v>0</v>
      </c>
      <c r="T210">
        <f>IFERROR(J210/(O210/30),"")</f>
        <v>0</v>
      </c>
    </row>
    <row r="211" spans="10:20">
      <c r="J211">
        <f>IF($A211="","", SUMIFS(Mov_Qty, Mov_Item, $A211))</f>
        <v>0</v>
      </c>
      <c r="K211">
        <f>IF($A211="","", J211 * $E211)</f>
        <v>0</v>
      </c>
      <c r="L211">
        <f>IF($A211="","", SUMIFS(-Mov_Qty, Mov_Item, $A211, Mov_Type, "Consumption", Mov_Date, "&gt;="&amp;$V$2, Mov_Date, "&lt;="&amp;$W$2))</f>
        <v>0</v>
      </c>
      <c r="M211">
        <f>IF($A211="","", SUMIFS(-Mov_Qty, Mov_Item, $A211, Mov_Type, "Consumption", Mov_Date, "&gt;="&amp;$X$2, Mov_Date, "&lt;="&amp;$Y$2))</f>
        <v>0</v>
      </c>
      <c r="N211">
        <f>IF($A211="","", SUMIFS(-Mov_Qty, Mov_Item, $A211, Mov_Type, "Consumption", Mov_Date, "&gt;="&amp;$Z$2, Mov_Date, "&lt;="&amp;$AA$2))</f>
        <v>0</v>
      </c>
      <c r="O211">
        <f>IFERROR(AVERAGE(L211:N211),"")</f>
        <v>0</v>
      </c>
      <c r="P211">
        <f>IF(O211&gt;=Cfg_HiMove, "Yes", "")</f>
        <v>0</v>
      </c>
      <c r="Q211">
        <f>IF($A211="","", $I211 + IFERROR(O211/30*$H211,0))</f>
        <v>0</v>
      </c>
      <c r="R211">
        <f>IF($A211="","", IF(J211&lt;=$F211, "Yes", ""))</f>
        <v>0</v>
      </c>
      <c r="S211">
        <f>IF(R211="Yes", CEILING(MAX($G211, Q211-J211), $G211), 0)</f>
        <v>0</v>
      </c>
      <c r="T211">
        <f>IFERROR(J211/(O211/30),"")</f>
        <v>0</v>
      </c>
    </row>
    <row r="212" spans="10:20">
      <c r="J212">
        <f>IF($A212="","", SUMIFS(Mov_Qty, Mov_Item, $A212))</f>
        <v>0</v>
      </c>
      <c r="K212">
        <f>IF($A212="","", J212 * $E212)</f>
        <v>0</v>
      </c>
      <c r="L212">
        <f>IF($A212="","", SUMIFS(-Mov_Qty, Mov_Item, $A212, Mov_Type, "Consumption", Mov_Date, "&gt;="&amp;$V$2, Mov_Date, "&lt;="&amp;$W$2))</f>
        <v>0</v>
      </c>
      <c r="M212">
        <f>IF($A212="","", SUMIFS(-Mov_Qty, Mov_Item, $A212, Mov_Type, "Consumption", Mov_Date, "&gt;="&amp;$X$2, Mov_Date, "&lt;="&amp;$Y$2))</f>
        <v>0</v>
      </c>
      <c r="N212">
        <f>IF($A212="","", SUMIFS(-Mov_Qty, Mov_Item, $A212, Mov_Type, "Consumption", Mov_Date, "&gt;="&amp;$Z$2, Mov_Date, "&lt;="&amp;$AA$2))</f>
        <v>0</v>
      </c>
      <c r="O212">
        <f>IFERROR(AVERAGE(L212:N212),"")</f>
        <v>0</v>
      </c>
      <c r="P212">
        <f>IF(O212&gt;=Cfg_HiMove, "Yes", "")</f>
        <v>0</v>
      </c>
      <c r="Q212">
        <f>IF($A212="","", $I212 + IFERROR(O212/30*$H212,0))</f>
        <v>0</v>
      </c>
      <c r="R212">
        <f>IF($A212="","", IF(J212&lt;=$F212, "Yes", ""))</f>
        <v>0</v>
      </c>
      <c r="S212">
        <f>IF(R212="Yes", CEILING(MAX($G212, Q212-J212), $G212), 0)</f>
        <v>0</v>
      </c>
      <c r="T212">
        <f>IFERROR(J212/(O212/30),"")</f>
        <v>0</v>
      </c>
    </row>
    <row r="213" spans="10:20">
      <c r="J213">
        <f>IF($A213="","", SUMIFS(Mov_Qty, Mov_Item, $A213))</f>
        <v>0</v>
      </c>
      <c r="K213">
        <f>IF($A213="","", J213 * $E213)</f>
        <v>0</v>
      </c>
      <c r="L213">
        <f>IF($A213="","", SUMIFS(-Mov_Qty, Mov_Item, $A213, Mov_Type, "Consumption", Mov_Date, "&gt;="&amp;$V$2, Mov_Date, "&lt;="&amp;$W$2))</f>
        <v>0</v>
      </c>
      <c r="M213">
        <f>IF($A213="","", SUMIFS(-Mov_Qty, Mov_Item, $A213, Mov_Type, "Consumption", Mov_Date, "&gt;="&amp;$X$2, Mov_Date, "&lt;="&amp;$Y$2))</f>
        <v>0</v>
      </c>
      <c r="N213">
        <f>IF($A213="","", SUMIFS(-Mov_Qty, Mov_Item, $A213, Mov_Type, "Consumption", Mov_Date, "&gt;="&amp;$Z$2, Mov_Date, "&lt;="&amp;$AA$2))</f>
        <v>0</v>
      </c>
      <c r="O213">
        <f>IFERROR(AVERAGE(L213:N213),"")</f>
        <v>0</v>
      </c>
      <c r="P213">
        <f>IF(O213&gt;=Cfg_HiMove, "Yes", "")</f>
        <v>0</v>
      </c>
      <c r="Q213">
        <f>IF($A213="","", $I213 + IFERROR(O213/30*$H213,0))</f>
        <v>0</v>
      </c>
      <c r="R213">
        <f>IF($A213="","", IF(J213&lt;=$F213, "Yes", ""))</f>
        <v>0</v>
      </c>
      <c r="S213">
        <f>IF(R213="Yes", CEILING(MAX($G213, Q213-J213), $G213), 0)</f>
        <v>0</v>
      </c>
      <c r="T213">
        <f>IFERROR(J213/(O213/30),"")</f>
        <v>0</v>
      </c>
    </row>
    <row r="214" spans="10:20">
      <c r="J214">
        <f>IF($A214="","", SUMIFS(Mov_Qty, Mov_Item, $A214))</f>
        <v>0</v>
      </c>
      <c r="K214">
        <f>IF($A214="","", J214 * $E214)</f>
        <v>0</v>
      </c>
      <c r="L214">
        <f>IF($A214="","", SUMIFS(-Mov_Qty, Mov_Item, $A214, Mov_Type, "Consumption", Mov_Date, "&gt;="&amp;$V$2, Mov_Date, "&lt;="&amp;$W$2))</f>
        <v>0</v>
      </c>
      <c r="M214">
        <f>IF($A214="","", SUMIFS(-Mov_Qty, Mov_Item, $A214, Mov_Type, "Consumption", Mov_Date, "&gt;="&amp;$X$2, Mov_Date, "&lt;="&amp;$Y$2))</f>
        <v>0</v>
      </c>
      <c r="N214">
        <f>IF($A214="","", SUMIFS(-Mov_Qty, Mov_Item, $A214, Mov_Type, "Consumption", Mov_Date, "&gt;="&amp;$Z$2, Mov_Date, "&lt;="&amp;$AA$2))</f>
        <v>0</v>
      </c>
      <c r="O214">
        <f>IFERROR(AVERAGE(L214:N214),"")</f>
        <v>0</v>
      </c>
      <c r="P214">
        <f>IF(O214&gt;=Cfg_HiMove, "Yes", "")</f>
        <v>0</v>
      </c>
      <c r="Q214">
        <f>IF($A214="","", $I214 + IFERROR(O214/30*$H214,0))</f>
        <v>0</v>
      </c>
      <c r="R214">
        <f>IF($A214="","", IF(J214&lt;=$F214, "Yes", ""))</f>
        <v>0</v>
      </c>
      <c r="S214">
        <f>IF(R214="Yes", CEILING(MAX($G214, Q214-J214), $G214), 0)</f>
        <v>0</v>
      </c>
      <c r="T214">
        <f>IFERROR(J214/(O214/30),"")</f>
        <v>0</v>
      </c>
    </row>
    <row r="215" spans="10:20">
      <c r="J215">
        <f>IF($A215="","", SUMIFS(Mov_Qty, Mov_Item, $A215))</f>
        <v>0</v>
      </c>
      <c r="K215">
        <f>IF($A215="","", J215 * $E215)</f>
        <v>0</v>
      </c>
      <c r="L215">
        <f>IF($A215="","", SUMIFS(-Mov_Qty, Mov_Item, $A215, Mov_Type, "Consumption", Mov_Date, "&gt;="&amp;$V$2, Mov_Date, "&lt;="&amp;$W$2))</f>
        <v>0</v>
      </c>
      <c r="M215">
        <f>IF($A215="","", SUMIFS(-Mov_Qty, Mov_Item, $A215, Mov_Type, "Consumption", Mov_Date, "&gt;="&amp;$X$2, Mov_Date, "&lt;="&amp;$Y$2))</f>
        <v>0</v>
      </c>
      <c r="N215">
        <f>IF($A215="","", SUMIFS(-Mov_Qty, Mov_Item, $A215, Mov_Type, "Consumption", Mov_Date, "&gt;="&amp;$Z$2, Mov_Date, "&lt;="&amp;$AA$2))</f>
        <v>0</v>
      </c>
      <c r="O215">
        <f>IFERROR(AVERAGE(L215:N215),"")</f>
        <v>0</v>
      </c>
      <c r="P215">
        <f>IF(O215&gt;=Cfg_HiMove, "Yes", "")</f>
        <v>0</v>
      </c>
      <c r="Q215">
        <f>IF($A215="","", $I215 + IFERROR(O215/30*$H215,0))</f>
        <v>0</v>
      </c>
      <c r="R215">
        <f>IF($A215="","", IF(J215&lt;=$F215, "Yes", ""))</f>
        <v>0</v>
      </c>
      <c r="S215">
        <f>IF(R215="Yes", CEILING(MAX($G215, Q215-J215), $G215), 0)</f>
        <v>0</v>
      </c>
      <c r="T215">
        <f>IFERROR(J215/(O215/30),"")</f>
        <v>0</v>
      </c>
    </row>
    <row r="216" spans="10:20">
      <c r="J216">
        <f>IF($A216="","", SUMIFS(Mov_Qty, Mov_Item, $A216))</f>
        <v>0</v>
      </c>
      <c r="K216">
        <f>IF($A216="","", J216 * $E216)</f>
        <v>0</v>
      </c>
      <c r="L216">
        <f>IF($A216="","", SUMIFS(-Mov_Qty, Mov_Item, $A216, Mov_Type, "Consumption", Mov_Date, "&gt;="&amp;$V$2, Mov_Date, "&lt;="&amp;$W$2))</f>
        <v>0</v>
      </c>
      <c r="M216">
        <f>IF($A216="","", SUMIFS(-Mov_Qty, Mov_Item, $A216, Mov_Type, "Consumption", Mov_Date, "&gt;="&amp;$X$2, Mov_Date, "&lt;="&amp;$Y$2))</f>
        <v>0</v>
      </c>
      <c r="N216">
        <f>IF($A216="","", SUMIFS(-Mov_Qty, Mov_Item, $A216, Mov_Type, "Consumption", Mov_Date, "&gt;="&amp;$Z$2, Mov_Date, "&lt;="&amp;$AA$2))</f>
        <v>0</v>
      </c>
      <c r="O216">
        <f>IFERROR(AVERAGE(L216:N216),"")</f>
        <v>0</v>
      </c>
      <c r="P216">
        <f>IF(O216&gt;=Cfg_HiMove, "Yes", "")</f>
        <v>0</v>
      </c>
      <c r="Q216">
        <f>IF($A216="","", $I216 + IFERROR(O216/30*$H216,0))</f>
        <v>0</v>
      </c>
      <c r="R216">
        <f>IF($A216="","", IF(J216&lt;=$F216, "Yes", ""))</f>
        <v>0</v>
      </c>
      <c r="S216">
        <f>IF(R216="Yes", CEILING(MAX($G216, Q216-J216), $G216), 0)</f>
        <v>0</v>
      </c>
      <c r="T216">
        <f>IFERROR(J216/(O216/30),"")</f>
        <v>0</v>
      </c>
    </row>
    <row r="217" spans="10:20">
      <c r="J217">
        <f>IF($A217="","", SUMIFS(Mov_Qty, Mov_Item, $A217))</f>
        <v>0</v>
      </c>
      <c r="K217">
        <f>IF($A217="","", J217 * $E217)</f>
        <v>0</v>
      </c>
      <c r="L217">
        <f>IF($A217="","", SUMIFS(-Mov_Qty, Mov_Item, $A217, Mov_Type, "Consumption", Mov_Date, "&gt;="&amp;$V$2, Mov_Date, "&lt;="&amp;$W$2))</f>
        <v>0</v>
      </c>
      <c r="M217">
        <f>IF($A217="","", SUMIFS(-Mov_Qty, Mov_Item, $A217, Mov_Type, "Consumption", Mov_Date, "&gt;="&amp;$X$2, Mov_Date, "&lt;="&amp;$Y$2))</f>
        <v>0</v>
      </c>
      <c r="N217">
        <f>IF($A217="","", SUMIFS(-Mov_Qty, Mov_Item, $A217, Mov_Type, "Consumption", Mov_Date, "&gt;="&amp;$Z$2, Mov_Date, "&lt;="&amp;$AA$2))</f>
        <v>0</v>
      </c>
      <c r="O217">
        <f>IFERROR(AVERAGE(L217:N217),"")</f>
        <v>0</v>
      </c>
      <c r="P217">
        <f>IF(O217&gt;=Cfg_HiMove, "Yes", "")</f>
        <v>0</v>
      </c>
      <c r="Q217">
        <f>IF($A217="","", $I217 + IFERROR(O217/30*$H217,0))</f>
        <v>0</v>
      </c>
      <c r="R217">
        <f>IF($A217="","", IF(J217&lt;=$F217, "Yes", ""))</f>
        <v>0</v>
      </c>
      <c r="S217">
        <f>IF(R217="Yes", CEILING(MAX($G217, Q217-J217), $G217), 0)</f>
        <v>0</v>
      </c>
      <c r="T217">
        <f>IFERROR(J217/(O217/30),"")</f>
        <v>0</v>
      </c>
    </row>
    <row r="218" spans="10:20">
      <c r="J218">
        <f>IF($A218="","", SUMIFS(Mov_Qty, Mov_Item, $A218))</f>
        <v>0</v>
      </c>
      <c r="K218">
        <f>IF($A218="","", J218 * $E218)</f>
        <v>0</v>
      </c>
      <c r="L218">
        <f>IF($A218="","", SUMIFS(-Mov_Qty, Mov_Item, $A218, Mov_Type, "Consumption", Mov_Date, "&gt;="&amp;$V$2, Mov_Date, "&lt;="&amp;$W$2))</f>
        <v>0</v>
      </c>
      <c r="M218">
        <f>IF($A218="","", SUMIFS(-Mov_Qty, Mov_Item, $A218, Mov_Type, "Consumption", Mov_Date, "&gt;="&amp;$X$2, Mov_Date, "&lt;="&amp;$Y$2))</f>
        <v>0</v>
      </c>
      <c r="N218">
        <f>IF($A218="","", SUMIFS(-Mov_Qty, Mov_Item, $A218, Mov_Type, "Consumption", Mov_Date, "&gt;="&amp;$Z$2, Mov_Date, "&lt;="&amp;$AA$2))</f>
        <v>0</v>
      </c>
      <c r="O218">
        <f>IFERROR(AVERAGE(L218:N218),"")</f>
        <v>0</v>
      </c>
      <c r="P218">
        <f>IF(O218&gt;=Cfg_HiMove, "Yes", "")</f>
        <v>0</v>
      </c>
      <c r="Q218">
        <f>IF($A218="","", $I218 + IFERROR(O218/30*$H218,0))</f>
        <v>0</v>
      </c>
      <c r="R218">
        <f>IF($A218="","", IF(J218&lt;=$F218, "Yes", ""))</f>
        <v>0</v>
      </c>
      <c r="S218">
        <f>IF(R218="Yes", CEILING(MAX($G218, Q218-J218), $G218), 0)</f>
        <v>0</v>
      </c>
      <c r="T218">
        <f>IFERROR(J218/(O218/30),"")</f>
        <v>0</v>
      </c>
    </row>
    <row r="219" spans="10:20">
      <c r="J219">
        <f>IF($A219="","", SUMIFS(Mov_Qty, Mov_Item, $A219))</f>
        <v>0</v>
      </c>
      <c r="K219">
        <f>IF($A219="","", J219 * $E219)</f>
        <v>0</v>
      </c>
      <c r="L219">
        <f>IF($A219="","", SUMIFS(-Mov_Qty, Mov_Item, $A219, Mov_Type, "Consumption", Mov_Date, "&gt;="&amp;$V$2, Mov_Date, "&lt;="&amp;$W$2))</f>
        <v>0</v>
      </c>
      <c r="M219">
        <f>IF($A219="","", SUMIFS(-Mov_Qty, Mov_Item, $A219, Mov_Type, "Consumption", Mov_Date, "&gt;="&amp;$X$2, Mov_Date, "&lt;="&amp;$Y$2))</f>
        <v>0</v>
      </c>
      <c r="N219">
        <f>IF($A219="","", SUMIFS(-Mov_Qty, Mov_Item, $A219, Mov_Type, "Consumption", Mov_Date, "&gt;="&amp;$Z$2, Mov_Date, "&lt;="&amp;$AA$2))</f>
        <v>0</v>
      </c>
      <c r="O219">
        <f>IFERROR(AVERAGE(L219:N219),"")</f>
        <v>0</v>
      </c>
      <c r="P219">
        <f>IF(O219&gt;=Cfg_HiMove, "Yes", "")</f>
        <v>0</v>
      </c>
      <c r="Q219">
        <f>IF($A219="","", $I219 + IFERROR(O219/30*$H219,0))</f>
        <v>0</v>
      </c>
      <c r="R219">
        <f>IF($A219="","", IF(J219&lt;=$F219, "Yes", ""))</f>
        <v>0</v>
      </c>
      <c r="S219">
        <f>IF(R219="Yes", CEILING(MAX($G219, Q219-J219), $G219), 0)</f>
        <v>0</v>
      </c>
      <c r="T219">
        <f>IFERROR(J219/(O219/30),"")</f>
        <v>0</v>
      </c>
    </row>
    <row r="220" spans="10:20">
      <c r="J220">
        <f>IF($A220="","", SUMIFS(Mov_Qty, Mov_Item, $A220))</f>
        <v>0</v>
      </c>
      <c r="K220">
        <f>IF($A220="","", J220 * $E220)</f>
        <v>0</v>
      </c>
      <c r="L220">
        <f>IF($A220="","", SUMIFS(-Mov_Qty, Mov_Item, $A220, Mov_Type, "Consumption", Mov_Date, "&gt;="&amp;$V$2, Mov_Date, "&lt;="&amp;$W$2))</f>
        <v>0</v>
      </c>
      <c r="M220">
        <f>IF($A220="","", SUMIFS(-Mov_Qty, Mov_Item, $A220, Mov_Type, "Consumption", Mov_Date, "&gt;="&amp;$X$2, Mov_Date, "&lt;="&amp;$Y$2))</f>
        <v>0</v>
      </c>
      <c r="N220">
        <f>IF($A220="","", SUMIFS(-Mov_Qty, Mov_Item, $A220, Mov_Type, "Consumption", Mov_Date, "&gt;="&amp;$Z$2, Mov_Date, "&lt;="&amp;$AA$2))</f>
        <v>0</v>
      </c>
      <c r="O220">
        <f>IFERROR(AVERAGE(L220:N220),"")</f>
        <v>0</v>
      </c>
      <c r="P220">
        <f>IF(O220&gt;=Cfg_HiMove, "Yes", "")</f>
        <v>0</v>
      </c>
      <c r="Q220">
        <f>IF($A220="","", $I220 + IFERROR(O220/30*$H220,0))</f>
        <v>0</v>
      </c>
      <c r="R220">
        <f>IF($A220="","", IF(J220&lt;=$F220, "Yes", ""))</f>
        <v>0</v>
      </c>
      <c r="S220">
        <f>IF(R220="Yes", CEILING(MAX($G220, Q220-J220), $G220), 0)</f>
        <v>0</v>
      </c>
      <c r="T220">
        <f>IFERROR(J220/(O220/30),"")</f>
        <v>0</v>
      </c>
    </row>
    <row r="221" spans="10:20">
      <c r="J221">
        <f>IF($A221="","", SUMIFS(Mov_Qty, Mov_Item, $A221))</f>
        <v>0</v>
      </c>
      <c r="K221">
        <f>IF($A221="","", J221 * $E221)</f>
        <v>0</v>
      </c>
      <c r="L221">
        <f>IF($A221="","", SUMIFS(-Mov_Qty, Mov_Item, $A221, Mov_Type, "Consumption", Mov_Date, "&gt;="&amp;$V$2, Mov_Date, "&lt;="&amp;$W$2))</f>
        <v>0</v>
      </c>
      <c r="M221">
        <f>IF($A221="","", SUMIFS(-Mov_Qty, Mov_Item, $A221, Mov_Type, "Consumption", Mov_Date, "&gt;="&amp;$X$2, Mov_Date, "&lt;="&amp;$Y$2))</f>
        <v>0</v>
      </c>
      <c r="N221">
        <f>IF($A221="","", SUMIFS(-Mov_Qty, Mov_Item, $A221, Mov_Type, "Consumption", Mov_Date, "&gt;="&amp;$Z$2, Mov_Date, "&lt;="&amp;$AA$2))</f>
        <v>0</v>
      </c>
      <c r="O221">
        <f>IFERROR(AVERAGE(L221:N221),"")</f>
        <v>0</v>
      </c>
      <c r="P221">
        <f>IF(O221&gt;=Cfg_HiMove, "Yes", "")</f>
        <v>0</v>
      </c>
      <c r="Q221">
        <f>IF($A221="","", $I221 + IFERROR(O221/30*$H221,0))</f>
        <v>0</v>
      </c>
      <c r="R221">
        <f>IF($A221="","", IF(J221&lt;=$F221, "Yes", ""))</f>
        <v>0</v>
      </c>
      <c r="S221">
        <f>IF(R221="Yes", CEILING(MAX($G221, Q221-J221), $G221), 0)</f>
        <v>0</v>
      </c>
      <c r="T221">
        <f>IFERROR(J221/(O221/30),"")</f>
        <v>0</v>
      </c>
    </row>
    <row r="222" spans="10:20">
      <c r="J222">
        <f>IF($A222="","", SUMIFS(Mov_Qty, Mov_Item, $A222))</f>
        <v>0</v>
      </c>
      <c r="K222">
        <f>IF($A222="","", J222 * $E222)</f>
        <v>0</v>
      </c>
      <c r="L222">
        <f>IF($A222="","", SUMIFS(-Mov_Qty, Mov_Item, $A222, Mov_Type, "Consumption", Mov_Date, "&gt;="&amp;$V$2, Mov_Date, "&lt;="&amp;$W$2))</f>
        <v>0</v>
      </c>
      <c r="M222">
        <f>IF($A222="","", SUMIFS(-Mov_Qty, Mov_Item, $A222, Mov_Type, "Consumption", Mov_Date, "&gt;="&amp;$X$2, Mov_Date, "&lt;="&amp;$Y$2))</f>
        <v>0</v>
      </c>
      <c r="N222">
        <f>IF($A222="","", SUMIFS(-Mov_Qty, Mov_Item, $A222, Mov_Type, "Consumption", Mov_Date, "&gt;="&amp;$Z$2, Mov_Date, "&lt;="&amp;$AA$2))</f>
        <v>0</v>
      </c>
      <c r="O222">
        <f>IFERROR(AVERAGE(L222:N222),"")</f>
        <v>0</v>
      </c>
      <c r="P222">
        <f>IF(O222&gt;=Cfg_HiMove, "Yes", "")</f>
        <v>0</v>
      </c>
      <c r="Q222">
        <f>IF($A222="","", $I222 + IFERROR(O222/30*$H222,0))</f>
        <v>0</v>
      </c>
      <c r="R222">
        <f>IF($A222="","", IF(J222&lt;=$F222, "Yes", ""))</f>
        <v>0</v>
      </c>
      <c r="S222">
        <f>IF(R222="Yes", CEILING(MAX($G222, Q222-J222), $G222), 0)</f>
        <v>0</v>
      </c>
      <c r="T222">
        <f>IFERROR(J222/(O222/30),"")</f>
        <v>0</v>
      </c>
    </row>
    <row r="223" spans="10:20">
      <c r="J223">
        <f>IF($A223="","", SUMIFS(Mov_Qty, Mov_Item, $A223))</f>
        <v>0</v>
      </c>
      <c r="K223">
        <f>IF($A223="","", J223 * $E223)</f>
        <v>0</v>
      </c>
      <c r="L223">
        <f>IF($A223="","", SUMIFS(-Mov_Qty, Mov_Item, $A223, Mov_Type, "Consumption", Mov_Date, "&gt;="&amp;$V$2, Mov_Date, "&lt;="&amp;$W$2))</f>
        <v>0</v>
      </c>
      <c r="M223">
        <f>IF($A223="","", SUMIFS(-Mov_Qty, Mov_Item, $A223, Mov_Type, "Consumption", Mov_Date, "&gt;="&amp;$X$2, Mov_Date, "&lt;="&amp;$Y$2))</f>
        <v>0</v>
      </c>
      <c r="N223">
        <f>IF($A223="","", SUMIFS(-Mov_Qty, Mov_Item, $A223, Mov_Type, "Consumption", Mov_Date, "&gt;="&amp;$Z$2, Mov_Date, "&lt;="&amp;$AA$2))</f>
        <v>0</v>
      </c>
      <c r="O223">
        <f>IFERROR(AVERAGE(L223:N223),"")</f>
        <v>0</v>
      </c>
      <c r="P223">
        <f>IF(O223&gt;=Cfg_HiMove, "Yes", "")</f>
        <v>0</v>
      </c>
      <c r="Q223">
        <f>IF($A223="","", $I223 + IFERROR(O223/30*$H223,0))</f>
        <v>0</v>
      </c>
      <c r="R223">
        <f>IF($A223="","", IF(J223&lt;=$F223, "Yes", ""))</f>
        <v>0</v>
      </c>
      <c r="S223">
        <f>IF(R223="Yes", CEILING(MAX($G223, Q223-J223), $G223), 0)</f>
        <v>0</v>
      </c>
      <c r="T223">
        <f>IFERROR(J223/(O223/30),"")</f>
        <v>0</v>
      </c>
    </row>
    <row r="224" spans="10:20">
      <c r="J224">
        <f>IF($A224="","", SUMIFS(Mov_Qty, Mov_Item, $A224))</f>
        <v>0</v>
      </c>
      <c r="K224">
        <f>IF($A224="","", J224 * $E224)</f>
        <v>0</v>
      </c>
      <c r="L224">
        <f>IF($A224="","", SUMIFS(-Mov_Qty, Mov_Item, $A224, Mov_Type, "Consumption", Mov_Date, "&gt;="&amp;$V$2, Mov_Date, "&lt;="&amp;$W$2))</f>
        <v>0</v>
      </c>
      <c r="M224">
        <f>IF($A224="","", SUMIFS(-Mov_Qty, Mov_Item, $A224, Mov_Type, "Consumption", Mov_Date, "&gt;="&amp;$X$2, Mov_Date, "&lt;="&amp;$Y$2))</f>
        <v>0</v>
      </c>
      <c r="N224">
        <f>IF($A224="","", SUMIFS(-Mov_Qty, Mov_Item, $A224, Mov_Type, "Consumption", Mov_Date, "&gt;="&amp;$Z$2, Mov_Date, "&lt;="&amp;$AA$2))</f>
        <v>0</v>
      </c>
      <c r="O224">
        <f>IFERROR(AVERAGE(L224:N224),"")</f>
        <v>0</v>
      </c>
      <c r="P224">
        <f>IF(O224&gt;=Cfg_HiMove, "Yes", "")</f>
        <v>0</v>
      </c>
      <c r="Q224">
        <f>IF($A224="","", $I224 + IFERROR(O224/30*$H224,0))</f>
        <v>0</v>
      </c>
      <c r="R224">
        <f>IF($A224="","", IF(J224&lt;=$F224, "Yes", ""))</f>
        <v>0</v>
      </c>
      <c r="S224">
        <f>IF(R224="Yes", CEILING(MAX($G224, Q224-J224), $G224), 0)</f>
        <v>0</v>
      </c>
      <c r="T224">
        <f>IFERROR(J224/(O224/30),"")</f>
        <v>0</v>
      </c>
    </row>
    <row r="225" spans="10:20">
      <c r="J225">
        <f>IF($A225="","", SUMIFS(Mov_Qty, Mov_Item, $A225))</f>
        <v>0</v>
      </c>
      <c r="K225">
        <f>IF($A225="","", J225 * $E225)</f>
        <v>0</v>
      </c>
      <c r="L225">
        <f>IF($A225="","", SUMIFS(-Mov_Qty, Mov_Item, $A225, Mov_Type, "Consumption", Mov_Date, "&gt;="&amp;$V$2, Mov_Date, "&lt;="&amp;$W$2))</f>
        <v>0</v>
      </c>
      <c r="M225">
        <f>IF($A225="","", SUMIFS(-Mov_Qty, Mov_Item, $A225, Mov_Type, "Consumption", Mov_Date, "&gt;="&amp;$X$2, Mov_Date, "&lt;="&amp;$Y$2))</f>
        <v>0</v>
      </c>
      <c r="N225">
        <f>IF($A225="","", SUMIFS(-Mov_Qty, Mov_Item, $A225, Mov_Type, "Consumption", Mov_Date, "&gt;="&amp;$Z$2, Mov_Date, "&lt;="&amp;$AA$2))</f>
        <v>0</v>
      </c>
      <c r="O225">
        <f>IFERROR(AVERAGE(L225:N225),"")</f>
        <v>0</v>
      </c>
      <c r="P225">
        <f>IF(O225&gt;=Cfg_HiMove, "Yes", "")</f>
        <v>0</v>
      </c>
      <c r="Q225">
        <f>IF($A225="","", $I225 + IFERROR(O225/30*$H225,0))</f>
        <v>0</v>
      </c>
      <c r="R225">
        <f>IF($A225="","", IF(J225&lt;=$F225, "Yes", ""))</f>
        <v>0</v>
      </c>
      <c r="S225">
        <f>IF(R225="Yes", CEILING(MAX($G225, Q225-J225), $G225), 0)</f>
        <v>0</v>
      </c>
      <c r="T225">
        <f>IFERROR(J225/(O225/30),"")</f>
        <v>0</v>
      </c>
    </row>
    <row r="226" spans="10:20">
      <c r="J226">
        <f>IF($A226="","", SUMIFS(Mov_Qty, Mov_Item, $A226))</f>
        <v>0</v>
      </c>
      <c r="K226">
        <f>IF($A226="","", J226 * $E226)</f>
        <v>0</v>
      </c>
      <c r="L226">
        <f>IF($A226="","", SUMIFS(-Mov_Qty, Mov_Item, $A226, Mov_Type, "Consumption", Mov_Date, "&gt;="&amp;$V$2, Mov_Date, "&lt;="&amp;$W$2))</f>
        <v>0</v>
      </c>
      <c r="M226">
        <f>IF($A226="","", SUMIFS(-Mov_Qty, Mov_Item, $A226, Mov_Type, "Consumption", Mov_Date, "&gt;="&amp;$X$2, Mov_Date, "&lt;="&amp;$Y$2))</f>
        <v>0</v>
      </c>
      <c r="N226">
        <f>IF($A226="","", SUMIFS(-Mov_Qty, Mov_Item, $A226, Mov_Type, "Consumption", Mov_Date, "&gt;="&amp;$Z$2, Mov_Date, "&lt;="&amp;$AA$2))</f>
        <v>0</v>
      </c>
      <c r="O226">
        <f>IFERROR(AVERAGE(L226:N226),"")</f>
        <v>0</v>
      </c>
      <c r="P226">
        <f>IF(O226&gt;=Cfg_HiMove, "Yes", "")</f>
        <v>0</v>
      </c>
      <c r="Q226">
        <f>IF($A226="","", $I226 + IFERROR(O226/30*$H226,0))</f>
        <v>0</v>
      </c>
      <c r="R226">
        <f>IF($A226="","", IF(J226&lt;=$F226, "Yes", ""))</f>
        <v>0</v>
      </c>
      <c r="S226">
        <f>IF(R226="Yes", CEILING(MAX($G226, Q226-J226), $G226), 0)</f>
        <v>0</v>
      </c>
      <c r="T226">
        <f>IFERROR(J226/(O226/30),"")</f>
        <v>0</v>
      </c>
    </row>
    <row r="227" spans="10:20">
      <c r="J227">
        <f>IF($A227="","", SUMIFS(Mov_Qty, Mov_Item, $A227))</f>
        <v>0</v>
      </c>
      <c r="K227">
        <f>IF($A227="","", J227 * $E227)</f>
        <v>0</v>
      </c>
      <c r="L227">
        <f>IF($A227="","", SUMIFS(-Mov_Qty, Mov_Item, $A227, Mov_Type, "Consumption", Mov_Date, "&gt;="&amp;$V$2, Mov_Date, "&lt;="&amp;$W$2))</f>
        <v>0</v>
      </c>
      <c r="M227">
        <f>IF($A227="","", SUMIFS(-Mov_Qty, Mov_Item, $A227, Mov_Type, "Consumption", Mov_Date, "&gt;="&amp;$X$2, Mov_Date, "&lt;="&amp;$Y$2))</f>
        <v>0</v>
      </c>
      <c r="N227">
        <f>IF($A227="","", SUMIFS(-Mov_Qty, Mov_Item, $A227, Mov_Type, "Consumption", Mov_Date, "&gt;="&amp;$Z$2, Mov_Date, "&lt;="&amp;$AA$2))</f>
        <v>0</v>
      </c>
      <c r="O227">
        <f>IFERROR(AVERAGE(L227:N227),"")</f>
        <v>0</v>
      </c>
      <c r="P227">
        <f>IF(O227&gt;=Cfg_HiMove, "Yes", "")</f>
        <v>0</v>
      </c>
      <c r="Q227">
        <f>IF($A227="","", $I227 + IFERROR(O227/30*$H227,0))</f>
        <v>0</v>
      </c>
      <c r="R227">
        <f>IF($A227="","", IF(J227&lt;=$F227, "Yes", ""))</f>
        <v>0</v>
      </c>
      <c r="S227">
        <f>IF(R227="Yes", CEILING(MAX($G227, Q227-J227), $G227), 0)</f>
        <v>0</v>
      </c>
      <c r="T227">
        <f>IFERROR(J227/(O227/30),"")</f>
        <v>0</v>
      </c>
    </row>
    <row r="228" spans="10:20">
      <c r="J228">
        <f>IF($A228="","", SUMIFS(Mov_Qty, Mov_Item, $A228))</f>
        <v>0</v>
      </c>
      <c r="K228">
        <f>IF($A228="","", J228 * $E228)</f>
        <v>0</v>
      </c>
      <c r="L228">
        <f>IF($A228="","", SUMIFS(-Mov_Qty, Mov_Item, $A228, Mov_Type, "Consumption", Mov_Date, "&gt;="&amp;$V$2, Mov_Date, "&lt;="&amp;$W$2))</f>
        <v>0</v>
      </c>
      <c r="M228">
        <f>IF($A228="","", SUMIFS(-Mov_Qty, Mov_Item, $A228, Mov_Type, "Consumption", Mov_Date, "&gt;="&amp;$X$2, Mov_Date, "&lt;="&amp;$Y$2))</f>
        <v>0</v>
      </c>
      <c r="N228">
        <f>IF($A228="","", SUMIFS(-Mov_Qty, Mov_Item, $A228, Mov_Type, "Consumption", Mov_Date, "&gt;="&amp;$Z$2, Mov_Date, "&lt;="&amp;$AA$2))</f>
        <v>0</v>
      </c>
      <c r="O228">
        <f>IFERROR(AVERAGE(L228:N228),"")</f>
        <v>0</v>
      </c>
      <c r="P228">
        <f>IF(O228&gt;=Cfg_HiMove, "Yes", "")</f>
        <v>0</v>
      </c>
      <c r="Q228">
        <f>IF($A228="","", $I228 + IFERROR(O228/30*$H228,0))</f>
        <v>0</v>
      </c>
      <c r="R228">
        <f>IF($A228="","", IF(J228&lt;=$F228, "Yes", ""))</f>
        <v>0</v>
      </c>
      <c r="S228">
        <f>IF(R228="Yes", CEILING(MAX($G228, Q228-J228), $G228), 0)</f>
        <v>0</v>
      </c>
      <c r="T228">
        <f>IFERROR(J228/(O228/30),"")</f>
        <v>0</v>
      </c>
    </row>
    <row r="229" spans="10:20">
      <c r="J229">
        <f>IF($A229="","", SUMIFS(Mov_Qty, Mov_Item, $A229))</f>
        <v>0</v>
      </c>
      <c r="K229">
        <f>IF($A229="","", J229 * $E229)</f>
        <v>0</v>
      </c>
      <c r="L229">
        <f>IF($A229="","", SUMIFS(-Mov_Qty, Mov_Item, $A229, Mov_Type, "Consumption", Mov_Date, "&gt;="&amp;$V$2, Mov_Date, "&lt;="&amp;$W$2))</f>
        <v>0</v>
      </c>
      <c r="M229">
        <f>IF($A229="","", SUMIFS(-Mov_Qty, Mov_Item, $A229, Mov_Type, "Consumption", Mov_Date, "&gt;="&amp;$X$2, Mov_Date, "&lt;="&amp;$Y$2))</f>
        <v>0</v>
      </c>
      <c r="N229">
        <f>IF($A229="","", SUMIFS(-Mov_Qty, Mov_Item, $A229, Mov_Type, "Consumption", Mov_Date, "&gt;="&amp;$Z$2, Mov_Date, "&lt;="&amp;$AA$2))</f>
        <v>0</v>
      </c>
      <c r="O229">
        <f>IFERROR(AVERAGE(L229:N229),"")</f>
        <v>0</v>
      </c>
      <c r="P229">
        <f>IF(O229&gt;=Cfg_HiMove, "Yes", "")</f>
        <v>0</v>
      </c>
      <c r="Q229">
        <f>IF($A229="","", $I229 + IFERROR(O229/30*$H229,0))</f>
        <v>0</v>
      </c>
      <c r="R229">
        <f>IF($A229="","", IF(J229&lt;=$F229, "Yes", ""))</f>
        <v>0</v>
      </c>
      <c r="S229">
        <f>IF(R229="Yes", CEILING(MAX($G229, Q229-J229), $G229), 0)</f>
        <v>0</v>
      </c>
      <c r="T229">
        <f>IFERROR(J229/(O229/30),"")</f>
        <v>0</v>
      </c>
    </row>
    <row r="230" spans="10:20">
      <c r="J230">
        <f>IF($A230="","", SUMIFS(Mov_Qty, Mov_Item, $A230))</f>
        <v>0</v>
      </c>
      <c r="K230">
        <f>IF($A230="","", J230 * $E230)</f>
        <v>0</v>
      </c>
      <c r="L230">
        <f>IF($A230="","", SUMIFS(-Mov_Qty, Mov_Item, $A230, Mov_Type, "Consumption", Mov_Date, "&gt;="&amp;$V$2, Mov_Date, "&lt;="&amp;$W$2))</f>
        <v>0</v>
      </c>
      <c r="M230">
        <f>IF($A230="","", SUMIFS(-Mov_Qty, Mov_Item, $A230, Mov_Type, "Consumption", Mov_Date, "&gt;="&amp;$X$2, Mov_Date, "&lt;="&amp;$Y$2))</f>
        <v>0</v>
      </c>
      <c r="N230">
        <f>IF($A230="","", SUMIFS(-Mov_Qty, Mov_Item, $A230, Mov_Type, "Consumption", Mov_Date, "&gt;="&amp;$Z$2, Mov_Date, "&lt;="&amp;$AA$2))</f>
        <v>0</v>
      </c>
      <c r="O230">
        <f>IFERROR(AVERAGE(L230:N230),"")</f>
        <v>0</v>
      </c>
      <c r="P230">
        <f>IF(O230&gt;=Cfg_HiMove, "Yes", "")</f>
        <v>0</v>
      </c>
      <c r="Q230">
        <f>IF($A230="","", $I230 + IFERROR(O230/30*$H230,0))</f>
        <v>0</v>
      </c>
      <c r="R230">
        <f>IF($A230="","", IF(J230&lt;=$F230, "Yes", ""))</f>
        <v>0</v>
      </c>
      <c r="S230">
        <f>IF(R230="Yes", CEILING(MAX($G230, Q230-J230), $G230), 0)</f>
        <v>0</v>
      </c>
      <c r="T230">
        <f>IFERROR(J230/(O230/30),"")</f>
        <v>0</v>
      </c>
    </row>
    <row r="231" spans="10:20">
      <c r="J231">
        <f>IF($A231="","", SUMIFS(Mov_Qty, Mov_Item, $A231))</f>
        <v>0</v>
      </c>
      <c r="K231">
        <f>IF($A231="","", J231 * $E231)</f>
        <v>0</v>
      </c>
      <c r="L231">
        <f>IF($A231="","", SUMIFS(-Mov_Qty, Mov_Item, $A231, Mov_Type, "Consumption", Mov_Date, "&gt;="&amp;$V$2, Mov_Date, "&lt;="&amp;$W$2))</f>
        <v>0</v>
      </c>
      <c r="M231">
        <f>IF($A231="","", SUMIFS(-Mov_Qty, Mov_Item, $A231, Mov_Type, "Consumption", Mov_Date, "&gt;="&amp;$X$2, Mov_Date, "&lt;="&amp;$Y$2))</f>
        <v>0</v>
      </c>
      <c r="N231">
        <f>IF($A231="","", SUMIFS(-Mov_Qty, Mov_Item, $A231, Mov_Type, "Consumption", Mov_Date, "&gt;="&amp;$Z$2, Mov_Date, "&lt;="&amp;$AA$2))</f>
        <v>0</v>
      </c>
      <c r="O231">
        <f>IFERROR(AVERAGE(L231:N231),"")</f>
        <v>0</v>
      </c>
      <c r="P231">
        <f>IF(O231&gt;=Cfg_HiMove, "Yes", "")</f>
        <v>0</v>
      </c>
      <c r="Q231">
        <f>IF($A231="","", $I231 + IFERROR(O231/30*$H231,0))</f>
        <v>0</v>
      </c>
      <c r="R231">
        <f>IF($A231="","", IF(J231&lt;=$F231, "Yes", ""))</f>
        <v>0</v>
      </c>
      <c r="S231">
        <f>IF(R231="Yes", CEILING(MAX($G231, Q231-J231), $G231), 0)</f>
        <v>0</v>
      </c>
      <c r="T231">
        <f>IFERROR(J231/(O231/30),"")</f>
        <v>0</v>
      </c>
    </row>
    <row r="232" spans="10:20">
      <c r="J232">
        <f>IF($A232="","", SUMIFS(Mov_Qty, Mov_Item, $A232))</f>
        <v>0</v>
      </c>
      <c r="K232">
        <f>IF($A232="","", J232 * $E232)</f>
        <v>0</v>
      </c>
      <c r="L232">
        <f>IF($A232="","", SUMIFS(-Mov_Qty, Mov_Item, $A232, Mov_Type, "Consumption", Mov_Date, "&gt;="&amp;$V$2, Mov_Date, "&lt;="&amp;$W$2))</f>
        <v>0</v>
      </c>
      <c r="M232">
        <f>IF($A232="","", SUMIFS(-Mov_Qty, Mov_Item, $A232, Mov_Type, "Consumption", Mov_Date, "&gt;="&amp;$X$2, Mov_Date, "&lt;="&amp;$Y$2))</f>
        <v>0</v>
      </c>
      <c r="N232">
        <f>IF($A232="","", SUMIFS(-Mov_Qty, Mov_Item, $A232, Mov_Type, "Consumption", Mov_Date, "&gt;="&amp;$Z$2, Mov_Date, "&lt;="&amp;$AA$2))</f>
        <v>0</v>
      </c>
      <c r="O232">
        <f>IFERROR(AVERAGE(L232:N232),"")</f>
        <v>0</v>
      </c>
      <c r="P232">
        <f>IF(O232&gt;=Cfg_HiMove, "Yes", "")</f>
        <v>0</v>
      </c>
      <c r="Q232">
        <f>IF($A232="","", $I232 + IFERROR(O232/30*$H232,0))</f>
        <v>0</v>
      </c>
      <c r="R232">
        <f>IF($A232="","", IF(J232&lt;=$F232, "Yes", ""))</f>
        <v>0</v>
      </c>
      <c r="S232">
        <f>IF(R232="Yes", CEILING(MAX($G232, Q232-J232), $G232), 0)</f>
        <v>0</v>
      </c>
      <c r="T232">
        <f>IFERROR(J232/(O232/30),"")</f>
        <v>0</v>
      </c>
    </row>
    <row r="233" spans="10:20">
      <c r="J233">
        <f>IF($A233="","", SUMIFS(Mov_Qty, Mov_Item, $A233))</f>
        <v>0</v>
      </c>
      <c r="K233">
        <f>IF($A233="","", J233 * $E233)</f>
        <v>0</v>
      </c>
      <c r="L233">
        <f>IF($A233="","", SUMIFS(-Mov_Qty, Mov_Item, $A233, Mov_Type, "Consumption", Mov_Date, "&gt;="&amp;$V$2, Mov_Date, "&lt;="&amp;$W$2))</f>
        <v>0</v>
      </c>
      <c r="M233">
        <f>IF($A233="","", SUMIFS(-Mov_Qty, Mov_Item, $A233, Mov_Type, "Consumption", Mov_Date, "&gt;="&amp;$X$2, Mov_Date, "&lt;="&amp;$Y$2))</f>
        <v>0</v>
      </c>
      <c r="N233">
        <f>IF($A233="","", SUMIFS(-Mov_Qty, Mov_Item, $A233, Mov_Type, "Consumption", Mov_Date, "&gt;="&amp;$Z$2, Mov_Date, "&lt;="&amp;$AA$2))</f>
        <v>0</v>
      </c>
      <c r="O233">
        <f>IFERROR(AVERAGE(L233:N233),"")</f>
        <v>0</v>
      </c>
      <c r="P233">
        <f>IF(O233&gt;=Cfg_HiMove, "Yes", "")</f>
        <v>0</v>
      </c>
      <c r="Q233">
        <f>IF($A233="","", $I233 + IFERROR(O233/30*$H233,0))</f>
        <v>0</v>
      </c>
      <c r="R233">
        <f>IF($A233="","", IF(J233&lt;=$F233, "Yes", ""))</f>
        <v>0</v>
      </c>
      <c r="S233">
        <f>IF(R233="Yes", CEILING(MAX($G233, Q233-J233), $G233), 0)</f>
        <v>0</v>
      </c>
      <c r="T233">
        <f>IFERROR(J233/(O233/30),"")</f>
        <v>0</v>
      </c>
    </row>
    <row r="234" spans="10:20">
      <c r="J234">
        <f>IF($A234="","", SUMIFS(Mov_Qty, Mov_Item, $A234))</f>
        <v>0</v>
      </c>
      <c r="K234">
        <f>IF($A234="","", J234 * $E234)</f>
        <v>0</v>
      </c>
      <c r="L234">
        <f>IF($A234="","", SUMIFS(-Mov_Qty, Mov_Item, $A234, Mov_Type, "Consumption", Mov_Date, "&gt;="&amp;$V$2, Mov_Date, "&lt;="&amp;$W$2))</f>
        <v>0</v>
      </c>
      <c r="M234">
        <f>IF($A234="","", SUMIFS(-Mov_Qty, Mov_Item, $A234, Mov_Type, "Consumption", Mov_Date, "&gt;="&amp;$X$2, Mov_Date, "&lt;="&amp;$Y$2))</f>
        <v>0</v>
      </c>
      <c r="N234">
        <f>IF($A234="","", SUMIFS(-Mov_Qty, Mov_Item, $A234, Mov_Type, "Consumption", Mov_Date, "&gt;="&amp;$Z$2, Mov_Date, "&lt;="&amp;$AA$2))</f>
        <v>0</v>
      </c>
      <c r="O234">
        <f>IFERROR(AVERAGE(L234:N234),"")</f>
        <v>0</v>
      </c>
      <c r="P234">
        <f>IF(O234&gt;=Cfg_HiMove, "Yes", "")</f>
        <v>0</v>
      </c>
      <c r="Q234">
        <f>IF($A234="","", $I234 + IFERROR(O234/30*$H234,0))</f>
        <v>0</v>
      </c>
      <c r="R234">
        <f>IF($A234="","", IF(J234&lt;=$F234, "Yes", ""))</f>
        <v>0</v>
      </c>
      <c r="S234">
        <f>IF(R234="Yes", CEILING(MAX($G234, Q234-J234), $G234), 0)</f>
        <v>0</v>
      </c>
      <c r="T234">
        <f>IFERROR(J234/(O234/30),"")</f>
        <v>0</v>
      </c>
    </row>
    <row r="235" spans="10:20">
      <c r="J235">
        <f>IF($A235="","", SUMIFS(Mov_Qty, Mov_Item, $A235))</f>
        <v>0</v>
      </c>
      <c r="K235">
        <f>IF($A235="","", J235 * $E235)</f>
        <v>0</v>
      </c>
      <c r="L235">
        <f>IF($A235="","", SUMIFS(-Mov_Qty, Mov_Item, $A235, Mov_Type, "Consumption", Mov_Date, "&gt;="&amp;$V$2, Mov_Date, "&lt;="&amp;$W$2))</f>
        <v>0</v>
      </c>
      <c r="M235">
        <f>IF($A235="","", SUMIFS(-Mov_Qty, Mov_Item, $A235, Mov_Type, "Consumption", Mov_Date, "&gt;="&amp;$X$2, Mov_Date, "&lt;="&amp;$Y$2))</f>
        <v>0</v>
      </c>
      <c r="N235">
        <f>IF($A235="","", SUMIFS(-Mov_Qty, Mov_Item, $A235, Mov_Type, "Consumption", Mov_Date, "&gt;="&amp;$Z$2, Mov_Date, "&lt;="&amp;$AA$2))</f>
        <v>0</v>
      </c>
      <c r="O235">
        <f>IFERROR(AVERAGE(L235:N235),"")</f>
        <v>0</v>
      </c>
      <c r="P235">
        <f>IF(O235&gt;=Cfg_HiMove, "Yes", "")</f>
        <v>0</v>
      </c>
      <c r="Q235">
        <f>IF($A235="","", $I235 + IFERROR(O235/30*$H235,0))</f>
        <v>0</v>
      </c>
      <c r="R235">
        <f>IF($A235="","", IF(J235&lt;=$F235, "Yes", ""))</f>
        <v>0</v>
      </c>
      <c r="S235">
        <f>IF(R235="Yes", CEILING(MAX($G235, Q235-J235), $G235), 0)</f>
        <v>0</v>
      </c>
      <c r="T235">
        <f>IFERROR(J235/(O235/30),"")</f>
        <v>0</v>
      </c>
    </row>
    <row r="236" spans="10:20">
      <c r="J236">
        <f>IF($A236="","", SUMIFS(Mov_Qty, Mov_Item, $A236))</f>
        <v>0</v>
      </c>
      <c r="K236">
        <f>IF($A236="","", J236 * $E236)</f>
        <v>0</v>
      </c>
      <c r="L236">
        <f>IF($A236="","", SUMIFS(-Mov_Qty, Mov_Item, $A236, Mov_Type, "Consumption", Mov_Date, "&gt;="&amp;$V$2, Mov_Date, "&lt;="&amp;$W$2))</f>
        <v>0</v>
      </c>
      <c r="M236">
        <f>IF($A236="","", SUMIFS(-Mov_Qty, Mov_Item, $A236, Mov_Type, "Consumption", Mov_Date, "&gt;="&amp;$X$2, Mov_Date, "&lt;="&amp;$Y$2))</f>
        <v>0</v>
      </c>
      <c r="N236">
        <f>IF($A236="","", SUMIFS(-Mov_Qty, Mov_Item, $A236, Mov_Type, "Consumption", Mov_Date, "&gt;="&amp;$Z$2, Mov_Date, "&lt;="&amp;$AA$2))</f>
        <v>0</v>
      </c>
      <c r="O236">
        <f>IFERROR(AVERAGE(L236:N236),"")</f>
        <v>0</v>
      </c>
      <c r="P236">
        <f>IF(O236&gt;=Cfg_HiMove, "Yes", "")</f>
        <v>0</v>
      </c>
      <c r="Q236">
        <f>IF($A236="","", $I236 + IFERROR(O236/30*$H236,0))</f>
        <v>0</v>
      </c>
      <c r="R236">
        <f>IF($A236="","", IF(J236&lt;=$F236, "Yes", ""))</f>
        <v>0</v>
      </c>
      <c r="S236">
        <f>IF(R236="Yes", CEILING(MAX($G236, Q236-J236), $G236), 0)</f>
        <v>0</v>
      </c>
      <c r="T236">
        <f>IFERROR(J236/(O236/30),"")</f>
        <v>0</v>
      </c>
    </row>
    <row r="237" spans="10:20">
      <c r="J237">
        <f>IF($A237="","", SUMIFS(Mov_Qty, Mov_Item, $A237))</f>
        <v>0</v>
      </c>
      <c r="K237">
        <f>IF($A237="","", J237 * $E237)</f>
        <v>0</v>
      </c>
      <c r="L237">
        <f>IF($A237="","", SUMIFS(-Mov_Qty, Mov_Item, $A237, Mov_Type, "Consumption", Mov_Date, "&gt;="&amp;$V$2, Mov_Date, "&lt;="&amp;$W$2))</f>
        <v>0</v>
      </c>
      <c r="M237">
        <f>IF($A237="","", SUMIFS(-Mov_Qty, Mov_Item, $A237, Mov_Type, "Consumption", Mov_Date, "&gt;="&amp;$X$2, Mov_Date, "&lt;="&amp;$Y$2))</f>
        <v>0</v>
      </c>
      <c r="N237">
        <f>IF($A237="","", SUMIFS(-Mov_Qty, Mov_Item, $A237, Mov_Type, "Consumption", Mov_Date, "&gt;="&amp;$Z$2, Mov_Date, "&lt;="&amp;$AA$2))</f>
        <v>0</v>
      </c>
      <c r="O237">
        <f>IFERROR(AVERAGE(L237:N237),"")</f>
        <v>0</v>
      </c>
      <c r="P237">
        <f>IF(O237&gt;=Cfg_HiMove, "Yes", "")</f>
        <v>0</v>
      </c>
      <c r="Q237">
        <f>IF($A237="","", $I237 + IFERROR(O237/30*$H237,0))</f>
        <v>0</v>
      </c>
      <c r="R237">
        <f>IF($A237="","", IF(J237&lt;=$F237, "Yes", ""))</f>
        <v>0</v>
      </c>
      <c r="S237">
        <f>IF(R237="Yes", CEILING(MAX($G237, Q237-J237), $G237), 0)</f>
        <v>0</v>
      </c>
      <c r="T237">
        <f>IFERROR(J237/(O237/30),"")</f>
        <v>0</v>
      </c>
    </row>
    <row r="238" spans="10:20">
      <c r="J238">
        <f>IF($A238="","", SUMIFS(Mov_Qty, Mov_Item, $A238))</f>
        <v>0</v>
      </c>
      <c r="K238">
        <f>IF($A238="","", J238 * $E238)</f>
        <v>0</v>
      </c>
      <c r="L238">
        <f>IF($A238="","", SUMIFS(-Mov_Qty, Mov_Item, $A238, Mov_Type, "Consumption", Mov_Date, "&gt;="&amp;$V$2, Mov_Date, "&lt;="&amp;$W$2))</f>
        <v>0</v>
      </c>
      <c r="M238">
        <f>IF($A238="","", SUMIFS(-Mov_Qty, Mov_Item, $A238, Mov_Type, "Consumption", Mov_Date, "&gt;="&amp;$X$2, Mov_Date, "&lt;="&amp;$Y$2))</f>
        <v>0</v>
      </c>
      <c r="N238">
        <f>IF($A238="","", SUMIFS(-Mov_Qty, Mov_Item, $A238, Mov_Type, "Consumption", Mov_Date, "&gt;="&amp;$Z$2, Mov_Date, "&lt;="&amp;$AA$2))</f>
        <v>0</v>
      </c>
      <c r="O238">
        <f>IFERROR(AVERAGE(L238:N238),"")</f>
        <v>0</v>
      </c>
      <c r="P238">
        <f>IF(O238&gt;=Cfg_HiMove, "Yes", "")</f>
        <v>0</v>
      </c>
      <c r="Q238">
        <f>IF($A238="","", $I238 + IFERROR(O238/30*$H238,0))</f>
        <v>0</v>
      </c>
      <c r="R238">
        <f>IF($A238="","", IF(J238&lt;=$F238, "Yes", ""))</f>
        <v>0</v>
      </c>
      <c r="S238">
        <f>IF(R238="Yes", CEILING(MAX($G238, Q238-J238), $G238), 0)</f>
        <v>0</v>
      </c>
      <c r="T238">
        <f>IFERROR(J238/(O238/30),"")</f>
        <v>0</v>
      </c>
    </row>
    <row r="239" spans="10:20">
      <c r="J239">
        <f>IF($A239="","", SUMIFS(Mov_Qty, Mov_Item, $A239))</f>
        <v>0</v>
      </c>
      <c r="K239">
        <f>IF($A239="","", J239 * $E239)</f>
        <v>0</v>
      </c>
      <c r="L239">
        <f>IF($A239="","", SUMIFS(-Mov_Qty, Mov_Item, $A239, Mov_Type, "Consumption", Mov_Date, "&gt;="&amp;$V$2, Mov_Date, "&lt;="&amp;$W$2))</f>
        <v>0</v>
      </c>
      <c r="M239">
        <f>IF($A239="","", SUMIFS(-Mov_Qty, Mov_Item, $A239, Mov_Type, "Consumption", Mov_Date, "&gt;="&amp;$X$2, Mov_Date, "&lt;="&amp;$Y$2))</f>
        <v>0</v>
      </c>
      <c r="N239">
        <f>IF($A239="","", SUMIFS(-Mov_Qty, Mov_Item, $A239, Mov_Type, "Consumption", Mov_Date, "&gt;="&amp;$Z$2, Mov_Date, "&lt;="&amp;$AA$2))</f>
        <v>0</v>
      </c>
      <c r="O239">
        <f>IFERROR(AVERAGE(L239:N239),"")</f>
        <v>0</v>
      </c>
      <c r="P239">
        <f>IF(O239&gt;=Cfg_HiMove, "Yes", "")</f>
        <v>0</v>
      </c>
      <c r="Q239">
        <f>IF($A239="","", $I239 + IFERROR(O239/30*$H239,0))</f>
        <v>0</v>
      </c>
      <c r="R239">
        <f>IF($A239="","", IF(J239&lt;=$F239, "Yes", ""))</f>
        <v>0</v>
      </c>
      <c r="S239">
        <f>IF(R239="Yes", CEILING(MAX($G239, Q239-J239), $G239), 0)</f>
        <v>0</v>
      </c>
      <c r="T239">
        <f>IFERROR(J239/(O239/30),"")</f>
        <v>0</v>
      </c>
    </row>
    <row r="240" spans="10:20">
      <c r="J240">
        <f>IF($A240="","", SUMIFS(Mov_Qty, Mov_Item, $A240))</f>
        <v>0</v>
      </c>
      <c r="K240">
        <f>IF($A240="","", J240 * $E240)</f>
        <v>0</v>
      </c>
      <c r="L240">
        <f>IF($A240="","", SUMIFS(-Mov_Qty, Mov_Item, $A240, Mov_Type, "Consumption", Mov_Date, "&gt;="&amp;$V$2, Mov_Date, "&lt;="&amp;$W$2))</f>
        <v>0</v>
      </c>
      <c r="M240">
        <f>IF($A240="","", SUMIFS(-Mov_Qty, Mov_Item, $A240, Mov_Type, "Consumption", Mov_Date, "&gt;="&amp;$X$2, Mov_Date, "&lt;="&amp;$Y$2))</f>
        <v>0</v>
      </c>
      <c r="N240">
        <f>IF($A240="","", SUMIFS(-Mov_Qty, Mov_Item, $A240, Mov_Type, "Consumption", Mov_Date, "&gt;="&amp;$Z$2, Mov_Date, "&lt;="&amp;$AA$2))</f>
        <v>0</v>
      </c>
      <c r="O240">
        <f>IFERROR(AVERAGE(L240:N240),"")</f>
        <v>0</v>
      </c>
      <c r="P240">
        <f>IF(O240&gt;=Cfg_HiMove, "Yes", "")</f>
        <v>0</v>
      </c>
      <c r="Q240">
        <f>IF($A240="","", $I240 + IFERROR(O240/30*$H240,0))</f>
        <v>0</v>
      </c>
      <c r="R240">
        <f>IF($A240="","", IF(J240&lt;=$F240, "Yes", ""))</f>
        <v>0</v>
      </c>
      <c r="S240">
        <f>IF(R240="Yes", CEILING(MAX($G240, Q240-J240), $G240), 0)</f>
        <v>0</v>
      </c>
      <c r="T240">
        <f>IFERROR(J240/(O240/30),"")</f>
        <v>0</v>
      </c>
    </row>
    <row r="241" spans="10:20">
      <c r="J241">
        <f>IF($A241="","", SUMIFS(Mov_Qty, Mov_Item, $A241))</f>
        <v>0</v>
      </c>
      <c r="K241">
        <f>IF($A241="","", J241 * $E241)</f>
        <v>0</v>
      </c>
      <c r="L241">
        <f>IF($A241="","", SUMIFS(-Mov_Qty, Mov_Item, $A241, Mov_Type, "Consumption", Mov_Date, "&gt;="&amp;$V$2, Mov_Date, "&lt;="&amp;$W$2))</f>
        <v>0</v>
      </c>
      <c r="M241">
        <f>IF($A241="","", SUMIFS(-Mov_Qty, Mov_Item, $A241, Mov_Type, "Consumption", Mov_Date, "&gt;="&amp;$X$2, Mov_Date, "&lt;="&amp;$Y$2))</f>
        <v>0</v>
      </c>
      <c r="N241">
        <f>IF($A241="","", SUMIFS(-Mov_Qty, Mov_Item, $A241, Mov_Type, "Consumption", Mov_Date, "&gt;="&amp;$Z$2, Mov_Date, "&lt;="&amp;$AA$2))</f>
        <v>0</v>
      </c>
      <c r="O241">
        <f>IFERROR(AVERAGE(L241:N241),"")</f>
        <v>0</v>
      </c>
      <c r="P241">
        <f>IF(O241&gt;=Cfg_HiMove, "Yes", "")</f>
        <v>0</v>
      </c>
      <c r="Q241">
        <f>IF($A241="","", $I241 + IFERROR(O241/30*$H241,0))</f>
        <v>0</v>
      </c>
      <c r="R241">
        <f>IF($A241="","", IF(J241&lt;=$F241, "Yes", ""))</f>
        <v>0</v>
      </c>
      <c r="S241">
        <f>IF(R241="Yes", CEILING(MAX($G241, Q241-J241), $G241), 0)</f>
        <v>0</v>
      </c>
      <c r="T241">
        <f>IFERROR(J241/(O241/30),"")</f>
        <v>0</v>
      </c>
    </row>
    <row r="242" spans="10:20">
      <c r="J242">
        <f>IF($A242="","", SUMIFS(Mov_Qty, Mov_Item, $A242))</f>
        <v>0</v>
      </c>
      <c r="K242">
        <f>IF($A242="","", J242 * $E242)</f>
        <v>0</v>
      </c>
      <c r="L242">
        <f>IF($A242="","", SUMIFS(-Mov_Qty, Mov_Item, $A242, Mov_Type, "Consumption", Mov_Date, "&gt;="&amp;$V$2, Mov_Date, "&lt;="&amp;$W$2))</f>
        <v>0</v>
      </c>
      <c r="M242">
        <f>IF($A242="","", SUMIFS(-Mov_Qty, Mov_Item, $A242, Mov_Type, "Consumption", Mov_Date, "&gt;="&amp;$X$2, Mov_Date, "&lt;="&amp;$Y$2))</f>
        <v>0</v>
      </c>
      <c r="N242">
        <f>IF($A242="","", SUMIFS(-Mov_Qty, Mov_Item, $A242, Mov_Type, "Consumption", Mov_Date, "&gt;="&amp;$Z$2, Mov_Date, "&lt;="&amp;$AA$2))</f>
        <v>0</v>
      </c>
      <c r="O242">
        <f>IFERROR(AVERAGE(L242:N242),"")</f>
        <v>0</v>
      </c>
      <c r="P242">
        <f>IF(O242&gt;=Cfg_HiMove, "Yes", "")</f>
        <v>0</v>
      </c>
      <c r="Q242">
        <f>IF($A242="","", $I242 + IFERROR(O242/30*$H242,0))</f>
        <v>0</v>
      </c>
      <c r="R242">
        <f>IF($A242="","", IF(J242&lt;=$F242, "Yes", ""))</f>
        <v>0</v>
      </c>
      <c r="S242">
        <f>IF(R242="Yes", CEILING(MAX($G242, Q242-J242), $G242), 0)</f>
        <v>0</v>
      </c>
      <c r="T242">
        <f>IFERROR(J242/(O242/30),"")</f>
        <v>0</v>
      </c>
    </row>
    <row r="243" spans="10:20">
      <c r="J243">
        <f>IF($A243="","", SUMIFS(Mov_Qty, Mov_Item, $A243))</f>
        <v>0</v>
      </c>
      <c r="K243">
        <f>IF($A243="","", J243 * $E243)</f>
        <v>0</v>
      </c>
      <c r="L243">
        <f>IF($A243="","", SUMIFS(-Mov_Qty, Mov_Item, $A243, Mov_Type, "Consumption", Mov_Date, "&gt;="&amp;$V$2, Mov_Date, "&lt;="&amp;$W$2))</f>
        <v>0</v>
      </c>
      <c r="M243">
        <f>IF($A243="","", SUMIFS(-Mov_Qty, Mov_Item, $A243, Mov_Type, "Consumption", Mov_Date, "&gt;="&amp;$X$2, Mov_Date, "&lt;="&amp;$Y$2))</f>
        <v>0</v>
      </c>
      <c r="N243">
        <f>IF($A243="","", SUMIFS(-Mov_Qty, Mov_Item, $A243, Mov_Type, "Consumption", Mov_Date, "&gt;="&amp;$Z$2, Mov_Date, "&lt;="&amp;$AA$2))</f>
        <v>0</v>
      </c>
      <c r="O243">
        <f>IFERROR(AVERAGE(L243:N243),"")</f>
        <v>0</v>
      </c>
      <c r="P243">
        <f>IF(O243&gt;=Cfg_HiMove, "Yes", "")</f>
        <v>0</v>
      </c>
      <c r="Q243">
        <f>IF($A243="","", $I243 + IFERROR(O243/30*$H243,0))</f>
        <v>0</v>
      </c>
      <c r="R243">
        <f>IF($A243="","", IF(J243&lt;=$F243, "Yes", ""))</f>
        <v>0</v>
      </c>
      <c r="S243">
        <f>IF(R243="Yes", CEILING(MAX($G243, Q243-J243), $G243), 0)</f>
        <v>0</v>
      </c>
      <c r="T243">
        <f>IFERROR(J243/(O243/30),"")</f>
        <v>0</v>
      </c>
    </row>
    <row r="244" spans="10:20">
      <c r="J244">
        <f>IF($A244="","", SUMIFS(Mov_Qty, Mov_Item, $A244))</f>
        <v>0</v>
      </c>
      <c r="K244">
        <f>IF($A244="","", J244 * $E244)</f>
        <v>0</v>
      </c>
      <c r="L244">
        <f>IF($A244="","", SUMIFS(-Mov_Qty, Mov_Item, $A244, Mov_Type, "Consumption", Mov_Date, "&gt;="&amp;$V$2, Mov_Date, "&lt;="&amp;$W$2))</f>
        <v>0</v>
      </c>
      <c r="M244">
        <f>IF($A244="","", SUMIFS(-Mov_Qty, Mov_Item, $A244, Mov_Type, "Consumption", Mov_Date, "&gt;="&amp;$X$2, Mov_Date, "&lt;="&amp;$Y$2))</f>
        <v>0</v>
      </c>
      <c r="N244">
        <f>IF($A244="","", SUMIFS(-Mov_Qty, Mov_Item, $A244, Mov_Type, "Consumption", Mov_Date, "&gt;="&amp;$Z$2, Mov_Date, "&lt;="&amp;$AA$2))</f>
        <v>0</v>
      </c>
      <c r="O244">
        <f>IFERROR(AVERAGE(L244:N244),"")</f>
        <v>0</v>
      </c>
      <c r="P244">
        <f>IF(O244&gt;=Cfg_HiMove, "Yes", "")</f>
        <v>0</v>
      </c>
      <c r="Q244">
        <f>IF($A244="","", $I244 + IFERROR(O244/30*$H244,0))</f>
        <v>0</v>
      </c>
      <c r="R244">
        <f>IF($A244="","", IF(J244&lt;=$F244, "Yes", ""))</f>
        <v>0</v>
      </c>
      <c r="S244">
        <f>IF(R244="Yes", CEILING(MAX($G244, Q244-J244), $G244), 0)</f>
        <v>0</v>
      </c>
      <c r="T244">
        <f>IFERROR(J244/(O244/30),"")</f>
        <v>0</v>
      </c>
    </row>
    <row r="245" spans="10:20">
      <c r="J245">
        <f>IF($A245="","", SUMIFS(Mov_Qty, Mov_Item, $A245))</f>
        <v>0</v>
      </c>
      <c r="K245">
        <f>IF($A245="","", J245 * $E245)</f>
        <v>0</v>
      </c>
      <c r="L245">
        <f>IF($A245="","", SUMIFS(-Mov_Qty, Mov_Item, $A245, Mov_Type, "Consumption", Mov_Date, "&gt;="&amp;$V$2, Mov_Date, "&lt;="&amp;$W$2))</f>
        <v>0</v>
      </c>
      <c r="M245">
        <f>IF($A245="","", SUMIFS(-Mov_Qty, Mov_Item, $A245, Mov_Type, "Consumption", Mov_Date, "&gt;="&amp;$X$2, Mov_Date, "&lt;="&amp;$Y$2))</f>
        <v>0</v>
      </c>
      <c r="N245">
        <f>IF($A245="","", SUMIFS(-Mov_Qty, Mov_Item, $A245, Mov_Type, "Consumption", Mov_Date, "&gt;="&amp;$Z$2, Mov_Date, "&lt;="&amp;$AA$2))</f>
        <v>0</v>
      </c>
      <c r="O245">
        <f>IFERROR(AVERAGE(L245:N245),"")</f>
        <v>0</v>
      </c>
      <c r="P245">
        <f>IF(O245&gt;=Cfg_HiMove, "Yes", "")</f>
        <v>0</v>
      </c>
      <c r="Q245">
        <f>IF($A245="","", $I245 + IFERROR(O245/30*$H245,0))</f>
        <v>0</v>
      </c>
      <c r="R245">
        <f>IF($A245="","", IF(J245&lt;=$F245, "Yes", ""))</f>
        <v>0</v>
      </c>
      <c r="S245">
        <f>IF(R245="Yes", CEILING(MAX($G245, Q245-J245), $G245), 0)</f>
        <v>0</v>
      </c>
      <c r="T245">
        <f>IFERROR(J245/(O245/30),"")</f>
        <v>0</v>
      </c>
    </row>
    <row r="246" spans="10:20">
      <c r="J246">
        <f>IF($A246="","", SUMIFS(Mov_Qty, Mov_Item, $A246))</f>
        <v>0</v>
      </c>
      <c r="K246">
        <f>IF($A246="","", J246 * $E246)</f>
        <v>0</v>
      </c>
      <c r="L246">
        <f>IF($A246="","", SUMIFS(-Mov_Qty, Mov_Item, $A246, Mov_Type, "Consumption", Mov_Date, "&gt;="&amp;$V$2, Mov_Date, "&lt;="&amp;$W$2))</f>
        <v>0</v>
      </c>
      <c r="M246">
        <f>IF($A246="","", SUMIFS(-Mov_Qty, Mov_Item, $A246, Mov_Type, "Consumption", Mov_Date, "&gt;="&amp;$X$2, Mov_Date, "&lt;="&amp;$Y$2))</f>
        <v>0</v>
      </c>
      <c r="N246">
        <f>IF($A246="","", SUMIFS(-Mov_Qty, Mov_Item, $A246, Mov_Type, "Consumption", Mov_Date, "&gt;="&amp;$Z$2, Mov_Date, "&lt;="&amp;$AA$2))</f>
        <v>0</v>
      </c>
      <c r="O246">
        <f>IFERROR(AVERAGE(L246:N246),"")</f>
        <v>0</v>
      </c>
      <c r="P246">
        <f>IF(O246&gt;=Cfg_HiMove, "Yes", "")</f>
        <v>0</v>
      </c>
      <c r="Q246">
        <f>IF($A246="","", $I246 + IFERROR(O246/30*$H246,0))</f>
        <v>0</v>
      </c>
      <c r="R246">
        <f>IF($A246="","", IF(J246&lt;=$F246, "Yes", ""))</f>
        <v>0</v>
      </c>
      <c r="S246">
        <f>IF(R246="Yes", CEILING(MAX($G246, Q246-J246), $G246), 0)</f>
        <v>0</v>
      </c>
      <c r="T246">
        <f>IFERROR(J246/(O246/30),"")</f>
        <v>0</v>
      </c>
    </row>
    <row r="247" spans="10:20">
      <c r="J247">
        <f>IF($A247="","", SUMIFS(Mov_Qty, Mov_Item, $A247))</f>
        <v>0</v>
      </c>
      <c r="K247">
        <f>IF($A247="","", J247 * $E247)</f>
        <v>0</v>
      </c>
      <c r="L247">
        <f>IF($A247="","", SUMIFS(-Mov_Qty, Mov_Item, $A247, Mov_Type, "Consumption", Mov_Date, "&gt;="&amp;$V$2, Mov_Date, "&lt;="&amp;$W$2))</f>
        <v>0</v>
      </c>
      <c r="M247">
        <f>IF($A247="","", SUMIFS(-Mov_Qty, Mov_Item, $A247, Mov_Type, "Consumption", Mov_Date, "&gt;="&amp;$X$2, Mov_Date, "&lt;="&amp;$Y$2))</f>
        <v>0</v>
      </c>
      <c r="N247">
        <f>IF($A247="","", SUMIFS(-Mov_Qty, Mov_Item, $A247, Mov_Type, "Consumption", Mov_Date, "&gt;="&amp;$Z$2, Mov_Date, "&lt;="&amp;$AA$2))</f>
        <v>0</v>
      </c>
      <c r="O247">
        <f>IFERROR(AVERAGE(L247:N247),"")</f>
        <v>0</v>
      </c>
      <c r="P247">
        <f>IF(O247&gt;=Cfg_HiMove, "Yes", "")</f>
        <v>0</v>
      </c>
      <c r="Q247">
        <f>IF($A247="","", $I247 + IFERROR(O247/30*$H247,0))</f>
        <v>0</v>
      </c>
      <c r="R247">
        <f>IF($A247="","", IF(J247&lt;=$F247, "Yes", ""))</f>
        <v>0</v>
      </c>
      <c r="S247">
        <f>IF(R247="Yes", CEILING(MAX($G247, Q247-J247), $G247), 0)</f>
        <v>0</v>
      </c>
      <c r="T247">
        <f>IFERROR(J247/(O247/30),"")</f>
        <v>0</v>
      </c>
    </row>
    <row r="248" spans="10:20">
      <c r="J248">
        <f>IF($A248="","", SUMIFS(Mov_Qty, Mov_Item, $A248))</f>
        <v>0</v>
      </c>
      <c r="K248">
        <f>IF($A248="","", J248 * $E248)</f>
        <v>0</v>
      </c>
      <c r="L248">
        <f>IF($A248="","", SUMIFS(-Mov_Qty, Mov_Item, $A248, Mov_Type, "Consumption", Mov_Date, "&gt;="&amp;$V$2, Mov_Date, "&lt;="&amp;$W$2))</f>
        <v>0</v>
      </c>
      <c r="M248">
        <f>IF($A248="","", SUMIFS(-Mov_Qty, Mov_Item, $A248, Mov_Type, "Consumption", Mov_Date, "&gt;="&amp;$X$2, Mov_Date, "&lt;="&amp;$Y$2))</f>
        <v>0</v>
      </c>
      <c r="N248">
        <f>IF($A248="","", SUMIFS(-Mov_Qty, Mov_Item, $A248, Mov_Type, "Consumption", Mov_Date, "&gt;="&amp;$Z$2, Mov_Date, "&lt;="&amp;$AA$2))</f>
        <v>0</v>
      </c>
      <c r="O248">
        <f>IFERROR(AVERAGE(L248:N248),"")</f>
        <v>0</v>
      </c>
      <c r="P248">
        <f>IF(O248&gt;=Cfg_HiMove, "Yes", "")</f>
        <v>0</v>
      </c>
      <c r="Q248">
        <f>IF($A248="","", $I248 + IFERROR(O248/30*$H248,0))</f>
        <v>0</v>
      </c>
      <c r="R248">
        <f>IF($A248="","", IF(J248&lt;=$F248, "Yes", ""))</f>
        <v>0</v>
      </c>
      <c r="S248">
        <f>IF(R248="Yes", CEILING(MAX($G248, Q248-J248), $G248), 0)</f>
        <v>0</v>
      </c>
      <c r="T248">
        <f>IFERROR(J248/(O248/30),"")</f>
        <v>0</v>
      </c>
    </row>
    <row r="249" spans="10:20">
      <c r="J249">
        <f>IF($A249="","", SUMIFS(Mov_Qty, Mov_Item, $A249))</f>
        <v>0</v>
      </c>
      <c r="K249">
        <f>IF($A249="","", J249 * $E249)</f>
        <v>0</v>
      </c>
      <c r="L249">
        <f>IF($A249="","", SUMIFS(-Mov_Qty, Mov_Item, $A249, Mov_Type, "Consumption", Mov_Date, "&gt;="&amp;$V$2, Mov_Date, "&lt;="&amp;$W$2))</f>
        <v>0</v>
      </c>
      <c r="M249">
        <f>IF($A249="","", SUMIFS(-Mov_Qty, Mov_Item, $A249, Mov_Type, "Consumption", Mov_Date, "&gt;="&amp;$X$2, Mov_Date, "&lt;="&amp;$Y$2))</f>
        <v>0</v>
      </c>
      <c r="N249">
        <f>IF($A249="","", SUMIFS(-Mov_Qty, Mov_Item, $A249, Mov_Type, "Consumption", Mov_Date, "&gt;="&amp;$Z$2, Mov_Date, "&lt;="&amp;$AA$2))</f>
        <v>0</v>
      </c>
      <c r="O249">
        <f>IFERROR(AVERAGE(L249:N249),"")</f>
        <v>0</v>
      </c>
      <c r="P249">
        <f>IF(O249&gt;=Cfg_HiMove, "Yes", "")</f>
        <v>0</v>
      </c>
      <c r="Q249">
        <f>IF($A249="","", $I249 + IFERROR(O249/30*$H249,0))</f>
        <v>0</v>
      </c>
      <c r="R249">
        <f>IF($A249="","", IF(J249&lt;=$F249, "Yes", ""))</f>
        <v>0</v>
      </c>
      <c r="S249">
        <f>IF(R249="Yes", CEILING(MAX($G249, Q249-J249), $G249), 0)</f>
        <v>0</v>
      </c>
      <c r="T249">
        <f>IFERROR(J249/(O249/30),"")</f>
        <v>0</v>
      </c>
    </row>
    <row r="250" spans="10:20">
      <c r="J250">
        <f>IF($A250="","", SUMIFS(Mov_Qty, Mov_Item, $A250))</f>
        <v>0</v>
      </c>
      <c r="K250">
        <f>IF($A250="","", J250 * $E250)</f>
        <v>0</v>
      </c>
      <c r="L250">
        <f>IF($A250="","", SUMIFS(-Mov_Qty, Mov_Item, $A250, Mov_Type, "Consumption", Mov_Date, "&gt;="&amp;$V$2, Mov_Date, "&lt;="&amp;$W$2))</f>
        <v>0</v>
      </c>
      <c r="M250">
        <f>IF($A250="","", SUMIFS(-Mov_Qty, Mov_Item, $A250, Mov_Type, "Consumption", Mov_Date, "&gt;="&amp;$X$2, Mov_Date, "&lt;="&amp;$Y$2))</f>
        <v>0</v>
      </c>
      <c r="N250">
        <f>IF($A250="","", SUMIFS(-Mov_Qty, Mov_Item, $A250, Mov_Type, "Consumption", Mov_Date, "&gt;="&amp;$Z$2, Mov_Date, "&lt;="&amp;$AA$2))</f>
        <v>0</v>
      </c>
      <c r="O250">
        <f>IFERROR(AVERAGE(L250:N250),"")</f>
        <v>0</v>
      </c>
      <c r="P250">
        <f>IF(O250&gt;=Cfg_HiMove, "Yes", "")</f>
        <v>0</v>
      </c>
      <c r="Q250">
        <f>IF($A250="","", $I250 + IFERROR(O250/30*$H250,0))</f>
        <v>0</v>
      </c>
      <c r="R250">
        <f>IF($A250="","", IF(J250&lt;=$F250, "Yes", ""))</f>
        <v>0</v>
      </c>
      <c r="S250">
        <f>IF(R250="Yes", CEILING(MAX($G250, Q250-J250), $G250), 0)</f>
        <v>0</v>
      </c>
      <c r="T250">
        <f>IFERROR(J250/(O250/30),"")</f>
        <v>0</v>
      </c>
    </row>
    <row r="251" spans="10:20">
      <c r="J251">
        <f>IF($A251="","", SUMIFS(Mov_Qty, Mov_Item, $A251))</f>
        <v>0</v>
      </c>
      <c r="K251">
        <f>IF($A251="","", J251 * $E251)</f>
        <v>0</v>
      </c>
      <c r="L251">
        <f>IF($A251="","", SUMIFS(-Mov_Qty, Mov_Item, $A251, Mov_Type, "Consumption", Mov_Date, "&gt;="&amp;$V$2, Mov_Date, "&lt;="&amp;$W$2))</f>
        <v>0</v>
      </c>
      <c r="M251">
        <f>IF($A251="","", SUMIFS(-Mov_Qty, Mov_Item, $A251, Mov_Type, "Consumption", Mov_Date, "&gt;="&amp;$X$2, Mov_Date, "&lt;="&amp;$Y$2))</f>
        <v>0</v>
      </c>
      <c r="N251">
        <f>IF($A251="","", SUMIFS(-Mov_Qty, Mov_Item, $A251, Mov_Type, "Consumption", Mov_Date, "&gt;="&amp;$Z$2, Mov_Date, "&lt;="&amp;$AA$2))</f>
        <v>0</v>
      </c>
      <c r="O251">
        <f>IFERROR(AVERAGE(L251:N251),"")</f>
        <v>0</v>
      </c>
      <c r="P251">
        <f>IF(O251&gt;=Cfg_HiMove, "Yes", "")</f>
        <v>0</v>
      </c>
      <c r="Q251">
        <f>IF($A251="","", $I251 + IFERROR(O251/30*$H251,0))</f>
        <v>0</v>
      </c>
      <c r="R251">
        <f>IF($A251="","", IF(J251&lt;=$F251, "Yes", ""))</f>
        <v>0</v>
      </c>
      <c r="S251">
        <f>IF(R251="Yes", CEILING(MAX($G251, Q251-J251), $G251), 0)</f>
        <v>0</v>
      </c>
      <c r="T251">
        <f>IFERROR(J251/(O251/30),"")</f>
        <v>0</v>
      </c>
    </row>
    <row r="252" spans="10:20">
      <c r="J252">
        <f>IF($A252="","", SUMIFS(Mov_Qty, Mov_Item, $A252))</f>
        <v>0</v>
      </c>
      <c r="K252">
        <f>IF($A252="","", J252 * $E252)</f>
        <v>0</v>
      </c>
      <c r="L252">
        <f>IF($A252="","", SUMIFS(-Mov_Qty, Mov_Item, $A252, Mov_Type, "Consumption", Mov_Date, "&gt;="&amp;$V$2, Mov_Date, "&lt;="&amp;$W$2))</f>
        <v>0</v>
      </c>
      <c r="M252">
        <f>IF($A252="","", SUMIFS(-Mov_Qty, Mov_Item, $A252, Mov_Type, "Consumption", Mov_Date, "&gt;="&amp;$X$2, Mov_Date, "&lt;="&amp;$Y$2))</f>
        <v>0</v>
      </c>
      <c r="N252">
        <f>IF($A252="","", SUMIFS(-Mov_Qty, Mov_Item, $A252, Mov_Type, "Consumption", Mov_Date, "&gt;="&amp;$Z$2, Mov_Date, "&lt;="&amp;$AA$2))</f>
        <v>0</v>
      </c>
      <c r="O252">
        <f>IFERROR(AVERAGE(L252:N252),"")</f>
        <v>0</v>
      </c>
      <c r="P252">
        <f>IF(O252&gt;=Cfg_HiMove, "Yes", "")</f>
        <v>0</v>
      </c>
      <c r="Q252">
        <f>IF($A252="","", $I252 + IFERROR(O252/30*$H252,0))</f>
        <v>0</v>
      </c>
      <c r="R252">
        <f>IF($A252="","", IF(J252&lt;=$F252, "Yes", ""))</f>
        <v>0</v>
      </c>
      <c r="S252">
        <f>IF(R252="Yes", CEILING(MAX($G252, Q252-J252), $G252), 0)</f>
        <v>0</v>
      </c>
      <c r="T252">
        <f>IFERROR(J252/(O252/30),"")</f>
        <v>0</v>
      </c>
    </row>
    <row r="253" spans="10:20">
      <c r="J253">
        <f>IF($A253="","", SUMIFS(Mov_Qty, Mov_Item, $A253))</f>
        <v>0</v>
      </c>
      <c r="K253">
        <f>IF($A253="","", J253 * $E253)</f>
        <v>0</v>
      </c>
      <c r="L253">
        <f>IF($A253="","", SUMIFS(-Mov_Qty, Mov_Item, $A253, Mov_Type, "Consumption", Mov_Date, "&gt;="&amp;$V$2, Mov_Date, "&lt;="&amp;$W$2))</f>
        <v>0</v>
      </c>
      <c r="M253">
        <f>IF($A253="","", SUMIFS(-Mov_Qty, Mov_Item, $A253, Mov_Type, "Consumption", Mov_Date, "&gt;="&amp;$X$2, Mov_Date, "&lt;="&amp;$Y$2))</f>
        <v>0</v>
      </c>
      <c r="N253">
        <f>IF($A253="","", SUMIFS(-Mov_Qty, Mov_Item, $A253, Mov_Type, "Consumption", Mov_Date, "&gt;="&amp;$Z$2, Mov_Date, "&lt;="&amp;$AA$2))</f>
        <v>0</v>
      </c>
      <c r="O253">
        <f>IFERROR(AVERAGE(L253:N253),"")</f>
        <v>0</v>
      </c>
      <c r="P253">
        <f>IF(O253&gt;=Cfg_HiMove, "Yes", "")</f>
        <v>0</v>
      </c>
      <c r="Q253">
        <f>IF($A253="","", $I253 + IFERROR(O253/30*$H253,0))</f>
        <v>0</v>
      </c>
      <c r="R253">
        <f>IF($A253="","", IF(J253&lt;=$F253, "Yes", ""))</f>
        <v>0</v>
      </c>
      <c r="S253">
        <f>IF(R253="Yes", CEILING(MAX($G253, Q253-J253), $G253), 0)</f>
        <v>0</v>
      </c>
      <c r="T253">
        <f>IFERROR(J253/(O253/30),"")</f>
        <v>0</v>
      </c>
    </row>
    <row r="254" spans="10:20">
      <c r="J254">
        <f>IF($A254="","", SUMIFS(Mov_Qty, Mov_Item, $A254))</f>
        <v>0</v>
      </c>
      <c r="K254">
        <f>IF($A254="","", J254 * $E254)</f>
        <v>0</v>
      </c>
      <c r="L254">
        <f>IF($A254="","", SUMIFS(-Mov_Qty, Mov_Item, $A254, Mov_Type, "Consumption", Mov_Date, "&gt;="&amp;$V$2, Mov_Date, "&lt;="&amp;$W$2))</f>
        <v>0</v>
      </c>
      <c r="M254">
        <f>IF($A254="","", SUMIFS(-Mov_Qty, Mov_Item, $A254, Mov_Type, "Consumption", Mov_Date, "&gt;="&amp;$X$2, Mov_Date, "&lt;="&amp;$Y$2))</f>
        <v>0</v>
      </c>
      <c r="N254">
        <f>IF($A254="","", SUMIFS(-Mov_Qty, Mov_Item, $A254, Mov_Type, "Consumption", Mov_Date, "&gt;="&amp;$Z$2, Mov_Date, "&lt;="&amp;$AA$2))</f>
        <v>0</v>
      </c>
      <c r="O254">
        <f>IFERROR(AVERAGE(L254:N254),"")</f>
        <v>0</v>
      </c>
      <c r="P254">
        <f>IF(O254&gt;=Cfg_HiMove, "Yes", "")</f>
        <v>0</v>
      </c>
      <c r="Q254">
        <f>IF($A254="","", $I254 + IFERROR(O254/30*$H254,0))</f>
        <v>0</v>
      </c>
      <c r="R254">
        <f>IF($A254="","", IF(J254&lt;=$F254, "Yes", ""))</f>
        <v>0</v>
      </c>
      <c r="S254">
        <f>IF(R254="Yes", CEILING(MAX($G254, Q254-J254), $G254), 0)</f>
        <v>0</v>
      </c>
      <c r="T254">
        <f>IFERROR(J254/(O254/30),"")</f>
        <v>0</v>
      </c>
    </row>
    <row r="255" spans="10:20">
      <c r="J255">
        <f>IF($A255="","", SUMIFS(Mov_Qty, Mov_Item, $A255))</f>
        <v>0</v>
      </c>
      <c r="K255">
        <f>IF($A255="","", J255 * $E255)</f>
        <v>0</v>
      </c>
      <c r="L255">
        <f>IF($A255="","", SUMIFS(-Mov_Qty, Mov_Item, $A255, Mov_Type, "Consumption", Mov_Date, "&gt;="&amp;$V$2, Mov_Date, "&lt;="&amp;$W$2))</f>
        <v>0</v>
      </c>
      <c r="M255">
        <f>IF($A255="","", SUMIFS(-Mov_Qty, Mov_Item, $A255, Mov_Type, "Consumption", Mov_Date, "&gt;="&amp;$X$2, Mov_Date, "&lt;="&amp;$Y$2))</f>
        <v>0</v>
      </c>
      <c r="N255">
        <f>IF($A255="","", SUMIFS(-Mov_Qty, Mov_Item, $A255, Mov_Type, "Consumption", Mov_Date, "&gt;="&amp;$Z$2, Mov_Date, "&lt;="&amp;$AA$2))</f>
        <v>0</v>
      </c>
      <c r="O255">
        <f>IFERROR(AVERAGE(L255:N255),"")</f>
        <v>0</v>
      </c>
      <c r="P255">
        <f>IF(O255&gt;=Cfg_HiMove, "Yes", "")</f>
        <v>0</v>
      </c>
      <c r="Q255">
        <f>IF($A255="","", $I255 + IFERROR(O255/30*$H255,0))</f>
        <v>0</v>
      </c>
      <c r="R255">
        <f>IF($A255="","", IF(J255&lt;=$F255, "Yes", ""))</f>
        <v>0</v>
      </c>
      <c r="S255">
        <f>IF(R255="Yes", CEILING(MAX($G255, Q255-J255), $G255), 0)</f>
        <v>0</v>
      </c>
      <c r="T255">
        <f>IFERROR(J255/(O255/30),"")</f>
        <v>0</v>
      </c>
    </row>
    <row r="256" spans="10:20">
      <c r="J256">
        <f>IF($A256="","", SUMIFS(Mov_Qty, Mov_Item, $A256))</f>
        <v>0</v>
      </c>
      <c r="K256">
        <f>IF($A256="","", J256 * $E256)</f>
        <v>0</v>
      </c>
      <c r="L256">
        <f>IF($A256="","", SUMIFS(-Mov_Qty, Mov_Item, $A256, Mov_Type, "Consumption", Mov_Date, "&gt;="&amp;$V$2, Mov_Date, "&lt;="&amp;$W$2))</f>
        <v>0</v>
      </c>
      <c r="M256">
        <f>IF($A256="","", SUMIFS(-Mov_Qty, Mov_Item, $A256, Mov_Type, "Consumption", Mov_Date, "&gt;="&amp;$X$2, Mov_Date, "&lt;="&amp;$Y$2))</f>
        <v>0</v>
      </c>
      <c r="N256">
        <f>IF($A256="","", SUMIFS(-Mov_Qty, Mov_Item, $A256, Mov_Type, "Consumption", Mov_Date, "&gt;="&amp;$Z$2, Mov_Date, "&lt;="&amp;$AA$2))</f>
        <v>0</v>
      </c>
      <c r="O256">
        <f>IFERROR(AVERAGE(L256:N256),"")</f>
        <v>0</v>
      </c>
      <c r="P256">
        <f>IF(O256&gt;=Cfg_HiMove, "Yes", "")</f>
        <v>0</v>
      </c>
      <c r="Q256">
        <f>IF($A256="","", $I256 + IFERROR(O256/30*$H256,0))</f>
        <v>0</v>
      </c>
      <c r="R256">
        <f>IF($A256="","", IF(J256&lt;=$F256, "Yes", ""))</f>
        <v>0</v>
      </c>
      <c r="S256">
        <f>IF(R256="Yes", CEILING(MAX($G256, Q256-J256), $G256), 0)</f>
        <v>0</v>
      </c>
      <c r="T256">
        <f>IFERROR(J256/(O256/30),"")</f>
        <v>0</v>
      </c>
    </row>
    <row r="257" spans="10:20">
      <c r="J257">
        <f>IF($A257="","", SUMIFS(Mov_Qty, Mov_Item, $A257))</f>
        <v>0</v>
      </c>
      <c r="K257">
        <f>IF($A257="","", J257 * $E257)</f>
        <v>0</v>
      </c>
      <c r="L257">
        <f>IF($A257="","", SUMIFS(-Mov_Qty, Mov_Item, $A257, Mov_Type, "Consumption", Mov_Date, "&gt;="&amp;$V$2, Mov_Date, "&lt;="&amp;$W$2))</f>
        <v>0</v>
      </c>
      <c r="M257">
        <f>IF($A257="","", SUMIFS(-Mov_Qty, Mov_Item, $A257, Mov_Type, "Consumption", Mov_Date, "&gt;="&amp;$X$2, Mov_Date, "&lt;="&amp;$Y$2))</f>
        <v>0</v>
      </c>
      <c r="N257">
        <f>IF($A257="","", SUMIFS(-Mov_Qty, Mov_Item, $A257, Mov_Type, "Consumption", Mov_Date, "&gt;="&amp;$Z$2, Mov_Date, "&lt;="&amp;$AA$2))</f>
        <v>0</v>
      </c>
      <c r="O257">
        <f>IFERROR(AVERAGE(L257:N257),"")</f>
        <v>0</v>
      </c>
      <c r="P257">
        <f>IF(O257&gt;=Cfg_HiMove, "Yes", "")</f>
        <v>0</v>
      </c>
      <c r="Q257">
        <f>IF($A257="","", $I257 + IFERROR(O257/30*$H257,0))</f>
        <v>0</v>
      </c>
      <c r="R257">
        <f>IF($A257="","", IF(J257&lt;=$F257, "Yes", ""))</f>
        <v>0</v>
      </c>
      <c r="S257">
        <f>IF(R257="Yes", CEILING(MAX($G257, Q257-J257), $G257), 0)</f>
        <v>0</v>
      </c>
      <c r="T257">
        <f>IFERROR(J257/(O257/30),"")</f>
        <v>0</v>
      </c>
    </row>
    <row r="258" spans="10:20">
      <c r="J258">
        <f>IF($A258="","", SUMIFS(Mov_Qty, Mov_Item, $A258))</f>
        <v>0</v>
      </c>
      <c r="K258">
        <f>IF($A258="","", J258 * $E258)</f>
        <v>0</v>
      </c>
      <c r="L258">
        <f>IF($A258="","", SUMIFS(-Mov_Qty, Mov_Item, $A258, Mov_Type, "Consumption", Mov_Date, "&gt;="&amp;$V$2, Mov_Date, "&lt;="&amp;$W$2))</f>
        <v>0</v>
      </c>
      <c r="M258">
        <f>IF($A258="","", SUMIFS(-Mov_Qty, Mov_Item, $A258, Mov_Type, "Consumption", Mov_Date, "&gt;="&amp;$X$2, Mov_Date, "&lt;="&amp;$Y$2))</f>
        <v>0</v>
      </c>
      <c r="N258">
        <f>IF($A258="","", SUMIFS(-Mov_Qty, Mov_Item, $A258, Mov_Type, "Consumption", Mov_Date, "&gt;="&amp;$Z$2, Mov_Date, "&lt;="&amp;$AA$2))</f>
        <v>0</v>
      </c>
      <c r="O258">
        <f>IFERROR(AVERAGE(L258:N258),"")</f>
        <v>0</v>
      </c>
      <c r="P258">
        <f>IF(O258&gt;=Cfg_HiMove, "Yes", "")</f>
        <v>0</v>
      </c>
      <c r="Q258">
        <f>IF($A258="","", $I258 + IFERROR(O258/30*$H258,0))</f>
        <v>0</v>
      </c>
      <c r="R258">
        <f>IF($A258="","", IF(J258&lt;=$F258, "Yes", ""))</f>
        <v>0</v>
      </c>
      <c r="S258">
        <f>IF(R258="Yes", CEILING(MAX($G258, Q258-J258), $G258), 0)</f>
        <v>0</v>
      </c>
      <c r="T258">
        <f>IFERROR(J258/(O258/30),"")</f>
        <v>0</v>
      </c>
    </row>
    <row r="259" spans="10:20">
      <c r="J259">
        <f>IF($A259="","", SUMIFS(Mov_Qty, Mov_Item, $A259))</f>
        <v>0</v>
      </c>
      <c r="K259">
        <f>IF($A259="","", J259 * $E259)</f>
        <v>0</v>
      </c>
      <c r="L259">
        <f>IF($A259="","", SUMIFS(-Mov_Qty, Mov_Item, $A259, Mov_Type, "Consumption", Mov_Date, "&gt;="&amp;$V$2, Mov_Date, "&lt;="&amp;$W$2))</f>
        <v>0</v>
      </c>
      <c r="M259">
        <f>IF($A259="","", SUMIFS(-Mov_Qty, Mov_Item, $A259, Mov_Type, "Consumption", Mov_Date, "&gt;="&amp;$X$2, Mov_Date, "&lt;="&amp;$Y$2))</f>
        <v>0</v>
      </c>
      <c r="N259">
        <f>IF($A259="","", SUMIFS(-Mov_Qty, Mov_Item, $A259, Mov_Type, "Consumption", Mov_Date, "&gt;="&amp;$Z$2, Mov_Date, "&lt;="&amp;$AA$2))</f>
        <v>0</v>
      </c>
      <c r="O259">
        <f>IFERROR(AVERAGE(L259:N259),"")</f>
        <v>0</v>
      </c>
      <c r="P259">
        <f>IF(O259&gt;=Cfg_HiMove, "Yes", "")</f>
        <v>0</v>
      </c>
      <c r="Q259">
        <f>IF($A259="","", $I259 + IFERROR(O259/30*$H259,0))</f>
        <v>0</v>
      </c>
      <c r="R259">
        <f>IF($A259="","", IF(J259&lt;=$F259, "Yes", ""))</f>
        <v>0</v>
      </c>
      <c r="S259">
        <f>IF(R259="Yes", CEILING(MAX($G259, Q259-J259), $G259), 0)</f>
        <v>0</v>
      </c>
      <c r="T259">
        <f>IFERROR(J259/(O259/30),"")</f>
        <v>0</v>
      </c>
    </row>
    <row r="260" spans="10:20">
      <c r="J260">
        <f>IF($A260="","", SUMIFS(Mov_Qty, Mov_Item, $A260))</f>
        <v>0</v>
      </c>
      <c r="K260">
        <f>IF($A260="","", J260 * $E260)</f>
        <v>0</v>
      </c>
      <c r="L260">
        <f>IF($A260="","", SUMIFS(-Mov_Qty, Mov_Item, $A260, Mov_Type, "Consumption", Mov_Date, "&gt;="&amp;$V$2, Mov_Date, "&lt;="&amp;$W$2))</f>
        <v>0</v>
      </c>
      <c r="M260">
        <f>IF($A260="","", SUMIFS(-Mov_Qty, Mov_Item, $A260, Mov_Type, "Consumption", Mov_Date, "&gt;="&amp;$X$2, Mov_Date, "&lt;="&amp;$Y$2))</f>
        <v>0</v>
      </c>
      <c r="N260">
        <f>IF($A260="","", SUMIFS(-Mov_Qty, Mov_Item, $A260, Mov_Type, "Consumption", Mov_Date, "&gt;="&amp;$Z$2, Mov_Date, "&lt;="&amp;$AA$2))</f>
        <v>0</v>
      </c>
      <c r="O260">
        <f>IFERROR(AVERAGE(L260:N260),"")</f>
        <v>0</v>
      </c>
      <c r="P260">
        <f>IF(O260&gt;=Cfg_HiMove, "Yes", "")</f>
        <v>0</v>
      </c>
      <c r="Q260">
        <f>IF($A260="","", $I260 + IFERROR(O260/30*$H260,0))</f>
        <v>0</v>
      </c>
      <c r="R260">
        <f>IF($A260="","", IF(J260&lt;=$F260, "Yes", ""))</f>
        <v>0</v>
      </c>
      <c r="S260">
        <f>IF(R260="Yes", CEILING(MAX($G260, Q260-J260), $G260), 0)</f>
        <v>0</v>
      </c>
      <c r="T260">
        <f>IFERROR(J260/(O260/30),"")</f>
        <v>0</v>
      </c>
    </row>
    <row r="261" spans="10:20">
      <c r="J261">
        <f>IF($A261="","", SUMIFS(Mov_Qty, Mov_Item, $A261))</f>
        <v>0</v>
      </c>
      <c r="K261">
        <f>IF($A261="","", J261 * $E261)</f>
        <v>0</v>
      </c>
      <c r="L261">
        <f>IF($A261="","", SUMIFS(-Mov_Qty, Mov_Item, $A261, Mov_Type, "Consumption", Mov_Date, "&gt;="&amp;$V$2, Mov_Date, "&lt;="&amp;$W$2))</f>
        <v>0</v>
      </c>
      <c r="M261">
        <f>IF($A261="","", SUMIFS(-Mov_Qty, Mov_Item, $A261, Mov_Type, "Consumption", Mov_Date, "&gt;="&amp;$X$2, Mov_Date, "&lt;="&amp;$Y$2))</f>
        <v>0</v>
      </c>
      <c r="N261">
        <f>IF($A261="","", SUMIFS(-Mov_Qty, Mov_Item, $A261, Mov_Type, "Consumption", Mov_Date, "&gt;="&amp;$Z$2, Mov_Date, "&lt;="&amp;$AA$2))</f>
        <v>0</v>
      </c>
      <c r="O261">
        <f>IFERROR(AVERAGE(L261:N261),"")</f>
        <v>0</v>
      </c>
      <c r="P261">
        <f>IF(O261&gt;=Cfg_HiMove, "Yes", "")</f>
        <v>0</v>
      </c>
      <c r="Q261">
        <f>IF($A261="","", $I261 + IFERROR(O261/30*$H261,0))</f>
        <v>0</v>
      </c>
      <c r="R261">
        <f>IF($A261="","", IF(J261&lt;=$F261, "Yes", ""))</f>
        <v>0</v>
      </c>
      <c r="S261">
        <f>IF(R261="Yes", CEILING(MAX($G261, Q261-J261), $G261), 0)</f>
        <v>0</v>
      </c>
      <c r="T261">
        <f>IFERROR(J261/(O261/30),"")</f>
        <v>0</v>
      </c>
    </row>
    <row r="262" spans="10:20">
      <c r="J262">
        <f>IF($A262="","", SUMIFS(Mov_Qty, Mov_Item, $A262))</f>
        <v>0</v>
      </c>
      <c r="K262">
        <f>IF($A262="","", J262 * $E262)</f>
        <v>0</v>
      </c>
      <c r="L262">
        <f>IF($A262="","", SUMIFS(-Mov_Qty, Mov_Item, $A262, Mov_Type, "Consumption", Mov_Date, "&gt;="&amp;$V$2, Mov_Date, "&lt;="&amp;$W$2))</f>
        <v>0</v>
      </c>
      <c r="M262">
        <f>IF($A262="","", SUMIFS(-Mov_Qty, Mov_Item, $A262, Mov_Type, "Consumption", Mov_Date, "&gt;="&amp;$X$2, Mov_Date, "&lt;="&amp;$Y$2))</f>
        <v>0</v>
      </c>
      <c r="N262">
        <f>IF($A262="","", SUMIFS(-Mov_Qty, Mov_Item, $A262, Mov_Type, "Consumption", Mov_Date, "&gt;="&amp;$Z$2, Mov_Date, "&lt;="&amp;$AA$2))</f>
        <v>0</v>
      </c>
      <c r="O262">
        <f>IFERROR(AVERAGE(L262:N262),"")</f>
        <v>0</v>
      </c>
      <c r="P262">
        <f>IF(O262&gt;=Cfg_HiMove, "Yes", "")</f>
        <v>0</v>
      </c>
      <c r="Q262">
        <f>IF($A262="","", $I262 + IFERROR(O262/30*$H262,0))</f>
        <v>0</v>
      </c>
      <c r="R262">
        <f>IF($A262="","", IF(J262&lt;=$F262, "Yes", ""))</f>
        <v>0</v>
      </c>
      <c r="S262">
        <f>IF(R262="Yes", CEILING(MAX($G262, Q262-J262), $G262), 0)</f>
        <v>0</v>
      </c>
      <c r="T262">
        <f>IFERROR(J262/(O262/30),"")</f>
        <v>0</v>
      </c>
    </row>
    <row r="263" spans="10:20">
      <c r="J263">
        <f>IF($A263="","", SUMIFS(Mov_Qty, Mov_Item, $A263))</f>
        <v>0</v>
      </c>
      <c r="K263">
        <f>IF($A263="","", J263 * $E263)</f>
        <v>0</v>
      </c>
      <c r="L263">
        <f>IF($A263="","", SUMIFS(-Mov_Qty, Mov_Item, $A263, Mov_Type, "Consumption", Mov_Date, "&gt;="&amp;$V$2, Mov_Date, "&lt;="&amp;$W$2))</f>
        <v>0</v>
      </c>
      <c r="M263">
        <f>IF($A263="","", SUMIFS(-Mov_Qty, Mov_Item, $A263, Mov_Type, "Consumption", Mov_Date, "&gt;="&amp;$X$2, Mov_Date, "&lt;="&amp;$Y$2))</f>
        <v>0</v>
      </c>
      <c r="N263">
        <f>IF($A263="","", SUMIFS(-Mov_Qty, Mov_Item, $A263, Mov_Type, "Consumption", Mov_Date, "&gt;="&amp;$Z$2, Mov_Date, "&lt;="&amp;$AA$2))</f>
        <v>0</v>
      </c>
      <c r="O263">
        <f>IFERROR(AVERAGE(L263:N263),"")</f>
        <v>0</v>
      </c>
      <c r="P263">
        <f>IF(O263&gt;=Cfg_HiMove, "Yes", "")</f>
        <v>0</v>
      </c>
      <c r="Q263">
        <f>IF($A263="","", $I263 + IFERROR(O263/30*$H263,0))</f>
        <v>0</v>
      </c>
      <c r="R263">
        <f>IF($A263="","", IF(J263&lt;=$F263, "Yes", ""))</f>
        <v>0</v>
      </c>
      <c r="S263">
        <f>IF(R263="Yes", CEILING(MAX($G263, Q263-J263), $G263), 0)</f>
        <v>0</v>
      </c>
      <c r="T263">
        <f>IFERROR(J263/(O263/30),"")</f>
        <v>0</v>
      </c>
    </row>
    <row r="264" spans="10:20">
      <c r="J264">
        <f>IF($A264="","", SUMIFS(Mov_Qty, Mov_Item, $A264))</f>
        <v>0</v>
      </c>
      <c r="K264">
        <f>IF($A264="","", J264 * $E264)</f>
        <v>0</v>
      </c>
      <c r="L264">
        <f>IF($A264="","", SUMIFS(-Mov_Qty, Mov_Item, $A264, Mov_Type, "Consumption", Mov_Date, "&gt;="&amp;$V$2, Mov_Date, "&lt;="&amp;$W$2))</f>
        <v>0</v>
      </c>
      <c r="M264">
        <f>IF($A264="","", SUMIFS(-Mov_Qty, Mov_Item, $A264, Mov_Type, "Consumption", Mov_Date, "&gt;="&amp;$X$2, Mov_Date, "&lt;="&amp;$Y$2))</f>
        <v>0</v>
      </c>
      <c r="N264">
        <f>IF($A264="","", SUMIFS(-Mov_Qty, Mov_Item, $A264, Mov_Type, "Consumption", Mov_Date, "&gt;="&amp;$Z$2, Mov_Date, "&lt;="&amp;$AA$2))</f>
        <v>0</v>
      </c>
      <c r="O264">
        <f>IFERROR(AVERAGE(L264:N264),"")</f>
        <v>0</v>
      </c>
      <c r="P264">
        <f>IF(O264&gt;=Cfg_HiMove, "Yes", "")</f>
        <v>0</v>
      </c>
      <c r="Q264">
        <f>IF($A264="","", $I264 + IFERROR(O264/30*$H264,0))</f>
        <v>0</v>
      </c>
      <c r="R264">
        <f>IF($A264="","", IF(J264&lt;=$F264, "Yes", ""))</f>
        <v>0</v>
      </c>
      <c r="S264">
        <f>IF(R264="Yes", CEILING(MAX($G264, Q264-J264), $G264), 0)</f>
        <v>0</v>
      </c>
      <c r="T264">
        <f>IFERROR(J264/(O264/30),"")</f>
        <v>0</v>
      </c>
    </row>
    <row r="265" spans="10:20">
      <c r="J265">
        <f>IF($A265="","", SUMIFS(Mov_Qty, Mov_Item, $A265))</f>
        <v>0</v>
      </c>
      <c r="K265">
        <f>IF($A265="","", J265 * $E265)</f>
        <v>0</v>
      </c>
      <c r="L265">
        <f>IF($A265="","", SUMIFS(-Mov_Qty, Mov_Item, $A265, Mov_Type, "Consumption", Mov_Date, "&gt;="&amp;$V$2, Mov_Date, "&lt;="&amp;$W$2))</f>
        <v>0</v>
      </c>
      <c r="M265">
        <f>IF($A265="","", SUMIFS(-Mov_Qty, Mov_Item, $A265, Mov_Type, "Consumption", Mov_Date, "&gt;="&amp;$X$2, Mov_Date, "&lt;="&amp;$Y$2))</f>
        <v>0</v>
      </c>
      <c r="N265">
        <f>IF($A265="","", SUMIFS(-Mov_Qty, Mov_Item, $A265, Mov_Type, "Consumption", Mov_Date, "&gt;="&amp;$Z$2, Mov_Date, "&lt;="&amp;$AA$2))</f>
        <v>0</v>
      </c>
      <c r="O265">
        <f>IFERROR(AVERAGE(L265:N265),"")</f>
        <v>0</v>
      </c>
      <c r="P265">
        <f>IF(O265&gt;=Cfg_HiMove, "Yes", "")</f>
        <v>0</v>
      </c>
      <c r="Q265">
        <f>IF($A265="","", $I265 + IFERROR(O265/30*$H265,0))</f>
        <v>0</v>
      </c>
      <c r="R265">
        <f>IF($A265="","", IF(J265&lt;=$F265, "Yes", ""))</f>
        <v>0</v>
      </c>
      <c r="S265">
        <f>IF(R265="Yes", CEILING(MAX($G265, Q265-J265), $G265), 0)</f>
        <v>0</v>
      </c>
      <c r="T265">
        <f>IFERROR(J265/(O265/30),"")</f>
        <v>0</v>
      </c>
    </row>
    <row r="266" spans="10:20">
      <c r="J266">
        <f>IF($A266="","", SUMIFS(Mov_Qty, Mov_Item, $A266))</f>
        <v>0</v>
      </c>
      <c r="K266">
        <f>IF($A266="","", J266 * $E266)</f>
        <v>0</v>
      </c>
      <c r="L266">
        <f>IF($A266="","", SUMIFS(-Mov_Qty, Mov_Item, $A266, Mov_Type, "Consumption", Mov_Date, "&gt;="&amp;$V$2, Mov_Date, "&lt;="&amp;$W$2))</f>
        <v>0</v>
      </c>
      <c r="M266">
        <f>IF($A266="","", SUMIFS(-Mov_Qty, Mov_Item, $A266, Mov_Type, "Consumption", Mov_Date, "&gt;="&amp;$X$2, Mov_Date, "&lt;="&amp;$Y$2))</f>
        <v>0</v>
      </c>
      <c r="N266">
        <f>IF($A266="","", SUMIFS(-Mov_Qty, Mov_Item, $A266, Mov_Type, "Consumption", Mov_Date, "&gt;="&amp;$Z$2, Mov_Date, "&lt;="&amp;$AA$2))</f>
        <v>0</v>
      </c>
      <c r="O266">
        <f>IFERROR(AVERAGE(L266:N266),"")</f>
        <v>0</v>
      </c>
      <c r="P266">
        <f>IF(O266&gt;=Cfg_HiMove, "Yes", "")</f>
        <v>0</v>
      </c>
      <c r="Q266">
        <f>IF($A266="","", $I266 + IFERROR(O266/30*$H266,0))</f>
        <v>0</v>
      </c>
      <c r="R266">
        <f>IF($A266="","", IF(J266&lt;=$F266, "Yes", ""))</f>
        <v>0</v>
      </c>
      <c r="S266">
        <f>IF(R266="Yes", CEILING(MAX($G266, Q266-J266), $G266), 0)</f>
        <v>0</v>
      </c>
      <c r="T266">
        <f>IFERROR(J266/(O266/30),"")</f>
        <v>0</v>
      </c>
    </row>
    <row r="267" spans="10:20">
      <c r="J267">
        <f>IF($A267="","", SUMIFS(Mov_Qty, Mov_Item, $A267))</f>
        <v>0</v>
      </c>
      <c r="K267">
        <f>IF($A267="","", J267 * $E267)</f>
        <v>0</v>
      </c>
      <c r="L267">
        <f>IF($A267="","", SUMIFS(-Mov_Qty, Mov_Item, $A267, Mov_Type, "Consumption", Mov_Date, "&gt;="&amp;$V$2, Mov_Date, "&lt;="&amp;$W$2))</f>
        <v>0</v>
      </c>
      <c r="M267">
        <f>IF($A267="","", SUMIFS(-Mov_Qty, Mov_Item, $A267, Mov_Type, "Consumption", Mov_Date, "&gt;="&amp;$X$2, Mov_Date, "&lt;="&amp;$Y$2))</f>
        <v>0</v>
      </c>
      <c r="N267">
        <f>IF($A267="","", SUMIFS(-Mov_Qty, Mov_Item, $A267, Mov_Type, "Consumption", Mov_Date, "&gt;="&amp;$Z$2, Mov_Date, "&lt;="&amp;$AA$2))</f>
        <v>0</v>
      </c>
      <c r="O267">
        <f>IFERROR(AVERAGE(L267:N267),"")</f>
        <v>0</v>
      </c>
      <c r="P267">
        <f>IF(O267&gt;=Cfg_HiMove, "Yes", "")</f>
        <v>0</v>
      </c>
      <c r="Q267">
        <f>IF($A267="","", $I267 + IFERROR(O267/30*$H267,0))</f>
        <v>0</v>
      </c>
      <c r="R267">
        <f>IF($A267="","", IF(J267&lt;=$F267, "Yes", ""))</f>
        <v>0</v>
      </c>
      <c r="S267">
        <f>IF(R267="Yes", CEILING(MAX($G267, Q267-J267), $G267), 0)</f>
        <v>0</v>
      </c>
      <c r="T267">
        <f>IFERROR(J267/(O267/30),"")</f>
        <v>0</v>
      </c>
    </row>
    <row r="268" spans="10:20">
      <c r="J268">
        <f>IF($A268="","", SUMIFS(Mov_Qty, Mov_Item, $A268))</f>
        <v>0</v>
      </c>
      <c r="K268">
        <f>IF($A268="","", J268 * $E268)</f>
        <v>0</v>
      </c>
      <c r="L268">
        <f>IF($A268="","", SUMIFS(-Mov_Qty, Mov_Item, $A268, Mov_Type, "Consumption", Mov_Date, "&gt;="&amp;$V$2, Mov_Date, "&lt;="&amp;$W$2))</f>
        <v>0</v>
      </c>
      <c r="M268">
        <f>IF($A268="","", SUMIFS(-Mov_Qty, Mov_Item, $A268, Mov_Type, "Consumption", Mov_Date, "&gt;="&amp;$X$2, Mov_Date, "&lt;="&amp;$Y$2))</f>
        <v>0</v>
      </c>
      <c r="N268">
        <f>IF($A268="","", SUMIFS(-Mov_Qty, Mov_Item, $A268, Mov_Type, "Consumption", Mov_Date, "&gt;="&amp;$Z$2, Mov_Date, "&lt;="&amp;$AA$2))</f>
        <v>0</v>
      </c>
      <c r="O268">
        <f>IFERROR(AVERAGE(L268:N268),"")</f>
        <v>0</v>
      </c>
      <c r="P268">
        <f>IF(O268&gt;=Cfg_HiMove, "Yes", "")</f>
        <v>0</v>
      </c>
      <c r="Q268">
        <f>IF($A268="","", $I268 + IFERROR(O268/30*$H268,0))</f>
        <v>0</v>
      </c>
      <c r="R268">
        <f>IF($A268="","", IF(J268&lt;=$F268, "Yes", ""))</f>
        <v>0</v>
      </c>
      <c r="S268">
        <f>IF(R268="Yes", CEILING(MAX($G268, Q268-J268), $G268), 0)</f>
        <v>0</v>
      </c>
      <c r="T268">
        <f>IFERROR(J268/(O268/30),"")</f>
        <v>0</v>
      </c>
    </row>
    <row r="269" spans="10:20">
      <c r="J269">
        <f>IF($A269="","", SUMIFS(Mov_Qty, Mov_Item, $A269))</f>
        <v>0</v>
      </c>
      <c r="K269">
        <f>IF($A269="","", J269 * $E269)</f>
        <v>0</v>
      </c>
      <c r="L269">
        <f>IF($A269="","", SUMIFS(-Mov_Qty, Mov_Item, $A269, Mov_Type, "Consumption", Mov_Date, "&gt;="&amp;$V$2, Mov_Date, "&lt;="&amp;$W$2))</f>
        <v>0</v>
      </c>
      <c r="M269">
        <f>IF($A269="","", SUMIFS(-Mov_Qty, Mov_Item, $A269, Mov_Type, "Consumption", Mov_Date, "&gt;="&amp;$X$2, Mov_Date, "&lt;="&amp;$Y$2))</f>
        <v>0</v>
      </c>
      <c r="N269">
        <f>IF($A269="","", SUMIFS(-Mov_Qty, Mov_Item, $A269, Mov_Type, "Consumption", Mov_Date, "&gt;="&amp;$Z$2, Mov_Date, "&lt;="&amp;$AA$2))</f>
        <v>0</v>
      </c>
      <c r="O269">
        <f>IFERROR(AVERAGE(L269:N269),"")</f>
        <v>0</v>
      </c>
      <c r="P269">
        <f>IF(O269&gt;=Cfg_HiMove, "Yes", "")</f>
        <v>0</v>
      </c>
      <c r="Q269">
        <f>IF($A269="","", $I269 + IFERROR(O269/30*$H269,0))</f>
        <v>0</v>
      </c>
      <c r="R269">
        <f>IF($A269="","", IF(J269&lt;=$F269, "Yes", ""))</f>
        <v>0</v>
      </c>
      <c r="S269">
        <f>IF(R269="Yes", CEILING(MAX($G269, Q269-J269), $G269), 0)</f>
        <v>0</v>
      </c>
      <c r="T269">
        <f>IFERROR(J269/(O269/30),"")</f>
        <v>0</v>
      </c>
    </row>
    <row r="270" spans="10:20">
      <c r="J270">
        <f>IF($A270="","", SUMIFS(Mov_Qty, Mov_Item, $A270))</f>
        <v>0</v>
      </c>
      <c r="K270">
        <f>IF($A270="","", J270 * $E270)</f>
        <v>0</v>
      </c>
      <c r="L270">
        <f>IF($A270="","", SUMIFS(-Mov_Qty, Mov_Item, $A270, Mov_Type, "Consumption", Mov_Date, "&gt;="&amp;$V$2, Mov_Date, "&lt;="&amp;$W$2))</f>
        <v>0</v>
      </c>
      <c r="M270">
        <f>IF($A270="","", SUMIFS(-Mov_Qty, Mov_Item, $A270, Mov_Type, "Consumption", Mov_Date, "&gt;="&amp;$X$2, Mov_Date, "&lt;="&amp;$Y$2))</f>
        <v>0</v>
      </c>
      <c r="N270">
        <f>IF($A270="","", SUMIFS(-Mov_Qty, Mov_Item, $A270, Mov_Type, "Consumption", Mov_Date, "&gt;="&amp;$Z$2, Mov_Date, "&lt;="&amp;$AA$2))</f>
        <v>0</v>
      </c>
      <c r="O270">
        <f>IFERROR(AVERAGE(L270:N270),"")</f>
        <v>0</v>
      </c>
      <c r="P270">
        <f>IF(O270&gt;=Cfg_HiMove, "Yes", "")</f>
        <v>0</v>
      </c>
      <c r="Q270">
        <f>IF($A270="","", $I270 + IFERROR(O270/30*$H270,0))</f>
        <v>0</v>
      </c>
      <c r="R270">
        <f>IF($A270="","", IF(J270&lt;=$F270, "Yes", ""))</f>
        <v>0</v>
      </c>
      <c r="S270">
        <f>IF(R270="Yes", CEILING(MAX($G270, Q270-J270), $G270), 0)</f>
        <v>0</v>
      </c>
      <c r="T270">
        <f>IFERROR(J270/(O270/30),"")</f>
        <v>0</v>
      </c>
    </row>
    <row r="271" spans="10:20">
      <c r="J271">
        <f>IF($A271="","", SUMIFS(Mov_Qty, Mov_Item, $A271))</f>
        <v>0</v>
      </c>
      <c r="K271">
        <f>IF($A271="","", J271 * $E271)</f>
        <v>0</v>
      </c>
      <c r="L271">
        <f>IF($A271="","", SUMIFS(-Mov_Qty, Mov_Item, $A271, Mov_Type, "Consumption", Mov_Date, "&gt;="&amp;$V$2, Mov_Date, "&lt;="&amp;$W$2))</f>
        <v>0</v>
      </c>
      <c r="M271">
        <f>IF($A271="","", SUMIFS(-Mov_Qty, Mov_Item, $A271, Mov_Type, "Consumption", Mov_Date, "&gt;="&amp;$X$2, Mov_Date, "&lt;="&amp;$Y$2))</f>
        <v>0</v>
      </c>
      <c r="N271">
        <f>IF($A271="","", SUMIFS(-Mov_Qty, Mov_Item, $A271, Mov_Type, "Consumption", Mov_Date, "&gt;="&amp;$Z$2, Mov_Date, "&lt;="&amp;$AA$2))</f>
        <v>0</v>
      </c>
      <c r="O271">
        <f>IFERROR(AVERAGE(L271:N271),"")</f>
        <v>0</v>
      </c>
      <c r="P271">
        <f>IF(O271&gt;=Cfg_HiMove, "Yes", "")</f>
        <v>0</v>
      </c>
      <c r="Q271">
        <f>IF($A271="","", $I271 + IFERROR(O271/30*$H271,0))</f>
        <v>0</v>
      </c>
      <c r="R271">
        <f>IF($A271="","", IF(J271&lt;=$F271, "Yes", ""))</f>
        <v>0</v>
      </c>
      <c r="S271">
        <f>IF(R271="Yes", CEILING(MAX($G271, Q271-J271), $G271), 0)</f>
        <v>0</v>
      </c>
      <c r="T271">
        <f>IFERROR(J271/(O271/30),"")</f>
        <v>0</v>
      </c>
    </row>
    <row r="272" spans="10:20">
      <c r="J272">
        <f>IF($A272="","", SUMIFS(Mov_Qty, Mov_Item, $A272))</f>
        <v>0</v>
      </c>
      <c r="K272">
        <f>IF($A272="","", J272 * $E272)</f>
        <v>0</v>
      </c>
      <c r="L272">
        <f>IF($A272="","", SUMIFS(-Mov_Qty, Mov_Item, $A272, Mov_Type, "Consumption", Mov_Date, "&gt;="&amp;$V$2, Mov_Date, "&lt;="&amp;$W$2))</f>
        <v>0</v>
      </c>
      <c r="M272">
        <f>IF($A272="","", SUMIFS(-Mov_Qty, Mov_Item, $A272, Mov_Type, "Consumption", Mov_Date, "&gt;="&amp;$X$2, Mov_Date, "&lt;="&amp;$Y$2))</f>
        <v>0</v>
      </c>
      <c r="N272">
        <f>IF($A272="","", SUMIFS(-Mov_Qty, Mov_Item, $A272, Mov_Type, "Consumption", Mov_Date, "&gt;="&amp;$Z$2, Mov_Date, "&lt;="&amp;$AA$2))</f>
        <v>0</v>
      </c>
      <c r="O272">
        <f>IFERROR(AVERAGE(L272:N272),"")</f>
        <v>0</v>
      </c>
      <c r="P272">
        <f>IF(O272&gt;=Cfg_HiMove, "Yes", "")</f>
        <v>0</v>
      </c>
      <c r="Q272">
        <f>IF($A272="","", $I272 + IFERROR(O272/30*$H272,0))</f>
        <v>0</v>
      </c>
      <c r="R272">
        <f>IF($A272="","", IF(J272&lt;=$F272, "Yes", ""))</f>
        <v>0</v>
      </c>
      <c r="S272">
        <f>IF(R272="Yes", CEILING(MAX($G272, Q272-J272), $G272), 0)</f>
        <v>0</v>
      </c>
      <c r="T272">
        <f>IFERROR(J272/(O272/30),"")</f>
        <v>0</v>
      </c>
    </row>
    <row r="273" spans="10:20">
      <c r="J273">
        <f>IF($A273="","", SUMIFS(Mov_Qty, Mov_Item, $A273))</f>
        <v>0</v>
      </c>
      <c r="K273">
        <f>IF($A273="","", J273 * $E273)</f>
        <v>0</v>
      </c>
      <c r="L273">
        <f>IF($A273="","", SUMIFS(-Mov_Qty, Mov_Item, $A273, Mov_Type, "Consumption", Mov_Date, "&gt;="&amp;$V$2, Mov_Date, "&lt;="&amp;$W$2))</f>
        <v>0</v>
      </c>
      <c r="M273">
        <f>IF($A273="","", SUMIFS(-Mov_Qty, Mov_Item, $A273, Mov_Type, "Consumption", Mov_Date, "&gt;="&amp;$X$2, Mov_Date, "&lt;="&amp;$Y$2))</f>
        <v>0</v>
      </c>
      <c r="N273">
        <f>IF($A273="","", SUMIFS(-Mov_Qty, Mov_Item, $A273, Mov_Type, "Consumption", Mov_Date, "&gt;="&amp;$Z$2, Mov_Date, "&lt;="&amp;$AA$2))</f>
        <v>0</v>
      </c>
      <c r="O273">
        <f>IFERROR(AVERAGE(L273:N273),"")</f>
        <v>0</v>
      </c>
      <c r="P273">
        <f>IF(O273&gt;=Cfg_HiMove, "Yes", "")</f>
        <v>0</v>
      </c>
      <c r="Q273">
        <f>IF($A273="","", $I273 + IFERROR(O273/30*$H273,0))</f>
        <v>0</v>
      </c>
      <c r="R273">
        <f>IF($A273="","", IF(J273&lt;=$F273, "Yes", ""))</f>
        <v>0</v>
      </c>
      <c r="S273">
        <f>IF(R273="Yes", CEILING(MAX($G273, Q273-J273), $G273), 0)</f>
        <v>0</v>
      </c>
      <c r="T273">
        <f>IFERROR(J273/(O273/30),"")</f>
        <v>0</v>
      </c>
    </row>
    <row r="274" spans="10:20">
      <c r="J274">
        <f>IF($A274="","", SUMIFS(Mov_Qty, Mov_Item, $A274))</f>
        <v>0</v>
      </c>
      <c r="K274">
        <f>IF($A274="","", J274 * $E274)</f>
        <v>0</v>
      </c>
      <c r="L274">
        <f>IF($A274="","", SUMIFS(-Mov_Qty, Mov_Item, $A274, Mov_Type, "Consumption", Mov_Date, "&gt;="&amp;$V$2, Mov_Date, "&lt;="&amp;$W$2))</f>
        <v>0</v>
      </c>
      <c r="M274">
        <f>IF($A274="","", SUMIFS(-Mov_Qty, Mov_Item, $A274, Mov_Type, "Consumption", Mov_Date, "&gt;="&amp;$X$2, Mov_Date, "&lt;="&amp;$Y$2))</f>
        <v>0</v>
      </c>
      <c r="N274">
        <f>IF($A274="","", SUMIFS(-Mov_Qty, Mov_Item, $A274, Mov_Type, "Consumption", Mov_Date, "&gt;="&amp;$Z$2, Mov_Date, "&lt;="&amp;$AA$2))</f>
        <v>0</v>
      </c>
      <c r="O274">
        <f>IFERROR(AVERAGE(L274:N274),"")</f>
        <v>0</v>
      </c>
      <c r="P274">
        <f>IF(O274&gt;=Cfg_HiMove, "Yes", "")</f>
        <v>0</v>
      </c>
      <c r="Q274">
        <f>IF($A274="","", $I274 + IFERROR(O274/30*$H274,0))</f>
        <v>0</v>
      </c>
      <c r="R274">
        <f>IF($A274="","", IF(J274&lt;=$F274, "Yes", ""))</f>
        <v>0</v>
      </c>
      <c r="S274">
        <f>IF(R274="Yes", CEILING(MAX($G274, Q274-J274), $G274), 0)</f>
        <v>0</v>
      </c>
      <c r="T274">
        <f>IFERROR(J274/(O274/30),"")</f>
        <v>0</v>
      </c>
    </row>
    <row r="275" spans="10:20">
      <c r="J275">
        <f>IF($A275="","", SUMIFS(Mov_Qty, Mov_Item, $A275))</f>
        <v>0</v>
      </c>
      <c r="K275">
        <f>IF($A275="","", J275 * $E275)</f>
        <v>0</v>
      </c>
      <c r="L275">
        <f>IF($A275="","", SUMIFS(-Mov_Qty, Mov_Item, $A275, Mov_Type, "Consumption", Mov_Date, "&gt;="&amp;$V$2, Mov_Date, "&lt;="&amp;$W$2))</f>
        <v>0</v>
      </c>
      <c r="M275">
        <f>IF($A275="","", SUMIFS(-Mov_Qty, Mov_Item, $A275, Mov_Type, "Consumption", Mov_Date, "&gt;="&amp;$X$2, Mov_Date, "&lt;="&amp;$Y$2))</f>
        <v>0</v>
      </c>
      <c r="N275">
        <f>IF($A275="","", SUMIFS(-Mov_Qty, Mov_Item, $A275, Mov_Type, "Consumption", Mov_Date, "&gt;="&amp;$Z$2, Mov_Date, "&lt;="&amp;$AA$2))</f>
        <v>0</v>
      </c>
      <c r="O275">
        <f>IFERROR(AVERAGE(L275:N275),"")</f>
        <v>0</v>
      </c>
      <c r="P275">
        <f>IF(O275&gt;=Cfg_HiMove, "Yes", "")</f>
        <v>0</v>
      </c>
      <c r="Q275">
        <f>IF($A275="","", $I275 + IFERROR(O275/30*$H275,0))</f>
        <v>0</v>
      </c>
      <c r="R275">
        <f>IF($A275="","", IF(J275&lt;=$F275, "Yes", ""))</f>
        <v>0</v>
      </c>
      <c r="S275">
        <f>IF(R275="Yes", CEILING(MAX($G275, Q275-J275), $G275), 0)</f>
        <v>0</v>
      </c>
      <c r="T275">
        <f>IFERROR(J275/(O275/30),"")</f>
        <v>0</v>
      </c>
    </row>
    <row r="276" spans="10:20">
      <c r="J276">
        <f>IF($A276="","", SUMIFS(Mov_Qty, Mov_Item, $A276))</f>
        <v>0</v>
      </c>
      <c r="K276">
        <f>IF($A276="","", J276 * $E276)</f>
        <v>0</v>
      </c>
      <c r="L276">
        <f>IF($A276="","", SUMIFS(-Mov_Qty, Mov_Item, $A276, Mov_Type, "Consumption", Mov_Date, "&gt;="&amp;$V$2, Mov_Date, "&lt;="&amp;$W$2))</f>
        <v>0</v>
      </c>
      <c r="M276">
        <f>IF($A276="","", SUMIFS(-Mov_Qty, Mov_Item, $A276, Mov_Type, "Consumption", Mov_Date, "&gt;="&amp;$X$2, Mov_Date, "&lt;="&amp;$Y$2))</f>
        <v>0</v>
      </c>
      <c r="N276">
        <f>IF($A276="","", SUMIFS(-Mov_Qty, Mov_Item, $A276, Mov_Type, "Consumption", Mov_Date, "&gt;="&amp;$Z$2, Mov_Date, "&lt;="&amp;$AA$2))</f>
        <v>0</v>
      </c>
      <c r="O276">
        <f>IFERROR(AVERAGE(L276:N276),"")</f>
        <v>0</v>
      </c>
      <c r="P276">
        <f>IF(O276&gt;=Cfg_HiMove, "Yes", "")</f>
        <v>0</v>
      </c>
      <c r="Q276">
        <f>IF($A276="","", $I276 + IFERROR(O276/30*$H276,0))</f>
        <v>0</v>
      </c>
      <c r="R276">
        <f>IF($A276="","", IF(J276&lt;=$F276, "Yes", ""))</f>
        <v>0</v>
      </c>
      <c r="S276">
        <f>IF(R276="Yes", CEILING(MAX($G276, Q276-J276), $G276), 0)</f>
        <v>0</v>
      </c>
      <c r="T276">
        <f>IFERROR(J276/(O276/30),"")</f>
        <v>0</v>
      </c>
    </row>
    <row r="277" spans="10:20">
      <c r="J277">
        <f>IF($A277="","", SUMIFS(Mov_Qty, Mov_Item, $A277))</f>
        <v>0</v>
      </c>
      <c r="K277">
        <f>IF($A277="","", J277 * $E277)</f>
        <v>0</v>
      </c>
      <c r="L277">
        <f>IF($A277="","", SUMIFS(-Mov_Qty, Mov_Item, $A277, Mov_Type, "Consumption", Mov_Date, "&gt;="&amp;$V$2, Mov_Date, "&lt;="&amp;$W$2))</f>
        <v>0</v>
      </c>
      <c r="M277">
        <f>IF($A277="","", SUMIFS(-Mov_Qty, Mov_Item, $A277, Mov_Type, "Consumption", Mov_Date, "&gt;="&amp;$X$2, Mov_Date, "&lt;="&amp;$Y$2))</f>
        <v>0</v>
      </c>
      <c r="N277">
        <f>IF($A277="","", SUMIFS(-Mov_Qty, Mov_Item, $A277, Mov_Type, "Consumption", Mov_Date, "&gt;="&amp;$Z$2, Mov_Date, "&lt;="&amp;$AA$2))</f>
        <v>0</v>
      </c>
      <c r="O277">
        <f>IFERROR(AVERAGE(L277:N277),"")</f>
        <v>0</v>
      </c>
      <c r="P277">
        <f>IF(O277&gt;=Cfg_HiMove, "Yes", "")</f>
        <v>0</v>
      </c>
      <c r="Q277">
        <f>IF($A277="","", $I277 + IFERROR(O277/30*$H277,0))</f>
        <v>0</v>
      </c>
      <c r="R277">
        <f>IF($A277="","", IF(J277&lt;=$F277, "Yes", ""))</f>
        <v>0</v>
      </c>
      <c r="S277">
        <f>IF(R277="Yes", CEILING(MAX($G277, Q277-J277), $G277), 0)</f>
        <v>0</v>
      </c>
      <c r="T277">
        <f>IFERROR(J277/(O277/30),"")</f>
        <v>0</v>
      </c>
    </row>
    <row r="278" spans="10:20">
      <c r="J278">
        <f>IF($A278="","", SUMIFS(Mov_Qty, Mov_Item, $A278))</f>
        <v>0</v>
      </c>
      <c r="K278">
        <f>IF($A278="","", J278 * $E278)</f>
        <v>0</v>
      </c>
      <c r="L278">
        <f>IF($A278="","", SUMIFS(-Mov_Qty, Mov_Item, $A278, Mov_Type, "Consumption", Mov_Date, "&gt;="&amp;$V$2, Mov_Date, "&lt;="&amp;$W$2))</f>
        <v>0</v>
      </c>
      <c r="M278">
        <f>IF($A278="","", SUMIFS(-Mov_Qty, Mov_Item, $A278, Mov_Type, "Consumption", Mov_Date, "&gt;="&amp;$X$2, Mov_Date, "&lt;="&amp;$Y$2))</f>
        <v>0</v>
      </c>
      <c r="N278">
        <f>IF($A278="","", SUMIFS(-Mov_Qty, Mov_Item, $A278, Mov_Type, "Consumption", Mov_Date, "&gt;="&amp;$Z$2, Mov_Date, "&lt;="&amp;$AA$2))</f>
        <v>0</v>
      </c>
      <c r="O278">
        <f>IFERROR(AVERAGE(L278:N278),"")</f>
        <v>0</v>
      </c>
      <c r="P278">
        <f>IF(O278&gt;=Cfg_HiMove, "Yes", "")</f>
        <v>0</v>
      </c>
      <c r="Q278">
        <f>IF($A278="","", $I278 + IFERROR(O278/30*$H278,0))</f>
        <v>0</v>
      </c>
      <c r="R278">
        <f>IF($A278="","", IF(J278&lt;=$F278, "Yes", ""))</f>
        <v>0</v>
      </c>
      <c r="S278">
        <f>IF(R278="Yes", CEILING(MAX($G278, Q278-J278), $G278), 0)</f>
        <v>0</v>
      </c>
      <c r="T278">
        <f>IFERROR(J278/(O278/30),"")</f>
        <v>0</v>
      </c>
    </row>
    <row r="279" spans="10:20">
      <c r="J279">
        <f>IF($A279="","", SUMIFS(Mov_Qty, Mov_Item, $A279))</f>
        <v>0</v>
      </c>
      <c r="K279">
        <f>IF($A279="","", J279 * $E279)</f>
        <v>0</v>
      </c>
      <c r="L279">
        <f>IF($A279="","", SUMIFS(-Mov_Qty, Mov_Item, $A279, Mov_Type, "Consumption", Mov_Date, "&gt;="&amp;$V$2, Mov_Date, "&lt;="&amp;$W$2))</f>
        <v>0</v>
      </c>
      <c r="M279">
        <f>IF($A279="","", SUMIFS(-Mov_Qty, Mov_Item, $A279, Mov_Type, "Consumption", Mov_Date, "&gt;="&amp;$X$2, Mov_Date, "&lt;="&amp;$Y$2))</f>
        <v>0</v>
      </c>
      <c r="N279">
        <f>IF($A279="","", SUMIFS(-Mov_Qty, Mov_Item, $A279, Mov_Type, "Consumption", Mov_Date, "&gt;="&amp;$Z$2, Mov_Date, "&lt;="&amp;$AA$2))</f>
        <v>0</v>
      </c>
      <c r="O279">
        <f>IFERROR(AVERAGE(L279:N279),"")</f>
        <v>0</v>
      </c>
      <c r="P279">
        <f>IF(O279&gt;=Cfg_HiMove, "Yes", "")</f>
        <v>0</v>
      </c>
      <c r="Q279">
        <f>IF($A279="","", $I279 + IFERROR(O279/30*$H279,0))</f>
        <v>0</v>
      </c>
      <c r="R279">
        <f>IF($A279="","", IF(J279&lt;=$F279, "Yes", ""))</f>
        <v>0</v>
      </c>
      <c r="S279">
        <f>IF(R279="Yes", CEILING(MAX($G279, Q279-J279), $G279), 0)</f>
        <v>0</v>
      </c>
      <c r="T279">
        <f>IFERROR(J279/(O279/30),"")</f>
        <v>0</v>
      </c>
    </row>
    <row r="280" spans="10:20">
      <c r="J280">
        <f>IF($A280="","", SUMIFS(Mov_Qty, Mov_Item, $A280))</f>
        <v>0</v>
      </c>
      <c r="K280">
        <f>IF($A280="","", J280 * $E280)</f>
        <v>0</v>
      </c>
      <c r="L280">
        <f>IF($A280="","", SUMIFS(-Mov_Qty, Mov_Item, $A280, Mov_Type, "Consumption", Mov_Date, "&gt;="&amp;$V$2, Mov_Date, "&lt;="&amp;$W$2))</f>
        <v>0</v>
      </c>
      <c r="M280">
        <f>IF($A280="","", SUMIFS(-Mov_Qty, Mov_Item, $A280, Mov_Type, "Consumption", Mov_Date, "&gt;="&amp;$X$2, Mov_Date, "&lt;="&amp;$Y$2))</f>
        <v>0</v>
      </c>
      <c r="N280">
        <f>IF($A280="","", SUMIFS(-Mov_Qty, Mov_Item, $A280, Mov_Type, "Consumption", Mov_Date, "&gt;="&amp;$Z$2, Mov_Date, "&lt;="&amp;$AA$2))</f>
        <v>0</v>
      </c>
      <c r="O280">
        <f>IFERROR(AVERAGE(L280:N280),"")</f>
        <v>0</v>
      </c>
      <c r="P280">
        <f>IF(O280&gt;=Cfg_HiMove, "Yes", "")</f>
        <v>0</v>
      </c>
      <c r="Q280">
        <f>IF($A280="","", $I280 + IFERROR(O280/30*$H280,0))</f>
        <v>0</v>
      </c>
      <c r="R280">
        <f>IF($A280="","", IF(J280&lt;=$F280, "Yes", ""))</f>
        <v>0</v>
      </c>
      <c r="S280">
        <f>IF(R280="Yes", CEILING(MAX($G280, Q280-J280), $G280), 0)</f>
        <v>0</v>
      </c>
      <c r="T280">
        <f>IFERROR(J280/(O280/30),"")</f>
        <v>0</v>
      </c>
    </row>
    <row r="281" spans="10:20">
      <c r="J281">
        <f>IF($A281="","", SUMIFS(Mov_Qty, Mov_Item, $A281))</f>
        <v>0</v>
      </c>
      <c r="K281">
        <f>IF($A281="","", J281 * $E281)</f>
        <v>0</v>
      </c>
      <c r="L281">
        <f>IF($A281="","", SUMIFS(-Mov_Qty, Mov_Item, $A281, Mov_Type, "Consumption", Mov_Date, "&gt;="&amp;$V$2, Mov_Date, "&lt;="&amp;$W$2))</f>
        <v>0</v>
      </c>
      <c r="M281">
        <f>IF($A281="","", SUMIFS(-Mov_Qty, Mov_Item, $A281, Mov_Type, "Consumption", Mov_Date, "&gt;="&amp;$X$2, Mov_Date, "&lt;="&amp;$Y$2))</f>
        <v>0</v>
      </c>
      <c r="N281">
        <f>IF($A281="","", SUMIFS(-Mov_Qty, Mov_Item, $A281, Mov_Type, "Consumption", Mov_Date, "&gt;="&amp;$Z$2, Mov_Date, "&lt;="&amp;$AA$2))</f>
        <v>0</v>
      </c>
      <c r="O281">
        <f>IFERROR(AVERAGE(L281:N281),"")</f>
        <v>0</v>
      </c>
      <c r="P281">
        <f>IF(O281&gt;=Cfg_HiMove, "Yes", "")</f>
        <v>0</v>
      </c>
      <c r="Q281">
        <f>IF($A281="","", $I281 + IFERROR(O281/30*$H281,0))</f>
        <v>0</v>
      </c>
      <c r="R281">
        <f>IF($A281="","", IF(J281&lt;=$F281, "Yes", ""))</f>
        <v>0</v>
      </c>
      <c r="S281">
        <f>IF(R281="Yes", CEILING(MAX($G281, Q281-J281), $G281), 0)</f>
        <v>0</v>
      </c>
      <c r="T281">
        <f>IFERROR(J281/(O281/30),"")</f>
        <v>0</v>
      </c>
    </row>
    <row r="282" spans="10:20">
      <c r="J282">
        <f>IF($A282="","", SUMIFS(Mov_Qty, Mov_Item, $A282))</f>
        <v>0</v>
      </c>
      <c r="K282">
        <f>IF($A282="","", J282 * $E282)</f>
        <v>0</v>
      </c>
      <c r="L282">
        <f>IF($A282="","", SUMIFS(-Mov_Qty, Mov_Item, $A282, Mov_Type, "Consumption", Mov_Date, "&gt;="&amp;$V$2, Mov_Date, "&lt;="&amp;$W$2))</f>
        <v>0</v>
      </c>
      <c r="M282">
        <f>IF($A282="","", SUMIFS(-Mov_Qty, Mov_Item, $A282, Mov_Type, "Consumption", Mov_Date, "&gt;="&amp;$X$2, Mov_Date, "&lt;="&amp;$Y$2))</f>
        <v>0</v>
      </c>
      <c r="N282">
        <f>IF($A282="","", SUMIFS(-Mov_Qty, Mov_Item, $A282, Mov_Type, "Consumption", Mov_Date, "&gt;="&amp;$Z$2, Mov_Date, "&lt;="&amp;$AA$2))</f>
        <v>0</v>
      </c>
      <c r="O282">
        <f>IFERROR(AVERAGE(L282:N282),"")</f>
        <v>0</v>
      </c>
      <c r="P282">
        <f>IF(O282&gt;=Cfg_HiMove, "Yes", "")</f>
        <v>0</v>
      </c>
      <c r="Q282">
        <f>IF($A282="","", $I282 + IFERROR(O282/30*$H282,0))</f>
        <v>0</v>
      </c>
      <c r="R282">
        <f>IF($A282="","", IF(J282&lt;=$F282, "Yes", ""))</f>
        <v>0</v>
      </c>
      <c r="S282">
        <f>IF(R282="Yes", CEILING(MAX($G282, Q282-J282), $G282), 0)</f>
        <v>0</v>
      </c>
      <c r="T282">
        <f>IFERROR(J282/(O282/30),"")</f>
        <v>0</v>
      </c>
    </row>
    <row r="283" spans="10:20">
      <c r="J283">
        <f>IF($A283="","", SUMIFS(Mov_Qty, Mov_Item, $A283))</f>
        <v>0</v>
      </c>
      <c r="K283">
        <f>IF($A283="","", J283 * $E283)</f>
        <v>0</v>
      </c>
      <c r="L283">
        <f>IF($A283="","", SUMIFS(-Mov_Qty, Mov_Item, $A283, Mov_Type, "Consumption", Mov_Date, "&gt;="&amp;$V$2, Mov_Date, "&lt;="&amp;$W$2))</f>
        <v>0</v>
      </c>
      <c r="M283">
        <f>IF($A283="","", SUMIFS(-Mov_Qty, Mov_Item, $A283, Mov_Type, "Consumption", Mov_Date, "&gt;="&amp;$X$2, Mov_Date, "&lt;="&amp;$Y$2))</f>
        <v>0</v>
      </c>
      <c r="N283">
        <f>IF($A283="","", SUMIFS(-Mov_Qty, Mov_Item, $A283, Mov_Type, "Consumption", Mov_Date, "&gt;="&amp;$Z$2, Mov_Date, "&lt;="&amp;$AA$2))</f>
        <v>0</v>
      </c>
      <c r="O283">
        <f>IFERROR(AVERAGE(L283:N283),"")</f>
        <v>0</v>
      </c>
      <c r="P283">
        <f>IF(O283&gt;=Cfg_HiMove, "Yes", "")</f>
        <v>0</v>
      </c>
      <c r="Q283">
        <f>IF($A283="","", $I283 + IFERROR(O283/30*$H283,0))</f>
        <v>0</v>
      </c>
      <c r="R283">
        <f>IF($A283="","", IF(J283&lt;=$F283, "Yes", ""))</f>
        <v>0</v>
      </c>
      <c r="S283">
        <f>IF(R283="Yes", CEILING(MAX($G283, Q283-J283), $G283), 0)</f>
        <v>0</v>
      </c>
      <c r="T283">
        <f>IFERROR(J283/(O283/30),"")</f>
        <v>0</v>
      </c>
    </row>
    <row r="284" spans="10:20">
      <c r="J284">
        <f>IF($A284="","", SUMIFS(Mov_Qty, Mov_Item, $A284))</f>
        <v>0</v>
      </c>
      <c r="K284">
        <f>IF($A284="","", J284 * $E284)</f>
        <v>0</v>
      </c>
      <c r="L284">
        <f>IF($A284="","", SUMIFS(-Mov_Qty, Mov_Item, $A284, Mov_Type, "Consumption", Mov_Date, "&gt;="&amp;$V$2, Mov_Date, "&lt;="&amp;$W$2))</f>
        <v>0</v>
      </c>
      <c r="M284">
        <f>IF($A284="","", SUMIFS(-Mov_Qty, Mov_Item, $A284, Mov_Type, "Consumption", Mov_Date, "&gt;="&amp;$X$2, Mov_Date, "&lt;="&amp;$Y$2))</f>
        <v>0</v>
      </c>
      <c r="N284">
        <f>IF($A284="","", SUMIFS(-Mov_Qty, Mov_Item, $A284, Mov_Type, "Consumption", Mov_Date, "&gt;="&amp;$Z$2, Mov_Date, "&lt;="&amp;$AA$2))</f>
        <v>0</v>
      </c>
      <c r="O284">
        <f>IFERROR(AVERAGE(L284:N284),"")</f>
        <v>0</v>
      </c>
      <c r="P284">
        <f>IF(O284&gt;=Cfg_HiMove, "Yes", "")</f>
        <v>0</v>
      </c>
      <c r="Q284">
        <f>IF($A284="","", $I284 + IFERROR(O284/30*$H284,0))</f>
        <v>0</v>
      </c>
      <c r="R284">
        <f>IF($A284="","", IF(J284&lt;=$F284, "Yes", ""))</f>
        <v>0</v>
      </c>
      <c r="S284">
        <f>IF(R284="Yes", CEILING(MAX($G284, Q284-J284), $G284), 0)</f>
        <v>0</v>
      </c>
      <c r="T284">
        <f>IFERROR(J284/(O284/30),"")</f>
        <v>0</v>
      </c>
    </row>
    <row r="285" spans="10:20">
      <c r="J285">
        <f>IF($A285="","", SUMIFS(Mov_Qty, Mov_Item, $A285))</f>
        <v>0</v>
      </c>
      <c r="K285">
        <f>IF($A285="","", J285 * $E285)</f>
        <v>0</v>
      </c>
      <c r="L285">
        <f>IF($A285="","", SUMIFS(-Mov_Qty, Mov_Item, $A285, Mov_Type, "Consumption", Mov_Date, "&gt;="&amp;$V$2, Mov_Date, "&lt;="&amp;$W$2))</f>
        <v>0</v>
      </c>
      <c r="M285">
        <f>IF($A285="","", SUMIFS(-Mov_Qty, Mov_Item, $A285, Mov_Type, "Consumption", Mov_Date, "&gt;="&amp;$X$2, Mov_Date, "&lt;="&amp;$Y$2))</f>
        <v>0</v>
      </c>
      <c r="N285">
        <f>IF($A285="","", SUMIFS(-Mov_Qty, Mov_Item, $A285, Mov_Type, "Consumption", Mov_Date, "&gt;="&amp;$Z$2, Mov_Date, "&lt;="&amp;$AA$2))</f>
        <v>0</v>
      </c>
      <c r="O285">
        <f>IFERROR(AVERAGE(L285:N285),"")</f>
        <v>0</v>
      </c>
      <c r="P285">
        <f>IF(O285&gt;=Cfg_HiMove, "Yes", "")</f>
        <v>0</v>
      </c>
      <c r="Q285">
        <f>IF($A285="","", $I285 + IFERROR(O285/30*$H285,0))</f>
        <v>0</v>
      </c>
      <c r="R285">
        <f>IF($A285="","", IF(J285&lt;=$F285, "Yes", ""))</f>
        <v>0</v>
      </c>
      <c r="S285">
        <f>IF(R285="Yes", CEILING(MAX($G285, Q285-J285), $G285), 0)</f>
        <v>0</v>
      </c>
      <c r="T285">
        <f>IFERROR(J285/(O285/30),"")</f>
        <v>0</v>
      </c>
    </row>
    <row r="286" spans="10:20">
      <c r="J286">
        <f>IF($A286="","", SUMIFS(Mov_Qty, Mov_Item, $A286))</f>
        <v>0</v>
      </c>
      <c r="K286">
        <f>IF($A286="","", J286 * $E286)</f>
        <v>0</v>
      </c>
      <c r="L286">
        <f>IF($A286="","", SUMIFS(-Mov_Qty, Mov_Item, $A286, Mov_Type, "Consumption", Mov_Date, "&gt;="&amp;$V$2, Mov_Date, "&lt;="&amp;$W$2))</f>
        <v>0</v>
      </c>
      <c r="M286">
        <f>IF($A286="","", SUMIFS(-Mov_Qty, Mov_Item, $A286, Mov_Type, "Consumption", Mov_Date, "&gt;="&amp;$X$2, Mov_Date, "&lt;="&amp;$Y$2))</f>
        <v>0</v>
      </c>
      <c r="N286">
        <f>IF($A286="","", SUMIFS(-Mov_Qty, Mov_Item, $A286, Mov_Type, "Consumption", Mov_Date, "&gt;="&amp;$Z$2, Mov_Date, "&lt;="&amp;$AA$2))</f>
        <v>0</v>
      </c>
      <c r="O286">
        <f>IFERROR(AVERAGE(L286:N286),"")</f>
        <v>0</v>
      </c>
      <c r="P286">
        <f>IF(O286&gt;=Cfg_HiMove, "Yes", "")</f>
        <v>0</v>
      </c>
      <c r="Q286">
        <f>IF($A286="","", $I286 + IFERROR(O286/30*$H286,0))</f>
        <v>0</v>
      </c>
      <c r="R286">
        <f>IF($A286="","", IF(J286&lt;=$F286, "Yes", ""))</f>
        <v>0</v>
      </c>
      <c r="S286">
        <f>IF(R286="Yes", CEILING(MAX($G286, Q286-J286), $G286), 0)</f>
        <v>0</v>
      </c>
      <c r="T286">
        <f>IFERROR(J286/(O286/30),"")</f>
        <v>0</v>
      </c>
    </row>
    <row r="287" spans="10:20">
      <c r="J287">
        <f>IF($A287="","", SUMIFS(Mov_Qty, Mov_Item, $A287))</f>
        <v>0</v>
      </c>
      <c r="K287">
        <f>IF($A287="","", J287 * $E287)</f>
        <v>0</v>
      </c>
      <c r="L287">
        <f>IF($A287="","", SUMIFS(-Mov_Qty, Mov_Item, $A287, Mov_Type, "Consumption", Mov_Date, "&gt;="&amp;$V$2, Mov_Date, "&lt;="&amp;$W$2))</f>
        <v>0</v>
      </c>
      <c r="M287">
        <f>IF($A287="","", SUMIFS(-Mov_Qty, Mov_Item, $A287, Mov_Type, "Consumption", Mov_Date, "&gt;="&amp;$X$2, Mov_Date, "&lt;="&amp;$Y$2))</f>
        <v>0</v>
      </c>
      <c r="N287">
        <f>IF($A287="","", SUMIFS(-Mov_Qty, Mov_Item, $A287, Mov_Type, "Consumption", Mov_Date, "&gt;="&amp;$Z$2, Mov_Date, "&lt;="&amp;$AA$2))</f>
        <v>0</v>
      </c>
      <c r="O287">
        <f>IFERROR(AVERAGE(L287:N287),"")</f>
        <v>0</v>
      </c>
      <c r="P287">
        <f>IF(O287&gt;=Cfg_HiMove, "Yes", "")</f>
        <v>0</v>
      </c>
      <c r="Q287">
        <f>IF($A287="","", $I287 + IFERROR(O287/30*$H287,0))</f>
        <v>0</v>
      </c>
      <c r="R287">
        <f>IF($A287="","", IF(J287&lt;=$F287, "Yes", ""))</f>
        <v>0</v>
      </c>
      <c r="S287">
        <f>IF(R287="Yes", CEILING(MAX($G287, Q287-J287), $G287), 0)</f>
        <v>0</v>
      </c>
      <c r="T287">
        <f>IFERROR(J287/(O287/30),"")</f>
        <v>0</v>
      </c>
    </row>
    <row r="288" spans="10:20">
      <c r="J288">
        <f>IF($A288="","", SUMIFS(Mov_Qty, Mov_Item, $A288))</f>
        <v>0</v>
      </c>
      <c r="K288">
        <f>IF($A288="","", J288 * $E288)</f>
        <v>0</v>
      </c>
      <c r="L288">
        <f>IF($A288="","", SUMIFS(-Mov_Qty, Mov_Item, $A288, Mov_Type, "Consumption", Mov_Date, "&gt;="&amp;$V$2, Mov_Date, "&lt;="&amp;$W$2))</f>
        <v>0</v>
      </c>
      <c r="M288">
        <f>IF($A288="","", SUMIFS(-Mov_Qty, Mov_Item, $A288, Mov_Type, "Consumption", Mov_Date, "&gt;="&amp;$X$2, Mov_Date, "&lt;="&amp;$Y$2))</f>
        <v>0</v>
      </c>
      <c r="N288">
        <f>IF($A288="","", SUMIFS(-Mov_Qty, Mov_Item, $A288, Mov_Type, "Consumption", Mov_Date, "&gt;="&amp;$Z$2, Mov_Date, "&lt;="&amp;$AA$2))</f>
        <v>0</v>
      </c>
      <c r="O288">
        <f>IFERROR(AVERAGE(L288:N288),"")</f>
        <v>0</v>
      </c>
      <c r="P288">
        <f>IF(O288&gt;=Cfg_HiMove, "Yes", "")</f>
        <v>0</v>
      </c>
      <c r="Q288">
        <f>IF($A288="","", $I288 + IFERROR(O288/30*$H288,0))</f>
        <v>0</v>
      </c>
      <c r="R288">
        <f>IF($A288="","", IF(J288&lt;=$F288, "Yes", ""))</f>
        <v>0</v>
      </c>
      <c r="S288">
        <f>IF(R288="Yes", CEILING(MAX($G288, Q288-J288), $G288), 0)</f>
        <v>0</v>
      </c>
      <c r="T288">
        <f>IFERROR(J288/(O288/30),"")</f>
        <v>0</v>
      </c>
    </row>
    <row r="289" spans="10:20">
      <c r="J289">
        <f>IF($A289="","", SUMIFS(Mov_Qty, Mov_Item, $A289))</f>
        <v>0</v>
      </c>
      <c r="K289">
        <f>IF($A289="","", J289 * $E289)</f>
        <v>0</v>
      </c>
      <c r="L289">
        <f>IF($A289="","", SUMIFS(-Mov_Qty, Mov_Item, $A289, Mov_Type, "Consumption", Mov_Date, "&gt;="&amp;$V$2, Mov_Date, "&lt;="&amp;$W$2))</f>
        <v>0</v>
      </c>
      <c r="M289">
        <f>IF($A289="","", SUMIFS(-Mov_Qty, Mov_Item, $A289, Mov_Type, "Consumption", Mov_Date, "&gt;="&amp;$X$2, Mov_Date, "&lt;="&amp;$Y$2))</f>
        <v>0</v>
      </c>
      <c r="N289">
        <f>IF($A289="","", SUMIFS(-Mov_Qty, Mov_Item, $A289, Mov_Type, "Consumption", Mov_Date, "&gt;="&amp;$Z$2, Mov_Date, "&lt;="&amp;$AA$2))</f>
        <v>0</v>
      </c>
      <c r="O289">
        <f>IFERROR(AVERAGE(L289:N289),"")</f>
        <v>0</v>
      </c>
      <c r="P289">
        <f>IF(O289&gt;=Cfg_HiMove, "Yes", "")</f>
        <v>0</v>
      </c>
      <c r="Q289">
        <f>IF($A289="","", $I289 + IFERROR(O289/30*$H289,0))</f>
        <v>0</v>
      </c>
      <c r="R289">
        <f>IF($A289="","", IF(J289&lt;=$F289, "Yes", ""))</f>
        <v>0</v>
      </c>
      <c r="S289">
        <f>IF(R289="Yes", CEILING(MAX($G289, Q289-J289), $G289), 0)</f>
        <v>0</v>
      </c>
      <c r="T289">
        <f>IFERROR(J289/(O289/30),"")</f>
        <v>0</v>
      </c>
    </row>
    <row r="290" spans="10:20">
      <c r="J290">
        <f>IF($A290="","", SUMIFS(Mov_Qty, Mov_Item, $A290))</f>
        <v>0</v>
      </c>
      <c r="K290">
        <f>IF($A290="","", J290 * $E290)</f>
        <v>0</v>
      </c>
      <c r="L290">
        <f>IF($A290="","", SUMIFS(-Mov_Qty, Mov_Item, $A290, Mov_Type, "Consumption", Mov_Date, "&gt;="&amp;$V$2, Mov_Date, "&lt;="&amp;$W$2))</f>
        <v>0</v>
      </c>
      <c r="M290">
        <f>IF($A290="","", SUMIFS(-Mov_Qty, Mov_Item, $A290, Mov_Type, "Consumption", Mov_Date, "&gt;="&amp;$X$2, Mov_Date, "&lt;="&amp;$Y$2))</f>
        <v>0</v>
      </c>
      <c r="N290">
        <f>IF($A290="","", SUMIFS(-Mov_Qty, Mov_Item, $A290, Mov_Type, "Consumption", Mov_Date, "&gt;="&amp;$Z$2, Mov_Date, "&lt;="&amp;$AA$2))</f>
        <v>0</v>
      </c>
      <c r="O290">
        <f>IFERROR(AVERAGE(L290:N290),"")</f>
        <v>0</v>
      </c>
      <c r="P290">
        <f>IF(O290&gt;=Cfg_HiMove, "Yes", "")</f>
        <v>0</v>
      </c>
      <c r="Q290">
        <f>IF($A290="","", $I290 + IFERROR(O290/30*$H290,0))</f>
        <v>0</v>
      </c>
      <c r="R290">
        <f>IF($A290="","", IF(J290&lt;=$F290, "Yes", ""))</f>
        <v>0</v>
      </c>
      <c r="S290">
        <f>IF(R290="Yes", CEILING(MAX($G290, Q290-J290), $G290), 0)</f>
        <v>0</v>
      </c>
      <c r="T290">
        <f>IFERROR(J290/(O290/30),"")</f>
        <v>0</v>
      </c>
    </row>
    <row r="291" spans="10:20">
      <c r="J291">
        <f>IF($A291="","", SUMIFS(Mov_Qty, Mov_Item, $A291))</f>
        <v>0</v>
      </c>
      <c r="K291">
        <f>IF($A291="","", J291 * $E291)</f>
        <v>0</v>
      </c>
      <c r="L291">
        <f>IF($A291="","", SUMIFS(-Mov_Qty, Mov_Item, $A291, Mov_Type, "Consumption", Mov_Date, "&gt;="&amp;$V$2, Mov_Date, "&lt;="&amp;$W$2))</f>
        <v>0</v>
      </c>
      <c r="M291">
        <f>IF($A291="","", SUMIFS(-Mov_Qty, Mov_Item, $A291, Mov_Type, "Consumption", Mov_Date, "&gt;="&amp;$X$2, Mov_Date, "&lt;="&amp;$Y$2))</f>
        <v>0</v>
      </c>
      <c r="N291">
        <f>IF($A291="","", SUMIFS(-Mov_Qty, Mov_Item, $A291, Mov_Type, "Consumption", Mov_Date, "&gt;="&amp;$Z$2, Mov_Date, "&lt;="&amp;$AA$2))</f>
        <v>0</v>
      </c>
      <c r="O291">
        <f>IFERROR(AVERAGE(L291:N291),"")</f>
        <v>0</v>
      </c>
      <c r="P291">
        <f>IF(O291&gt;=Cfg_HiMove, "Yes", "")</f>
        <v>0</v>
      </c>
      <c r="Q291">
        <f>IF($A291="","", $I291 + IFERROR(O291/30*$H291,0))</f>
        <v>0</v>
      </c>
      <c r="R291">
        <f>IF($A291="","", IF(J291&lt;=$F291, "Yes", ""))</f>
        <v>0</v>
      </c>
      <c r="S291">
        <f>IF(R291="Yes", CEILING(MAX($G291, Q291-J291), $G291), 0)</f>
        <v>0</v>
      </c>
      <c r="T291">
        <f>IFERROR(J291/(O291/30),"")</f>
        <v>0</v>
      </c>
    </row>
    <row r="292" spans="10:20">
      <c r="J292">
        <f>IF($A292="","", SUMIFS(Mov_Qty, Mov_Item, $A292))</f>
        <v>0</v>
      </c>
      <c r="K292">
        <f>IF($A292="","", J292 * $E292)</f>
        <v>0</v>
      </c>
      <c r="L292">
        <f>IF($A292="","", SUMIFS(-Mov_Qty, Mov_Item, $A292, Mov_Type, "Consumption", Mov_Date, "&gt;="&amp;$V$2, Mov_Date, "&lt;="&amp;$W$2))</f>
        <v>0</v>
      </c>
      <c r="M292">
        <f>IF($A292="","", SUMIFS(-Mov_Qty, Mov_Item, $A292, Mov_Type, "Consumption", Mov_Date, "&gt;="&amp;$X$2, Mov_Date, "&lt;="&amp;$Y$2))</f>
        <v>0</v>
      </c>
      <c r="N292">
        <f>IF($A292="","", SUMIFS(-Mov_Qty, Mov_Item, $A292, Mov_Type, "Consumption", Mov_Date, "&gt;="&amp;$Z$2, Mov_Date, "&lt;="&amp;$AA$2))</f>
        <v>0</v>
      </c>
      <c r="O292">
        <f>IFERROR(AVERAGE(L292:N292),"")</f>
        <v>0</v>
      </c>
      <c r="P292">
        <f>IF(O292&gt;=Cfg_HiMove, "Yes", "")</f>
        <v>0</v>
      </c>
      <c r="Q292">
        <f>IF($A292="","", $I292 + IFERROR(O292/30*$H292,0))</f>
        <v>0</v>
      </c>
      <c r="R292">
        <f>IF($A292="","", IF(J292&lt;=$F292, "Yes", ""))</f>
        <v>0</v>
      </c>
      <c r="S292">
        <f>IF(R292="Yes", CEILING(MAX($G292, Q292-J292), $G292), 0)</f>
        <v>0</v>
      </c>
      <c r="T292">
        <f>IFERROR(J292/(O292/30),"")</f>
        <v>0</v>
      </c>
    </row>
    <row r="293" spans="10:20">
      <c r="J293">
        <f>IF($A293="","", SUMIFS(Mov_Qty, Mov_Item, $A293))</f>
        <v>0</v>
      </c>
      <c r="K293">
        <f>IF($A293="","", J293 * $E293)</f>
        <v>0</v>
      </c>
      <c r="L293">
        <f>IF($A293="","", SUMIFS(-Mov_Qty, Mov_Item, $A293, Mov_Type, "Consumption", Mov_Date, "&gt;="&amp;$V$2, Mov_Date, "&lt;="&amp;$W$2))</f>
        <v>0</v>
      </c>
      <c r="M293">
        <f>IF($A293="","", SUMIFS(-Mov_Qty, Mov_Item, $A293, Mov_Type, "Consumption", Mov_Date, "&gt;="&amp;$X$2, Mov_Date, "&lt;="&amp;$Y$2))</f>
        <v>0</v>
      </c>
      <c r="N293">
        <f>IF($A293="","", SUMIFS(-Mov_Qty, Mov_Item, $A293, Mov_Type, "Consumption", Mov_Date, "&gt;="&amp;$Z$2, Mov_Date, "&lt;="&amp;$AA$2))</f>
        <v>0</v>
      </c>
      <c r="O293">
        <f>IFERROR(AVERAGE(L293:N293),"")</f>
        <v>0</v>
      </c>
      <c r="P293">
        <f>IF(O293&gt;=Cfg_HiMove, "Yes", "")</f>
        <v>0</v>
      </c>
      <c r="Q293">
        <f>IF($A293="","", $I293 + IFERROR(O293/30*$H293,0))</f>
        <v>0</v>
      </c>
      <c r="R293">
        <f>IF($A293="","", IF(J293&lt;=$F293, "Yes", ""))</f>
        <v>0</v>
      </c>
      <c r="S293">
        <f>IF(R293="Yes", CEILING(MAX($G293, Q293-J293), $G293), 0)</f>
        <v>0</v>
      </c>
      <c r="T293">
        <f>IFERROR(J293/(O293/30),"")</f>
        <v>0</v>
      </c>
    </row>
    <row r="294" spans="10:20">
      <c r="J294">
        <f>IF($A294="","", SUMIFS(Mov_Qty, Mov_Item, $A294))</f>
        <v>0</v>
      </c>
      <c r="K294">
        <f>IF($A294="","", J294 * $E294)</f>
        <v>0</v>
      </c>
      <c r="L294">
        <f>IF($A294="","", SUMIFS(-Mov_Qty, Mov_Item, $A294, Mov_Type, "Consumption", Mov_Date, "&gt;="&amp;$V$2, Mov_Date, "&lt;="&amp;$W$2))</f>
        <v>0</v>
      </c>
      <c r="M294">
        <f>IF($A294="","", SUMIFS(-Mov_Qty, Mov_Item, $A294, Mov_Type, "Consumption", Mov_Date, "&gt;="&amp;$X$2, Mov_Date, "&lt;="&amp;$Y$2))</f>
        <v>0</v>
      </c>
      <c r="N294">
        <f>IF($A294="","", SUMIFS(-Mov_Qty, Mov_Item, $A294, Mov_Type, "Consumption", Mov_Date, "&gt;="&amp;$Z$2, Mov_Date, "&lt;="&amp;$AA$2))</f>
        <v>0</v>
      </c>
      <c r="O294">
        <f>IFERROR(AVERAGE(L294:N294),"")</f>
        <v>0</v>
      </c>
      <c r="P294">
        <f>IF(O294&gt;=Cfg_HiMove, "Yes", "")</f>
        <v>0</v>
      </c>
      <c r="Q294">
        <f>IF($A294="","", $I294 + IFERROR(O294/30*$H294,0))</f>
        <v>0</v>
      </c>
      <c r="R294">
        <f>IF($A294="","", IF(J294&lt;=$F294, "Yes", ""))</f>
        <v>0</v>
      </c>
      <c r="S294">
        <f>IF(R294="Yes", CEILING(MAX($G294, Q294-J294), $G294), 0)</f>
        <v>0</v>
      </c>
      <c r="T294">
        <f>IFERROR(J294/(O294/30),"")</f>
        <v>0</v>
      </c>
    </row>
    <row r="295" spans="10:20">
      <c r="J295">
        <f>IF($A295="","", SUMIFS(Mov_Qty, Mov_Item, $A295))</f>
        <v>0</v>
      </c>
      <c r="K295">
        <f>IF($A295="","", J295 * $E295)</f>
        <v>0</v>
      </c>
      <c r="L295">
        <f>IF($A295="","", SUMIFS(-Mov_Qty, Mov_Item, $A295, Mov_Type, "Consumption", Mov_Date, "&gt;="&amp;$V$2, Mov_Date, "&lt;="&amp;$W$2))</f>
        <v>0</v>
      </c>
      <c r="M295">
        <f>IF($A295="","", SUMIFS(-Mov_Qty, Mov_Item, $A295, Mov_Type, "Consumption", Mov_Date, "&gt;="&amp;$X$2, Mov_Date, "&lt;="&amp;$Y$2))</f>
        <v>0</v>
      </c>
      <c r="N295">
        <f>IF($A295="","", SUMIFS(-Mov_Qty, Mov_Item, $A295, Mov_Type, "Consumption", Mov_Date, "&gt;="&amp;$Z$2, Mov_Date, "&lt;="&amp;$AA$2))</f>
        <v>0</v>
      </c>
      <c r="O295">
        <f>IFERROR(AVERAGE(L295:N295),"")</f>
        <v>0</v>
      </c>
      <c r="P295">
        <f>IF(O295&gt;=Cfg_HiMove, "Yes", "")</f>
        <v>0</v>
      </c>
      <c r="Q295">
        <f>IF($A295="","", $I295 + IFERROR(O295/30*$H295,0))</f>
        <v>0</v>
      </c>
      <c r="R295">
        <f>IF($A295="","", IF(J295&lt;=$F295, "Yes", ""))</f>
        <v>0</v>
      </c>
      <c r="S295">
        <f>IF(R295="Yes", CEILING(MAX($G295, Q295-J295), $G295), 0)</f>
        <v>0</v>
      </c>
      <c r="T295">
        <f>IFERROR(J295/(O295/30),"")</f>
        <v>0</v>
      </c>
    </row>
    <row r="296" spans="10:20">
      <c r="J296">
        <f>IF($A296="","", SUMIFS(Mov_Qty, Mov_Item, $A296))</f>
        <v>0</v>
      </c>
      <c r="K296">
        <f>IF($A296="","", J296 * $E296)</f>
        <v>0</v>
      </c>
      <c r="L296">
        <f>IF($A296="","", SUMIFS(-Mov_Qty, Mov_Item, $A296, Mov_Type, "Consumption", Mov_Date, "&gt;="&amp;$V$2, Mov_Date, "&lt;="&amp;$W$2))</f>
        <v>0</v>
      </c>
      <c r="M296">
        <f>IF($A296="","", SUMIFS(-Mov_Qty, Mov_Item, $A296, Mov_Type, "Consumption", Mov_Date, "&gt;="&amp;$X$2, Mov_Date, "&lt;="&amp;$Y$2))</f>
        <v>0</v>
      </c>
      <c r="N296">
        <f>IF($A296="","", SUMIFS(-Mov_Qty, Mov_Item, $A296, Mov_Type, "Consumption", Mov_Date, "&gt;="&amp;$Z$2, Mov_Date, "&lt;="&amp;$AA$2))</f>
        <v>0</v>
      </c>
      <c r="O296">
        <f>IFERROR(AVERAGE(L296:N296),"")</f>
        <v>0</v>
      </c>
      <c r="P296">
        <f>IF(O296&gt;=Cfg_HiMove, "Yes", "")</f>
        <v>0</v>
      </c>
      <c r="Q296">
        <f>IF($A296="","", $I296 + IFERROR(O296/30*$H296,0))</f>
        <v>0</v>
      </c>
      <c r="R296">
        <f>IF($A296="","", IF(J296&lt;=$F296, "Yes", ""))</f>
        <v>0</v>
      </c>
      <c r="S296">
        <f>IF(R296="Yes", CEILING(MAX($G296, Q296-J296), $G296), 0)</f>
        <v>0</v>
      </c>
      <c r="T296">
        <f>IFERROR(J296/(O296/30),"")</f>
        <v>0</v>
      </c>
    </row>
    <row r="297" spans="10:20">
      <c r="J297">
        <f>IF($A297="","", SUMIFS(Mov_Qty, Mov_Item, $A297))</f>
        <v>0</v>
      </c>
      <c r="K297">
        <f>IF($A297="","", J297 * $E297)</f>
        <v>0</v>
      </c>
      <c r="L297">
        <f>IF($A297="","", SUMIFS(-Mov_Qty, Mov_Item, $A297, Mov_Type, "Consumption", Mov_Date, "&gt;="&amp;$V$2, Mov_Date, "&lt;="&amp;$W$2))</f>
        <v>0</v>
      </c>
      <c r="M297">
        <f>IF($A297="","", SUMIFS(-Mov_Qty, Mov_Item, $A297, Mov_Type, "Consumption", Mov_Date, "&gt;="&amp;$X$2, Mov_Date, "&lt;="&amp;$Y$2))</f>
        <v>0</v>
      </c>
      <c r="N297">
        <f>IF($A297="","", SUMIFS(-Mov_Qty, Mov_Item, $A297, Mov_Type, "Consumption", Mov_Date, "&gt;="&amp;$Z$2, Mov_Date, "&lt;="&amp;$AA$2))</f>
        <v>0</v>
      </c>
      <c r="O297">
        <f>IFERROR(AVERAGE(L297:N297),"")</f>
        <v>0</v>
      </c>
      <c r="P297">
        <f>IF(O297&gt;=Cfg_HiMove, "Yes", "")</f>
        <v>0</v>
      </c>
      <c r="Q297">
        <f>IF($A297="","", $I297 + IFERROR(O297/30*$H297,0))</f>
        <v>0</v>
      </c>
      <c r="R297">
        <f>IF($A297="","", IF(J297&lt;=$F297, "Yes", ""))</f>
        <v>0</v>
      </c>
      <c r="S297">
        <f>IF(R297="Yes", CEILING(MAX($G297, Q297-J297), $G297), 0)</f>
        <v>0</v>
      </c>
      <c r="T297">
        <f>IFERROR(J297/(O297/30),"")</f>
        <v>0</v>
      </c>
    </row>
    <row r="298" spans="10:20">
      <c r="J298">
        <f>IF($A298="","", SUMIFS(Mov_Qty, Mov_Item, $A298))</f>
        <v>0</v>
      </c>
      <c r="K298">
        <f>IF($A298="","", J298 * $E298)</f>
        <v>0</v>
      </c>
      <c r="L298">
        <f>IF($A298="","", SUMIFS(-Mov_Qty, Mov_Item, $A298, Mov_Type, "Consumption", Mov_Date, "&gt;="&amp;$V$2, Mov_Date, "&lt;="&amp;$W$2))</f>
        <v>0</v>
      </c>
      <c r="M298">
        <f>IF($A298="","", SUMIFS(-Mov_Qty, Mov_Item, $A298, Mov_Type, "Consumption", Mov_Date, "&gt;="&amp;$X$2, Mov_Date, "&lt;="&amp;$Y$2))</f>
        <v>0</v>
      </c>
      <c r="N298">
        <f>IF($A298="","", SUMIFS(-Mov_Qty, Mov_Item, $A298, Mov_Type, "Consumption", Mov_Date, "&gt;="&amp;$Z$2, Mov_Date, "&lt;="&amp;$AA$2))</f>
        <v>0</v>
      </c>
      <c r="O298">
        <f>IFERROR(AVERAGE(L298:N298),"")</f>
        <v>0</v>
      </c>
      <c r="P298">
        <f>IF(O298&gt;=Cfg_HiMove, "Yes", "")</f>
        <v>0</v>
      </c>
      <c r="Q298">
        <f>IF($A298="","", $I298 + IFERROR(O298/30*$H298,0))</f>
        <v>0</v>
      </c>
      <c r="R298">
        <f>IF($A298="","", IF(J298&lt;=$F298, "Yes", ""))</f>
        <v>0</v>
      </c>
      <c r="S298">
        <f>IF(R298="Yes", CEILING(MAX($G298, Q298-J298), $G298), 0)</f>
        <v>0</v>
      </c>
      <c r="T298">
        <f>IFERROR(J298/(O298/30),"")</f>
        <v>0</v>
      </c>
    </row>
    <row r="299" spans="10:20">
      <c r="J299">
        <f>IF($A299="","", SUMIFS(Mov_Qty, Mov_Item, $A299))</f>
        <v>0</v>
      </c>
      <c r="K299">
        <f>IF($A299="","", J299 * $E299)</f>
        <v>0</v>
      </c>
      <c r="L299">
        <f>IF($A299="","", SUMIFS(-Mov_Qty, Mov_Item, $A299, Mov_Type, "Consumption", Mov_Date, "&gt;="&amp;$V$2, Mov_Date, "&lt;="&amp;$W$2))</f>
        <v>0</v>
      </c>
      <c r="M299">
        <f>IF($A299="","", SUMIFS(-Mov_Qty, Mov_Item, $A299, Mov_Type, "Consumption", Mov_Date, "&gt;="&amp;$X$2, Mov_Date, "&lt;="&amp;$Y$2))</f>
        <v>0</v>
      </c>
      <c r="N299">
        <f>IF($A299="","", SUMIFS(-Mov_Qty, Mov_Item, $A299, Mov_Type, "Consumption", Mov_Date, "&gt;="&amp;$Z$2, Mov_Date, "&lt;="&amp;$AA$2))</f>
        <v>0</v>
      </c>
      <c r="O299">
        <f>IFERROR(AVERAGE(L299:N299),"")</f>
        <v>0</v>
      </c>
      <c r="P299">
        <f>IF(O299&gt;=Cfg_HiMove, "Yes", "")</f>
        <v>0</v>
      </c>
      <c r="Q299">
        <f>IF($A299="","", $I299 + IFERROR(O299/30*$H299,0))</f>
        <v>0</v>
      </c>
      <c r="R299">
        <f>IF($A299="","", IF(J299&lt;=$F299, "Yes", ""))</f>
        <v>0</v>
      </c>
      <c r="S299">
        <f>IF(R299="Yes", CEILING(MAX($G299, Q299-J299), $G299), 0)</f>
        <v>0</v>
      </c>
      <c r="T299">
        <f>IFERROR(J299/(O299/30),"")</f>
        <v>0</v>
      </c>
    </row>
    <row r="300" spans="10:20">
      <c r="J300">
        <f>IF($A300="","", SUMIFS(Mov_Qty, Mov_Item, $A300))</f>
        <v>0</v>
      </c>
      <c r="K300">
        <f>IF($A300="","", J300 * $E300)</f>
        <v>0</v>
      </c>
      <c r="L300">
        <f>IF($A300="","", SUMIFS(-Mov_Qty, Mov_Item, $A300, Mov_Type, "Consumption", Mov_Date, "&gt;="&amp;$V$2, Mov_Date, "&lt;="&amp;$W$2))</f>
        <v>0</v>
      </c>
      <c r="M300">
        <f>IF($A300="","", SUMIFS(-Mov_Qty, Mov_Item, $A300, Mov_Type, "Consumption", Mov_Date, "&gt;="&amp;$X$2, Mov_Date, "&lt;="&amp;$Y$2))</f>
        <v>0</v>
      </c>
      <c r="N300">
        <f>IF($A300="","", SUMIFS(-Mov_Qty, Mov_Item, $A300, Mov_Type, "Consumption", Mov_Date, "&gt;="&amp;$Z$2, Mov_Date, "&lt;="&amp;$AA$2))</f>
        <v>0</v>
      </c>
      <c r="O300">
        <f>IFERROR(AVERAGE(L300:N300),"")</f>
        <v>0</v>
      </c>
      <c r="P300">
        <f>IF(O300&gt;=Cfg_HiMove, "Yes", "")</f>
        <v>0</v>
      </c>
      <c r="Q300">
        <f>IF($A300="","", $I300 + IFERROR(O300/30*$H300,0))</f>
        <v>0</v>
      </c>
      <c r="R300">
        <f>IF($A300="","", IF(J300&lt;=$F300, "Yes", ""))</f>
        <v>0</v>
      </c>
      <c r="S300">
        <f>IF(R300="Yes", CEILING(MAX($G300, Q300-J300), $G300), 0)</f>
        <v>0</v>
      </c>
      <c r="T300">
        <f>IFERROR(J300/(O300/30),"")</f>
        <v>0</v>
      </c>
    </row>
    <row r="301" spans="10:20">
      <c r="J301">
        <f>IF($A301="","", SUMIFS(Mov_Qty, Mov_Item, $A301))</f>
        <v>0</v>
      </c>
      <c r="K301">
        <f>IF($A301="","", J301 * $E301)</f>
        <v>0</v>
      </c>
      <c r="L301">
        <f>IF($A301="","", SUMIFS(-Mov_Qty, Mov_Item, $A301, Mov_Type, "Consumption", Mov_Date, "&gt;="&amp;$V$2, Mov_Date, "&lt;="&amp;$W$2))</f>
        <v>0</v>
      </c>
      <c r="M301">
        <f>IF($A301="","", SUMIFS(-Mov_Qty, Mov_Item, $A301, Mov_Type, "Consumption", Mov_Date, "&gt;="&amp;$X$2, Mov_Date, "&lt;="&amp;$Y$2))</f>
        <v>0</v>
      </c>
      <c r="N301">
        <f>IF($A301="","", SUMIFS(-Mov_Qty, Mov_Item, $A301, Mov_Type, "Consumption", Mov_Date, "&gt;="&amp;$Z$2, Mov_Date, "&lt;="&amp;$AA$2))</f>
        <v>0</v>
      </c>
      <c r="O301">
        <f>IFERROR(AVERAGE(L301:N301),"")</f>
        <v>0</v>
      </c>
      <c r="P301">
        <f>IF(O301&gt;=Cfg_HiMove, "Yes", "")</f>
        <v>0</v>
      </c>
      <c r="Q301">
        <f>IF($A301="","", $I301 + IFERROR(O301/30*$H301,0))</f>
        <v>0</v>
      </c>
      <c r="R301">
        <f>IF($A301="","", IF(J301&lt;=$F301, "Yes", ""))</f>
        <v>0</v>
      </c>
      <c r="S301">
        <f>IF(R301="Yes", CEILING(MAX($G301, Q301-J301), $G301), 0)</f>
        <v>0</v>
      </c>
      <c r="T301">
        <f>IFERROR(J301/(O301/30),"")</f>
        <v>0</v>
      </c>
    </row>
    <row r="302" spans="10:20">
      <c r="J302">
        <f>IF($A302="","", SUMIFS(Mov_Qty, Mov_Item, $A302))</f>
        <v>0</v>
      </c>
      <c r="K302">
        <f>IF($A302="","", J302 * $E302)</f>
        <v>0</v>
      </c>
      <c r="L302">
        <f>IF($A302="","", SUMIFS(-Mov_Qty, Mov_Item, $A302, Mov_Type, "Consumption", Mov_Date, "&gt;="&amp;$V$2, Mov_Date, "&lt;="&amp;$W$2))</f>
        <v>0</v>
      </c>
      <c r="M302">
        <f>IF($A302="","", SUMIFS(-Mov_Qty, Mov_Item, $A302, Mov_Type, "Consumption", Mov_Date, "&gt;="&amp;$X$2, Mov_Date, "&lt;="&amp;$Y$2))</f>
        <v>0</v>
      </c>
      <c r="N302">
        <f>IF($A302="","", SUMIFS(-Mov_Qty, Mov_Item, $A302, Mov_Type, "Consumption", Mov_Date, "&gt;="&amp;$Z$2, Mov_Date, "&lt;="&amp;$AA$2))</f>
        <v>0</v>
      </c>
      <c r="O302">
        <f>IFERROR(AVERAGE(L302:N302),"")</f>
        <v>0</v>
      </c>
      <c r="P302">
        <f>IF(O302&gt;=Cfg_HiMove, "Yes", "")</f>
        <v>0</v>
      </c>
      <c r="Q302">
        <f>IF($A302="","", $I302 + IFERROR(O302/30*$H302,0))</f>
        <v>0</v>
      </c>
      <c r="R302">
        <f>IF($A302="","", IF(J302&lt;=$F302, "Yes", ""))</f>
        <v>0</v>
      </c>
      <c r="S302">
        <f>IF(R302="Yes", CEILING(MAX($G302, Q302-J302), $G302), 0)</f>
        <v>0</v>
      </c>
      <c r="T302">
        <f>IFERROR(J302/(O302/30),"")</f>
        <v>0</v>
      </c>
    </row>
    <row r="303" spans="10:20">
      <c r="J303">
        <f>IF($A303="","", SUMIFS(Mov_Qty, Mov_Item, $A303))</f>
        <v>0</v>
      </c>
      <c r="K303">
        <f>IF($A303="","", J303 * $E303)</f>
        <v>0</v>
      </c>
      <c r="L303">
        <f>IF($A303="","", SUMIFS(-Mov_Qty, Mov_Item, $A303, Mov_Type, "Consumption", Mov_Date, "&gt;="&amp;$V$2, Mov_Date, "&lt;="&amp;$W$2))</f>
        <v>0</v>
      </c>
      <c r="M303">
        <f>IF($A303="","", SUMIFS(-Mov_Qty, Mov_Item, $A303, Mov_Type, "Consumption", Mov_Date, "&gt;="&amp;$X$2, Mov_Date, "&lt;="&amp;$Y$2))</f>
        <v>0</v>
      </c>
      <c r="N303">
        <f>IF($A303="","", SUMIFS(-Mov_Qty, Mov_Item, $A303, Mov_Type, "Consumption", Mov_Date, "&gt;="&amp;$Z$2, Mov_Date, "&lt;="&amp;$AA$2))</f>
        <v>0</v>
      </c>
      <c r="O303">
        <f>IFERROR(AVERAGE(L303:N303),"")</f>
        <v>0</v>
      </c>
      <c r="P303">
        <f>IF(O303&gt;=Cfg_HiMove, "Yes", "")</f>
        <v>0</v>
      </c>
      <c r="Q303">
        <f>IF($A303="","", $I303 + IFERROR(O303/30*$H303,0))</f>
        <v>0</v>
      </c>
      <c r="R303">
        <f>IF($A303="","", IF(J303&lt;=$F303, "Yes", ""))</f>
        <v>0</v>
      </c>
      <c r="S303">
        <f>IF(R303="Yes", CEILING(MAX($G303, Q303-J303), $G303), 0)</f>
        <v>0</v>
      </c>
      <c r="T303">
        <f>IFERROR(J303/(O303/30),"")</f>
        <v>0</v>
      </c>
    </row>
    <row r="304" spans="10:20">
      <c r="J304">
        <f>IF($A304="","", SUMIFS(Mov_Qty, Mov_Item, $A304))</f>
        <v>0</v>
      </c>
      <c r="K304">
        <f>IF($A304="","", J304 * $E304)</f>
        <v>0</v>
      </c>
      <c r="L304">
        <f>IF($A304="","", SUMIFS(-Mov_Qty, Mov_Item, $A304, Mov_Type, "Consumption", Mov_Date, "&gt;="&amp;$V$2, Mov_Date, "&lt;="&amp;$W$2))</f>
        <v>0</v>
      </c>
      <c r="M304">
        <f>IF($A304="","", SUMIFS(-Mov_Qty, Mov_Item, $A304, Mov_Type, "Consumption", Mov_Date, "&gt;="&amp;$X$2, Mov_Date, "&lt;="&amp;$Y$2))</f>
        <v>0</v>
      </c>
      <c r="N304">
        <f>IF($A304="","", SUMIFS(-Mov_Qty, Mov_Item, $A304, Mov_Type, "Consumption", Mov_Date, "&gt;="&amp;$Z$2, Mov_Date, "&lt;="&amp;$AA$2))</f>
        <v>0</v>
      </c>
      <c r="O304">
        <f>IFERROR(AVERAGE(L304:N304),"")</f>
        <v>0</v>
      </c>
      <c r="P304">
        <f>IF(O304&gt;=Cfg_HiMove, "Yes", "")</f>
        <v>0</v>
      </c>
      <c r="Q304">
        <f>IF($A304="","", $I304 + IFERROR(O304/30*$H304,0))</f>
        <v>0</v>
      </c>
      <c r="R304">
        <f>IF($A304="","", IF(J304&lt;=$F304, "Yes", ""))</f>
        <v>0</v>
      </c>
      <c r="S304">
        <f>IF(R304="Yes", CEILING(MAX($G304, Q304-J304), $G304), 0)</f>
        <v>0</v>
      </c>
      <c r="T304">
        <f>IFERROR(J304/(O304/30),"")</f>
        <v>0</v>
      </c>
    </row>
    <row r="305" spans="10:20">
      <c r="J305">
        <f>IF($A305="","", SUMIFS(Mov_Qty, Mov_Item, $A305))</f>
        <v>0</v>
      </c>
      <c r="K305">
        <f>IF($A305="","", J305 * $E305)</f>
        <v>0</v>
      </c>
      <c r="L305">
        <f>IF($A305="","", SUMIFS(-Mov_Qty, Mov_Item, $A305, Mov_Type, "Consumption", Mov_Date, "&gt;="&amp;$V$2, Mov_Date, "&lt;="&amp;$W$2))</f>
        <v>0</v>
      </c>
      <c r="M305">
        <f>IF($A305="","", SUMIFS(-Mov_Qty, Mov_Item, $A305, Mov_Type, "Consumption", Mov_Date, "&gt;="&amp;$X$2, Mov_Date, "&lt;="&amp;$Y$2))</f>
        <v>0</v>
      </c>
      <c r="N305">
        <f>IF($A305="","", SUMIFS(-Mov_Qty, Mov_Item, $A305, Mov_Type, "Consumption", Mov_Date, "&gt;="&amp;$Z$2, Mov_Date, "&lt;="&amp;$AA$2))</f>
        <v>0</v>
      </c>
      <c r="O305">
        <f>IFERROR(AVERAGE(L305:N305),"")</f>
        <v>0</v>
      </c>
      <c r="P305">
        <f>IF(O305&gt;=Cfg_HiMove, "Yes", "")</f>
        <v>0</v>
      </c>
      <c r="Q305">
        <f>IF($A305="","", $I305 + IFERROR(O305/30*$H305,0))</f>
        <v>0</v>
      </c>
      <c r="R305">
        <f>IF($A305="","", IF(J305&lt;=$F305, "Yes", ""))</f>
        <v>0</v>
      </c>
      <c r="S305">
        <f>IF(R305="Yes", CEILING(MAX($G305, Q305-J305), $G305), 0)</f>
        <v>0</v>
      </c>
      <c r="T305">
        <f>IFERROR(J305/(O305/30),"")</f>
        <v>0</v>
      </c>
    </row>
    <row r="306" spans="10:20">
      <c r="J306">
        <f>IF($A306="","", SUMIFS(Mov_Qty, Mov_Item, $A306))</f>
        <v>0</v>
      </c>
      <c r="K306">
        <f>IF($A306="","", J306 * $E306)</f>
        <v>0</v>
      </c>
      <c r="L306">
        <f>IF($A306="","", SUMIFS(-Mov_Qty, Mov_Item, $A306, Mov_Type, "Consumption", Mov_Date, "&gt;="&amp;$V$2, Mov_Date, "&lt;="&amp;$W$2))</f>
        <v>0</v>
      </c>
      <c r="M306">
        <f>IF($A306="","", SUMIFS(-Mov_Qty, Mov_Item, $A306, Mov_Type, "Consumption", Mov_Date, "&gt;="&amp;$X$2, Mov_Date, "&lt;="&amp;$Y$2))</f>
        <v>0</v>
      </c>
      <c r="N306">
        <f>IF($A306="","", SUMIFS(-Mov_Qty, Mov_Item, $A306, Mov_Type, "Consumption", Mov_Date, "&gt;="&amp;$Z$2, Mov_Date, "&lt;="&amp;$AA$2))</f>
        <v>0</v>
      </c>
      <c r="O306">
        <f>IFERROR(AVERAGE(L306:N306),"")</f>
        <v>0</v>
      </c>
      <c r="P306">
        <f>IF(O306&gt;=Cfg_HiMove, "Yes", "")</f>
        <v>0</v>
      </c>
      <c r="Q306">
        <f>IF($A306="","", $I306 + IFERROR(O306/30*$H306,0))</f>
        <v>0</v>
      </c>
      <c r="R306">
        <f>IF($A306="","", IF(J306&lt;=$F306, "Yes", ""))</f>
        <v>0</v>
      </c>
      <c r="S306">
        <f>IF(R306="Yes", CEILING(MAX($G306, Q306-J306), $G306), 0)</f>
        <v>0</v>
      </c>
      <c r="T306">
        <f>IFERROR(J306/(O306/30),"")</f>
        <v>0</v>
      </c>
    </row>
    <row r="307" spans="10:20">
      <c r="J307">
        <f>IF($A307="","", SUMIFS(Mov_Qty, Mov_Item, $A307))</f>
        <v>0</v>
      </c>
      <c r="K307">
        <f>IF($A307="","", J307 * $E307)</f>
        <v>0</v>
      </c>
      <c r="L307">
        <f>IF($A307="","", SUMIFS(-Mov_Qty, Mov_Item, $A307, Mov_Type, "Consumption", Mov_Date, "&gt;="&amp;$V$2, Mov_Date, "&lt;="&amp;$W$2))</f>
        <v>0</v>
      </c>
      <c r="M307">
        <f>IF($A307="","", SUMIFS(-Mov_Qty, Mov_Item, $A307, Mov_Type, "Consumption", Mov_Date, "&gt;="&amp;$X$2, Mov_Date, "&lt;="&amp;$Y$2))</f>
        <v>0</v>
      </c>
      <c r="N307">
        <f>IF($A307="","", SUMIFS(-Mov_Qty, Mov_Item, $A307, Mov_Type, "Consumption", Mov_Date, "&gt;="&amp;$Z$2, Mov_Date, "&lt;="&amp;$AA$2))</f>
        <v>0</v>
      </c>
      <c r="O307">
        <f>IFERROR(AVERAGE(L307:N307),"")</f>
        <v>0</v>
      </c>
      <c r="P307">
        <f>IF(O307&gt;=Cfg_HiMove, "Yes", "")</f>
        <v>0</v>
      </c>
      <c r="Q307">
        <f>IF($A307="","", $I307 + IFERROR(O307/30*$H307,0))</f>
        <v>0</v>
      </c>
      <c r="R307">
        <f>IF($A307="","", IF(J307&lt;=$F307, "Yes", ""))</f>
        <v>0</v>
      </c>
      <c r="S307">
        <f>IF(R307="Yes", CEILING(MAX($G307, Q307-J307), $G307), 0)</f>
        <v>0</v>
      </c>
      <c r="T307">
        <f>IFERROR(J307/(O307/30),"")</f>
        <v>0</v>
      </c>
    </row>
    <row r="308" spans="10:20">
      <c r="J308">
        <f>IF($A308="","", SUMIFS(Mov_Qty, Mov_Item, $A308))</f>
        <v>0</v>
      </c>
      <c r="K308">
        <f>IF($A308="","", J308 * $E308)</f>
        <v>0</v>
      </c>
      <c r="L308">
        <f>IF($A308="","", SUMIFS(-Mov_Qty, Mov_Item, $A308, Mov_Type, "Consumption", Mov_Date, "&gt;="&amp;$V$2, Mov_Date, "&lt;="&amp;$W$2))</f>
        <v>0</v>
      </c>
      <c r="M308">
        <f>IF($A308="","", SUMIFS(-Mov_Qty, Mov_Item, $A308, Mov_Type, "Consumption", Mov_Date, "&gt;="&amp;$X$2, Mov_Date, "&lt;="&amp;$Y$2))</f>
        <v>0</v>
      </c>
      <c r="N308">
        <f>IF($A308="","", SUMIFS(-Mov_Qty, Mov_Item, $A308, Mov_Type, "Consumption", Mov_Date, "&gt;="&amp;$Z$2, Mov_Date, "&lt;="&amp;$AA$2))</f>
        <v>0</v>
      </c>
      <c r="O308">
        <f>IFERROR(AVERAGE(L308:N308),"")</f>
        <v>0</v>
      </c>
      <c r="P308">
        <f>IF(O308&gt;=Cfg_HiMove, "Yes", "")</f>
        <v>0</v>
      </c>
      <c r="Q308">
        <f>IF($A308="","", $I308 + IFERROR(O308/30*$H308,0))</f>
        <v>0</v>
      </c>
      <c r="R308">
        <f>IF($A308="","", IF(J308&lt;=$F308, "Yes", ""))</f>
        <v>0</v>
      </c>
      <c r="S308">
        <f>IF(R308="Yes", CEILING(MAX($G308, Q308-J308), $G308), 0)</f>
        <v>0</v>
      </c>
      <c r="T308">
        <f>IFERROR(J308/(O308/30),"")</f>
        <v>0</v>
      </c>
    </row>
    <row r="309" spans="10:20">
      <c r="J309">
        <f>IF($A309="","", SUMIFS(Mov_Qty, Mov_Item, $A309))</f>
        <v>0</v>
      </c>
      <c r="K309">
        <f>IF($A309="","", J309 * $E309)</f>
        <v>0</v>
      </c>
      <c r="L309">
        <f>IF($A309="","", SUMIFS(-Mov_Qty, Mov_Item, $A309, Mov_Type, "Consumption", Mov_Date, "&gt;="&amp;$V$2, Mov_Date, "&lt;="&amp;$W$2))</f>
        <v>0</v>
      </c>
      <c r="M309">
        <f>IF($A309="","", SUMIFS(-Mov_Qty, Mov_Item, $A309, Mov_Type, "Consumption", Mov_Date, "&gt;="&amp;$X$2, Mov_Date, "&lt;="&amp;$Y$2))</f>
        <v>0</v>
      </c>
      <c r="N309">
        <f>IF($A309="","", SUMIFS(-Mov_Qty, Mov_Item, $A309, Mov_Type, "Consumption", Mov_Date, "&gt;="&amp;$Z$2, Mov_Date, "&lt;="&amp;$AA$2))</f>
        <v>0</v>
      </c>
      <c r="O309">
        <f>IFERROR(AVERAGE(L309:N309),"")</f>
        <v>0</v>
      </c>
      <c r="P309">
        <f>IF(O309&gt;=Cfg_HiMove, "Yes", "")</f>
        <v>0</v>
      </c>
      <c r="Q309">
        <f>IF($A309="","", $I309 + IFERROR(O309/30*$H309,0))</f>
        <v>0</v>
      </c>
      <c r="R309">
        <f>IF($A309="","", IF(J309&lt;=$F309, "Yes", ""))</f>
        <v>0</v>
      </c>
      <c r="S309">
        <f>IF(R309="Yes", CEILING(MAX($G309, Q309-J309), $G309), 0)</f>
        <v>0</v>
      </c>
      <c r="T309">
        <f>IFERROR(J309/(O309/30),"")</f>
        <v>0</v>
      </c>
    </row>
    <row r="310" spans="10:20">
      <c r="J310">
        <f>IF($A310="","", SUMIFS(Mov_Qty, Mov_Item, $A310))</f>
        <v>0</v>
      </c>
      <c r="K310">
        <f>IF($A310="","", J310 * $E310)</f>
        <v>0</v>
      </c>
      <c r="L310">
        <f>IF($A310="","", SUMIFS(-Mov_Qty, Mov_Item, $A310, Mov_Type, "Consumption", Mov_Date, "&gt;="&amp;$V$2, Mov_Date, "&lt;="&amp;$W$2))</f>
        <v>0</v>
      </c>
      <c r="M310">
        <f>IF($A310="","", SUMIFS(-Mov_Qty, Mov_Item, $A310, Mov_Type, "Consumption", Mov_Date, "&gt;="&amp;$X$2, Mov_Date, "&lt;="&amp;$Y$2))</f>
        <v>0</v>
      </c>
      <c r="N310">
        <f>IF($A310="","", SUMIFS(-Mov_Qty, Mov_Item, $A310, Mov_Type, "Consumption", Mov_Date, "&gt;="&amp;$Z$2, Mov_Date, "&lt;="&amp;$AA$2))</f>
        <v>0</v>
      </c>
      <c r="O310">
        <f>IFERROR(AVERAGE(L310:N310),"")</f>
        <v>0</v>
      </c>
      <c r="P310">
        <f>IF(O310&gt;=Cfg_HiMove, "Yes", "")</f>
        <v>0</v>
      </c>
      <c r="Q310">
        <f>IF($A310="","", $I310 + IFERROR(O310/30*$H310,0))</f>
        <v>0</v>
      </c>
      <c r="R310">
        <f>IF($A310="","", IF(J310&lt;=$F310, "Yes", ""))</f>
        <v>0</v>
      </c>
      <c r="S310">
        <f>IF(R310="Yes", CEILING(MAX($G310, Q310-J310), $G310), 0)</f>
        <v>0</v>
      </c>
      <c r="T310">
        <f>IFERROR(J310/(O310/30),"")</f>
        <v>0</v>
      </c>
    </row>
    <row r="311" spans="10:20">
      <c r="J311">
        <f>IF($A311="","", SUMIFS(Mov_Qty, Mov_Item, $A311))</f>
        <v>0</v>
      </c>
      <c r="K311">
        <f>IF($A311="","", J311 * $E311)</f>
        <v>0</v>
      </c>
      <c r="L311">
        <f>IF($A311="","", SUMIFS(-Mov_Qty, Mov_Item, $A311, Mov_Type, "Consumption", Mov_Date, "&gt;="&amp;$V$2, Mov_Date, "&lt;="&amp;$W$2))</f>
        <v>0</v>
      </c>
      <c r="M311">
        <f>IF($A311="","", SUMIFS(-Mov_Qty, Mov_Item, $A311, Mov_Type, "Consumption", Mov_Date, "&gt;="&amp;$X$2, Mov_Date, "&lt;="&amp;$Y$2))</f>
        <v>0</v>
      </c>
      <c r="N311">
        <f>IF($A311="","", SUMIFS(-Mov_Qty, Mov_Item, $A311, Mov_Type, "Consumption", Mov_Date, "&gt;="&amp;$Z$2, Mov_Date, "&lt;="&amp;$AA$2))</f>
        <v>0</v>
      </c>
      <c r="O311">
        <f>IFERROR(AVERAGE(L311:N311),"")</f>
        <v>0</v>
      </c>
      <c r="P311">
        <f>IF(O311&gt;=Cfg_HiMove, "Yes", "")</f>
        <v>0</v>
      </c>
      <c r="Q311">
        <f>IF($A311="","", $I311 + IFERROR(O311/30*$H311,0))</f>
        <v>0</v>
      </c>
      <c r="R311">
        <f>IF($A311="","", IF(J311&lt;=$F311, "Yes", ""))</f>
        <v>0</v>
      </c>
      <c r="S311">
        <f>IF(R311="Yes", CEILING(MAX($G311, Q311-J311), $G311), 0)</f>
        <v>0</v>
      </c>
      <c r="T311">
        <f>IFERROR(J311/(O311/30),"")</f>
        <v>0</v>
      </c>
    </row>
    <row r="312" spans="10:20">
      <c r="J312">
        <f>IF($A312="","", SUMIFS(Mov_Qty, Mov_Item, $A312))</f>
        <v>0</v>
      </c>
      <c r="K312">
        <f>IF($A312="","", J312 * $E312)</f>
        <v>0</v>
      </c>
      <c r="L312">
        <f>IF($A312="","", SUMIFS(-Mov_Qty, Mov_Item, $A312, Mov_Type, "Consumption", Mov_Date, "&gt;="&amp;$V$2, Mov_Date, "&lt;="&amp;$W$2))</f>
        <v>0</v>
      </c>
      <c r="M312">
        <f>IF($A312="","", SUMIFS(-Mov_Qty, Mov_Item, $A312, Mov_Type, "Consumption", Mov_Date, "&gt;="&amp;$X$2, Mov_Date, "&lt;="&amp;$Y$2))</f>
        <v>0</v>
      </c>
      <c r="N312">
        <f>IF($A312="","", SUMIFS(-Mov_Qty, Mov_Item, $A312, Mov_Type, "Consumption", Mov_Date, "&gt;="&amp;$Z$2, Mov_Date, "&lt;="&amp;$AA$2))</f>
        <v>0</v>
      </c>
      <c r="O312">
        <f>IFERROR(AVERAGE(L312:N312),"")</f>
        <v>0</v>
      </c>
      <c r="P312">
        <f>IF(O312&gt;=Cfg_HiMove, "Yes", "")</f>
        <v>0</v>
      </c>
      <c r="Q312">
        <f>IF($A312="","", $I312 + IFERROR(O312/30*$H312,0))</f>
        <v>0</v>
      </c>
      <c r="R312">
        <f>IF($A312="","", IF(J312&lt;=$F312, "Yes", ""))</f>
        <v>0</v>
      </c>
      <c r="S312">
        <f>IF(R312="Yes", CEILING(MAX($G312, Q312-J312), $G312), 0)</f>
        <v>0</v>
      </c>
      <c r="T312">
        <f>IFERROR(J312/(O312/30),"")</f>
        <v>0</v>
      </c>
    </row>
    <row r="313" spans="10:20">
      <c r="J313">
        <f>IF($A313="","", SUMIFS(Mov_Qty, Mov_Item, $A313))</f>
        <v>0</v>
      </c>
      <c r="K313">
        <f>IF($A313="","", J313 * $E313)</f>
        <v>0</v>
      </c>
      <c r="L313">
        <f>IF($A313="","", SUMIFS(-Mov_Qty, Mov_Item, $A313, Mov_Type, "Consumption", Mov_Date, "&gt;="&amp;$V$2, Mov_Date, "&lt;="&amp;$W$2))</f>
        <v>0</v>
      </c>
      <c r="M313">
        <f>IF($A313="","", SUMIFS(-Mov_Qty, Mov_Item, $A313, Mov_Type, "Consumption", Mov_Date, "&gt;="&amp;$X$2, Mov_Date, "&lt;="&amp;$Y$2))</f>
        <v>0</v>
      </c>
      <c r="N313">
        <f>IF($A313="","", SUMIFS(-Mov_Qty, Mov_Item, $A313, Mov_Type, "Consumption", Mov_Date, "&gt;="&amp;$Z$2, Mov_Date, "&lt;="&amp;$AA$2))</f>
        <v>0</v>
      </c>
      <c r="O313">
        <f>IFERROR(AVERAGE(L313:N313),"")</f>
        <v>0</v>
      </c>
      <c r="P313">
        <f>IF(O313&gt;=Cfg_HiMove, "Yes", "")</f>
        <v>0</v>
      </c>
      <c r="Q313">
        <f>IF($A313="","", $I313 + IFERROR(O313/30*$H313,0))</f>
        <v>0</v>
      </c>
      <c r="R313">
        <f>IF($A313="","", IF(J313&lt;=$F313, "Yes", ""))</f>
        <v>0</v>
      </c>
      <c r="S313">
        <f>IF(R313="Yes", CEILING(MAX($G313, Q313-J313), $G313), 0)</f>
        <v>0</v>
      </c>
      <c r="T313">
        <f>IFERROR(J313/(O313/30),"")</f>
        <v>0</v>
      </c>
    </row>
    <row r="314" spans="10:20">
      <c r="J314">
        <f>IF($A314="","", SUMIFS(Mov_Qty, Mov_Item, $A314))</f>
        <v>0</v>
      </c>
      <c r="K314">
        <f>IF($A314="","", J314 * $E314)</f>
        <v>0</v>
      </c>
      <c r="L314">
        <f>IF($A314="","", SUMIFS(-Mov_Qty, Mov_Item, $A314, Mov_Type, "Consumption", Mov_Date, "&gt;="&amp;$V$2, Mov_Date, "&lt;="&amp;$W$2))</f>
        <v>0</v>
      </c>
      <c r="M314">
        <f>IF($A314="","", SUMIFS(-Mov_Qty, Mov_Item, $A314, Mov_Type, "Consumption", Mov_Date, "&gt;="&amp;$X$2, Mov_Date, "&lt;="&amp;$Y$2))</f>
        <v>0</v>
      </c>
      <c r="N314">
        <f>IF($A314="","", SUMIFS(-Mov_Qty, Mov_Item, $A314, Mov_Type, "Consumption", Mov_Date, "&gt;="&amp;$Z$2, Mov_Date, "&lt;="&amp;$AA$2))</f>
        <v>0</v>
      </c>
      <c r="O314">
        <f>IFERROR(AVERAGE(L314:N314),"")</f>
        <v>0</v>
      </c>
      <c r="P314">
        <f>IF(O314&gt;=Cfg_HiMove, "Yes", "")</f>
        <v>0</v>
      </c>
      <c r="Q314">
        <f>IF($A314="","", $I314 + IFERROR(O314/30*$H314,0))</f>
        <v>0</v>
      </c>
      <c r="R314">
        <f>IF($A314="","", IF(J314&lt;=$F314, "Yes", ""))</f>
        <v>0</v>
      </c>
      <c r="S314">
        <f>IF(R314="Yes", CEILING(MAX($G314, Q314-J314), $G314), 0)</f>
        <v>0</v>
      </c>
      <c r="T314">
        <f>IFERROR(J314/(O314/30),"")</f>
        <v>0</v>
      </c>
    </row>
    <row r="315" spans="10:20">
      <c r="J315">
        <f>IF($A315="","", SUMIFS(Mov_Qty, Mov_Item, $A315))</f>
        <v>0</v>
      </c>
      <c r="K315">
        <f>IF($A315="","", J315 * $E315)</f>
        <v>0</v>
      </c>
      <c r="L315">
        <f>IF($A315="","", SUMIFS(-Mov_Qty, Mov_Item, $A315, Mov_Type, "Consumption", Mov_Date, "&gt;="&amp;$V$2, Mov_Date, "&lt;="&amp;$W$2))</f>
        <v>0</v>
      </c>
      <c r="M315">
        <f>IF($A315="","", SUMIFS(-Mov_Qty, Mov_Item, $A315, Mov_Type, "Consumption", Mov_Date, "&gt;="&amp;$X$2, Mov_Date, "&lt;="&amp;$Y$2))</f>
        <v>0</v>
      </c>
      <c r="N315">
        <f>IF($A315="","", SUMIFS(-Mov_Qty, Mov_Item, $A315, Mov_Type, "Consumption", Mov_Date, "&gt;="&amp;$Z$2, Mov_Date, "&lt;="&amp;$AA$2))</f>
        <v>0</v>
      </c>
      <c r="O315">
        <f>IFERROR(AVERAGE(L315:N315),"")</f>
        <v>0</v>
      </c>
      <c r="P315">
        <f>IF(O315&gt;=Cfg_HiMove, "Yes", "")</f>
        <v>0</v>
      </c>
      <c r="Q315">
        <f>IF($A315="","", $I315 + IFERROR(O315/30*$H315,0))</f>
        <v>0</v>
      </c>
      <c r="R315">
        <f>IF($A315="","", IF(J315&lt;=$F315, "Yes", ""))</f>
        <v>0</v>
      </c>
      <c r="S315">
        <f>IF(R315="Yes", CEILING(MAX($G315, Q315-J315), $G315), 0)</f>
        <v>0</v>
      </c>
      <c r="T315">
        <f>IFERROR(J315/(O315/30),"")</f>
        <v>0</v>
      </c>
    </row>
    <row r="316" spans="10:20">
      <c r="J316">
        <f>IF($A316="","", SUMIFS(Mov_Qty, Mov_Item, $A316))</f>
        <v>0</v>
      </c>
      <c r="K316">
        <f>IF($A316="","", J316 * $E316)</f>
        <v>0</v>
      </c>
      <c r="L316">
        <f>IF($A316="","", SUMIFS(-Mov_Qty, Mov_Item, $A316, Mov_Type, "Consumption", Mov_Date, "&gt;="&amp;$V$2, Mov_Date, "&lt;="&amp;$W$2))</f>
        <v>0</v>
      </c>
      <c r="M316">
        <f>IF($A316="","", SUMIFS(-Mov_Qty, Mov_Item, $A316, Mov_Type, "Consumption", Mov_Date, "&gt;="&amp;$X$2, Mov_Date, "&lt;="&amp;$Y$2))</f>
        <v>0</v>
      </c>
      <c r="N316">
        <f>IF($A316="","", SUMIFS(-Mov_Qty, Mov_Item, $A316, Mov_Type, "Consumption", Mov_Date, "&gt;="&amp;$Z$2, Mov_Date, "&lt;="&amp;$AA$2))</f>
        <v>0</v>
      </c>
      <c r="O316">
        <f>IFERROR(AVERAGE(L316:N316),"")</f>
        <v>0</v>
      </c>
      <c r="P316">
        <f>IF(O316&gt;=Cfg_HiMove, "Yes", "")</f>
        <v>0</v>
      </c>
      <c r="Q316">
        <f>IF($A316="","", $I316 + IFERROR(O316/30*$H316,0))</f>
        <v>0</v>
      </c>
      <c r="R316">
        <f>IF($A316="","", IF(J316&lt;=$F316, "Yes", ""))</f>
        <v>0</v>
      </c>
      <c r="S316">
        <f>IF(R316="Yes", CEILING(MAX($G316, Q316-J316), $G316), 0)</f>
        <v>0</v>
      </c>
      <c r="T316">
        <f>IFERROR(J316/(O316/30),"")</f>
        <v>0</v>
      </c>
    </row>
    <row r="317" spans="10:20">
      <c r="J317">
        <f>IF($A317="","", SUMIFS(Mov_Qty, Mov_Item, $A317))</f>
        <v>0</v>
      </c>
      <c r="K317">
        <f>IF($A317="","", J317 * $E317)</f>
        <v>0</v>
      </c>
      <c r="L317">
        <f>IF($A317="","", SUMIFS(-Mov_Qty, Mov_Item, $A317, Mov_Type, "Consumption", Mov_Date, "&gt;="&amp;$V$2, Mov_Date, "&lt;="&amp;$W$2))</f>
        <v>0</v>
      </c>
      <c r="M317">
        <f>IF($A317="","", SUMIFS(-Mov_Qty, Mov_Item, $A317, Mov_Type, "Consumption", Mov_Date, "&gt;="&amp;$X$2, Mov_Date, "&lt;="&amp;$Y$2))</f>
        <v>0</v>
      </c>
      <c r="N317">
        <f>IF($A317="","", SUMIFS(-Mov_Qty, Mov_Item, $A317, Mov_Type, "Consumption", Mov_Date, "&gt;="&amp;$Z$2, Mov_Date, "&lt;="&amp;$AA$2))</f>
        <v>0</v>
      </c>
      <c r="O317">
        <f>IFERROR(AVERAGE(L317:N317),"")</f>
        <v>0</v>
      </c>
      <c r="P317">
        <f>IF(O317&gt;=Cfg_HiMove, "Yes", "")</f>
        <v>0</v>
      </c>
      <c r="Q317">
        <f>IF($A317="","", $I317 + IFERROR(O317/30*$H317,0))</f>
        <v>0</v>
      </c>
      <c r="R317">
        <f>IF($A317="","", IF(J317&lt;=$F317, "Yes", ""))</f>
        <v>0</v>
      </c>
      <c r="S317">
        <f>IF(R317="Yes", CEILING(MAX($G317, Q317-J317), $G317), 0)</f>
        <v>0</v>
      </c>
      <c r="T317">
        <f>IFERROR(J317/(O317/30),"")</f>
        <v>0</v>
      </c>
    </row>
    <row r="318" spans="10:20">
      <c r="J318">
        <f>IF($A318="","", SUMIFS(Mov_Qty, Mov_Item, $A318))</f>
        <v>0</v>
      </c>
      <c r="K318">
        <f>IF($A318="","", J318 * $E318)</f>
        <v>0</v>
      </c>
      <c r="L318">
        <f>IF($A318="","", SUMIFS(-Mov_Qty, Mov_Item, $A318, Mov_Type, "Consumption", Mov_Date, "&gt;="&amp;$V$2, Mov_Date, "&lt;="&amp;$W$2))</f>
        <v>0</v>
      </c>
      <c r="M318">
        <f>IF($A318="","", SUMIFS(-Mov_Qty, Mov_Item, $A318, Mov_Type, "Consumption", Mov_Date, "&gt;="&amp;$X$2, Mov_Date, "&lt;="&amp;$Y$2))</f>
        <v>0</v>
      </c>
      <c r="N318">
        <f>IF($A318="","", SUMIFS(-Mov_Qty, Mov_Item, $A318, Mov_Type, "Consumption", Mov_Date, "&gt;="&amp;$Z$2, Mov_Date, "&lt;="&amp;$AA$2))</f>
        <v>0</v>
      </c>
      <c r="O318">
        <f>IFERROR(AVERAGE(L318:N318),"")</f>
        <v>0</v>
      </c>
      <c r="P318">
        <f>IF(O318&gt;=Cfg_HiMove, "Yes", "")</f>
        <v>0</v>
      </c>
      <c r="Q318">
        <f>IF($A318="","", $I318 + IFERROR(O318/30*$H318,0))</f>
        <v>0</v>
      </c>
      <c r="R318">
        <f>IF($A318="","", IF(J318&lt;=$F318, "Yes", ""))</f>
        <v>0</v>
      </c>
      <c r="S318">
        <f>IF(R318="Yes", CEILING(MAX($G318, Q318-J318), $G318), 0)</f>
        <v>0</v>
      </c>
      <c r="T318">
        <f>IFERROR(J318/(O318/30),"")</f>
        <v>0</v>
      </c>
    </row>
    <row r="319" spans="10:20">
      <c r="J319">
        <f>IF($A319="","", SUMIFS(Mov_Qty, Mov_Item, $A319))</f>
        <v>0</v>
      </c>
      <c r="K319">
        <f>IF($A319="","", J319 * $E319)</f>
        <v>0</v>
      </c>
      <c r="L319">
        <f>IF($A319="","", SUMIFS(-Mov_Qty, Mov_Item, $A319, Mov_Type, "Consumption", Mov_Date, "&gt;="&amp;$V$2, Mov_Date, "&lt;="&amp;$W$2))</f>
        <v>0</v>
      </c>
      <c r="M319">
        <f>IF($A319="","", SUMIFS(-Mov_Qty, Mov_Item, $A319, Mov_Type, "Consumption", Mov_Date, "&gt;="&amp;$X$2, Mov_Date, "&lt;="&amp;$Y$2))</f>
        <v>0</v>
      </c>
      <c r="N319">
        <f>IF($A319="","", SUMIFS(-Mov_Qty, Mov_Item, $A319, Mov_Type, "Consumption", Mov_Date, "&gt;="&amp;$Z$2, Mov_Date, "&lt;="&amp;$AA$2))</f>
        <v>0</v>
      </c>
      <c r="O319">
        <f>IFERROR(AVERAGE(L319:N319),"")</f>
        <v>0</v>
      </c>
      <c r="P319">
        <f>IF(O319&gt;=Cfg_HiMove, "Yes", "")</f>
        <v>0</v>
      </c>
      <c r="Q319">
        <f>IF($A319="","", $I319 + IFERROR(O319/30*$H319,0))</f>
        <v>0</v>
      </c>
      <c r="R319">
        <f>IF($A319="","", IF(J319&lt;=$F319, "Yes", ""))</f>
        <v>0</v>
      </c>
      <c r="S319">
        <f>IF(R319="Yes", CEILING(MAX($G319, Q319-J319), $G319), 0)</f>
        <v>0</v>
      </c>
      <c r="T319">
        <f>IFERROR(J319/(O319/30),"")</f>
        <v>0</v>
      </c>
    </row>
    <row r="320" spans="10:20">
      <c r="J320">
        <f>IF($A320="","", SUMIFS(Mov_Qty, Mov_Item, $A320))</f>
        <v>0</v>
      </c>
      <c r="K320">
        <f>IF($A320="","", J320 * $E320)</f>
        <v>0</v>
      </c>
      <c r="L320">
        <f>IF($A320="","", SUMIFS(-Mov_Qty, Mov_Item, $A320, Mov_Type, "Consumption", Mov_Date, "&gt;="&amp;$V$2, Mov_Date, "&lt;="&amp;$W$2))</f>
        <v>0</v>
      </c>
      <c r="M320">
        <f>IF($A320="","", SUMIFS(-Mov_Qty, Mov_Item, $A320, Mov_Type, "Consumption", Mov_Date, "&gt;="&amp;$X$2, Mov_Date, "&lt;="&amp;$Y$2))</f>
        <v>0</v>
      </c>
      <c r="N320">
        <f>IF($A320="","", SUMIFS(-Mov_Qty, Mov_Item, $A320, Mov_Type, "Consumption", Mov_Date, "&gt;="&amp;$Z$2, Mov_Date, "&lt;="&amp;$AA$2))</f>
        <v>0</v>
      </c>
      <c r="O320">
        <f>IFERROR(AVERAGE(L320:N320),"")</f>
        <v>0</v>
      </c>
      <c r="P320">
        <f>IF(O320&gt;=Cfg_HiMove, "Yes", "")</f>
        <v>0</v>
      </c>
      <c r="Q320">
        <f>IF($A320="","", $I320 + IFERROR(O320/30*$H320,0))</f>
        <v>0</v>
      </c>
      <c r="R320">
        <f>IF($A320="","", IF(J320&lt;=$F320, "Yes", ""))</f>
        <v>0</v>
      </c>
      <c r="S320">
        <f>IF(R320="Yes", CEILING(MAX($G320, Q320-J320), $G320), 0)</f>
        <v>0</v>
      </c>
      <c r="T320">
        <f>IFERROR(J320/(O320/30),"")</f>
        <v>0</v>
      </c>
    </row>
    <row r="321" spans="10:20">
      <c r="J321">
        <f>IF($A321="","", SUMIFS(Mov_Qty, Mov_Item, $A321))</f>
        <v>0</v>
      </c>
      <c r="K321">
        <f>IF($A321="","", J321 * $E321)</f>
        <v>0</v>
      </c>
      <c r="L321">
        <f>IF($A321="","", SUMIFS(-Mov_Qty, Mov_Item, $A321, Mov_Type, "Consumption", Mov_Date, "&gt;="&amp;$V$2, Mov_Date, "&lt;="&amp;$W$2))</f>
        <v>0</v>
      </c>
      <c r="M321">
        <f>IF($A321="","", SUMIFS(-Mov_Qty, Mov_Item, $A321, Mov_Type, "Consumption", Mov_Date, "&gt;="&amp;$X$2, Mov_Date, "&lt;="&amp;$Y$2))</f>
        <v>0</v>
      </c>
      <c r="N321">
        <f>IF($A321="","", SUMIFS(-Mov_Qty, Mov_Item, $A321, Mov_Type, "Consumption", Mov_Date, "&gt;="&amp;$Z$2, Mov_Date, "&lt;="&amp;$AA$2))</f>
        <v>0</v>
      </c>
      <c r="O321">
        <f>IFERROR(AVERAGE(L321:N321),"")</f>
        <v>0</v>
      </c>
      <c r="P321">
        <f>IF(O321&gt;=Cfg_HiMove, "Yes", "")</f>
        <v>0</v>
      </c>
      <c r="Q321">
        <f>IF($A321="","", $I321 + IFERROR(O321/30*$H321,0))</f>
        <v>0</v>
      </c>
      <c r="R321">
        <f>IF($A321="","", IF(J321&lt;=$F321, "Yes", ""))</f>
        <v>0</v>
      </c>
      <c r="S321">
        <f>IF(R321="Yes", CEILING(MAX($G321, Q321-J321), $G321), 0)</f>
        <v>0</v>
      </c>
      <c r="T321">
        <f>IFERROR(J321/(O321/30),"")</f>
        <v>0</v>
      </c>
    </row>
    <row r="322" spans="10:20">
      <c r="J322">
        <f>IF($A322="","", SUMIFS(Mov_Qty, Mov_Item, $A322))</f>
        <v>0</v>
      </c>
      <c r="K322">
        <f>IF($A322="","", J322 * $E322)</f>
        <v>0</v>
      </c>
      <c r="L322">
        <f>IF($A322="","", SUMIFS(-Mov_Qty, Mov_Item, $A322, Mov_Type, "Consumption", Mov_Date, "&gt;="&amp;$V$2, Mov_Date, "&lt;="&amp;$W$2))</f>
        <v>0</v>
      </c>
      <c r="M322">
        <f>IF($A322="","", SUMIFS(-Mov_Qty, Mov_Item, $A322, Mov_Type, "Consumption", Mov_Date, "&gt;="&amp;$X$2, Mov_Date, "&lt;="&amp;$Y$2))</f>
        <v>0</v>
      </c>
      <c r="N322">
        <f>IF($A322="","", SUMIFS(-Mov_Qty, Mov_Item, $A322, Mov_Type, "Consumption", Mov_Date, "&gt;="&amp;$Z$2, Mov_Date, "&lt;="&amp;$AA$2))</f>
        <v>0</v>
      </c>
      <c r="O322">
        <f>IFERROR(AVERAGE(L322:N322),"")</f>
        <v>0</v>
      </c>
      <c r="P322">
        <f>IF(O322&gt;=Cfg_HiMove, "Yes", "")</f>
        <v>0</v>
      </c>
      <c r="Q322">
        <f>IF($A322="","", $I322 + IFERROR(O322/30*$H322,0))</f>
        <v>0</v>
      </c>
      <c r="R322">
        <f>IF($A322="","", IF(J322&lt;=$F322, "Yes", ""))</f>
        <v>0</v>
      </c>
      <c r="S322">
        <f>IF(R322="Yes", CEILING(MAX($G322, Q322-J322), $G322), 0)</f>
        <v>0</v>
      </c>
      <c r="T322">
        <f>IFERROR(J322/(O322/30),"")</f>
        <v>0</v>
      </c>
    </row>
    <row r="323" spans="10:20">
      <c r="J323">
        <f>IF($A323="","", SUMIFS(Mov_Qty, Mov_Item, $A323))</f>
        <v>0</v>
      </c>
      <c r="K323">
        <f>IF($A323="","", J323 * $E323)</f>
        <v>0</v>
      </c>
      <c r="L323">
        <f>IF($A323="","", SUMIFS(-Mov_Qty, Mov_Item, $A323, Mov_Type, "Consumption", Mov_Date, "&gt;="&amp;$V$2, Mov_Date, "&lt;="&amp;$W$2))</f>
        <v>0</v>
      </c>
      <c r="M323">
        <f>IF($A323="","", SUMIFS(-Mov_Qty, Mov_Item, $A323, Mov_Type, "Consumption", Mov_Date, "&gt;="&amp;$X$2, Mov_Date, "&lt;="&amp;$Y$2))</f>
        <v>0</v>
      </c>
      <c r="N323">
        <f>IF($A323="","", SUMIFS(-Mov_Qty, Mov_Item, $A323, Mov_Type, "Consumption", Mov_Date, "&gt;="&amp;$Z$2, Mov_Date, "&lt;="&amp;$AA$2))</f>
        <v>0</v>
      </c>
      <c r="O323">
        <f>IFERROR(AVERAGE(L323:N323),"")</f>
        <v>0</v>
      </c>
      <c r="P323">
        <f>IF(O323&gt;=Cfg_HiMove, "Yes", "")</f>
        <v>0</v>
      </c>
      <c r="Q323">
        <f>IF($A323="","", $I323 + IFERROR(O323/30*$H323,0))</f>
        <v>0</v>
      </c>
      <c r="R323">
        <f>IF($A323="","", IF(J323&lt;=$F323, "Yes", ""))</f>
        <v>0</v>
      </c>
      <c r="S323">
        <f>IF(R323="Yes", CEILING(MAX($G323, Q323-J323), $G323), 0)</f>
        <v>0</v>
      </c>
      <c r="T323">
        <f>IFERROR(J323/(O323/30),"")</f>
        <v>0</v>
      </c>
    </row>
    <row r="324" spans="10:20">
      <c r="J324">
        <f>IF($A324="","", SUMIFS(Mov_Qty, Mov_Item, $A324))</f>
        <v>0</v>
      </c>
      <c r="K324">
        <f>IF($A324="","", J324 * $E324)</f>
        <v>0</v>
      </c>
      <c r="L324">
        <f>IF($A324="","", SUMIFS(-Mov_Qty, Mov_Item, $A324, Mov_Type, "Consumption", Mov_Date, "&gt;="&amp;$V$2, Mov_Date, "&lt;="&amp;$W$2))</f>
        <v>0</v>
      </c>
      <c r="M324">
        <f>IF($A324="","", SUMIFS(-Mov_Qty, Mov_Item, $A324, Mov_Type, "Consumption", Mov_Date, "&gt;="&amp;$X$2, Mov_Date, "&lt;="&amp;$Y$2))</f>
        <v>0</v>
      </c>
      <c r="N324">
        <f>IF($A324="","", SUMIFS(-Mov_Qty, Mov_Item, $A324, Mov_Type, "Consumption", Mov_Date, "&gt;="&amp;$Z$2, Mov_Date, "&lt;="&amp;$AA$2))</f>
        <v>0</v>
      </c>
      <c r="O324">
        <f>IFERROR(AVERAGE(L324:N324),"")</f>
        <v>0</v>
      </c>
      <c r="P324">
        <f>IF(O324&gt;=Cfg_HiMove, "Yes", "")</f>
        <v>0</v>
      </c>
      <c r="Q324">
        <f>IF($A324="","", $I324 + IFERROR(O324/30*$H324,0))</f>
        <v>0</v>
      </c>
      <c r="R324">
        <f>IF($A324="","", IF(J324&lt;=$F324, "Yes", ""))</f>
        <v>0</v>
      </c>
      <c r="S324">
        <f>IF(R324="Yes", CEILING(MAX($G324, Q324-J324), $G324), 0)</f>
        <v>0</v>
      </c>
      <c r="T324">
        <f>IFERROR(J324/(O324/30),"")</f>
        <v>0</v>
      </c>
    </row>
    <row r="325" spans="10:20">
      <c r="J325">
        <f>IF($A325="","", SUMIFS(Mov_Qty, Mov_Item, $A325))</f>
        <v>0</v>
      </c>
      <c r="K325">
        <f>IF($A325="","", J325 * $E325)</f>
        <v>0</v>
      </c>
      <c r="L325">
        <f>IF($A325="","", SUMIFS(-Mov_Qty, Mov_Item, $A325, Mov_Type, "Consumption", Mov_Date, "&gt;="&amp;$V$2, Mov_Date, "&lt;="&amp;$W$2))</f>
        <v>0</v>
      </c>
      <c r="M325">
        <f>IF($A325="","", SUMIFS(-Mov_Qty, Mov_Item, $A325, Mov_Type, "Consumption", Mov_Date, "&gt;="&amp;$X$2, Mov_Date, "&lt;="&amp;$Y$2))</f>
        <v>0</v>
      </c>
      <c r="N325">
        <f>IF($A325="","", SUMIFS(-Mov_Qty, Mov_Item, $A325, Mov_Type, "Consumption", Mov_Date, "&gt;="&amp;$Z$2, Mov_Date, "&lt;="&amp;$AA$2))</f>
        <v>0</v>
      </c>
      <c r="O325">
        <f>IFERROR(AVERAGE(L325:N325),"")</f>
        <v>0</v>
      </c>
      <c r="P325">
        <f>IF(O325&gt;=Cfg_HiMove, "Yes", "")</f>
        <v>0</v>
      </c>
      <c r="Q325">
        <f>IF($A325="","", $I325 + IFERROR(O325/30*$H325,0))</f>
        <v>0</v>
      </c>
      <c r="R325">
        <f>IF($A325="","", IF(J325&lt;=$F325, "Yes", ""))</f>
        <v>0</v>
      </c>
      <c r="S325">
        <f>IF(R325="Yes", CEILING(MAX($G325, Q325-J325), $G325), 0)</f>
        <v>0</v>
      </c>
      <c r="T325">
        <f>IFERROR(J325/(O325/30),"")</f>
        <v>0</v>
      </c>
    </row>
    <row r="326" spans="10:20">
      <c r="J326">
        <f>IF($A326="","", SUMIFS(Mov_Qty, Mov_Item, $A326))</f>
        <v>0</v>
      </c>
      <c r="K326">
        <f>IF($A326="","", J326 * $E326)</f>
        <v>0</v>
      </c>
      <c r="L326">
        <f>IF($A326="","", SUMIFS(-Mov_Qty, Mov_Item, $A326, Mov_Type, "Consumption", Mov_Date, "&gt;="&amp;$V$2, Mov_Date, "&lt;="&amp;$W$2))</f>
        <v>0</v>
      </c>
      <c r="M326">
        <f>IF($A326="","", SUMIFS(-Mov_Qty, Mov_Item, $A326, Mov_Type, "Consumption", Mov_Date, "&gt;="&amp;$X$2, Mov_Date, "&lt;="&amp;$Y$2))</f>
        <v>0</v>
      </c>
      <c r="N326">
        <f>IF($A326="","", SUMIFS(-Mov_Qty, Mov_Item, $A326, Mov_Type, "Consumption", Mov_Date, "&gt;="&amp;$Z$2, Mov_Date, "&lt;="&amp;$AA$2))</f>
        <v>0</v>
      </c>
      <c r="O326">
        <f>IFERROR(AVERAGE(L326:N326),"")</f>
        <v>0</v>
      </c>
      <c r="P326">
        <f>IF(O326&gt;=Cfg_HiMove, "Yes", "")</f>
        <v>0</v>
      </c>
      <c r="Q326">
        <f>IF($A326="","", $I326 + IFERROR(O326/30*$H326,0))</f>
        <v>0</v>
      </c>
      <c r="R326">
        <f>IF($A326="","", IF(J326&lt;=$F326, "Yes", ""))</f>
        <v>0</v>
      </c>
      <c r="S326">
        <f>IF(R326="Yes", CEILING(MAX($G326, Q326-J326), $G326), 0)</f>
        <v>0</v>
      </c>
      <c r="T326">
        <f>IFERROR(J326/(O326/30),"")</f>
        <v>0</v>
      </c>
    </row>
    <row r="327" spans="10:20">
      <c r="J327">
        <f>IF($A327="","", SUMIFS(Mov_Qty, Mov_Item, $A327))</f>
        <v>0</v>
      </c>
      <c r="K327">
        <f>IF($A327="","", J327 * $E327)</f>
        <v>0</v>
      </c>
      <c r="L327">
        <f>IF($A327="","", SUMIFS(-Mov_Qty, Mov_Item, $A327, Mov_Type, "Consumption", Mov_Date, "&gt;="&amp;$V$2, Mov_Date, "&lt;="&amp;$W$2))</f>
        <v>0</v>
      </c>
      <c r="M327">
        <f>IF($A327="","", SUMIFS(-Mov_Qty, Mov_Item, $A327, Mov_Type, "Consumption", Mov_Date, "&gt;="&amp;$X$2, Mov_Date, "&lt;="&amp;$Y$2))</f>
        <v>0</v>
      </c>
      <c r="N327">
        <f>IF($A327="","", SUMIFS(-Mov_Qty, Mov_Item, $A327, Mov_Type, "Consumption", Mov_Date, "&gt;="&amp;$Z$2, Mov_Date, "&lt;="&amp;$AA$2))</f>
        <v>0</v>
      </c>
      <c r="O327">
        <f>IFERROR(AVERAGE(L327:N327),"")</f>
        <v>0</v>
      </c>
      <c r="P327">
        <f>IF(O327&gt;=Cfg_HiMove, "Yes", "")</f>
        <v>0</v>
      </c>
      <c r="Q327">
        <f>IF($A327="","", $I327 + IFERROR(O327/30*$H327,0))</f>
        <v>0</v>
      </c>
      <c r="R327">
        <f>IF($A327="","", IF(J327&lt;=$F327, "Yes", ""))</f>
        <v>0</v>
      </c>
      <c r="S327">
        <f>IF(R327="Yes", CEILING(MAX($G327, Q327-J327), $G327), 0)</f>
        <v>0</v>
      </c>
      <c r="T327">
        <f>IFERROR(J327/(O327/30),"")</f>
        <v>0</v>
      </c>
    </row>
    <row r="328" spans="10:20">
      <c r="J328">
        <f>IF($A328="","", SUMIFS(Mov_Qty, Mov_Item, $A328))</f>
        <v>0</v>
      </c>
      <c r="K328">
        <f>IF($A328="","", J328 * $E328)</f>
        <v>0</v>
      </c>
      <c r="L328">
        <f>IF($A328="","", SUMIFS(-Mov_Qty, Mov_Item, $A328, Mov_Type, "Consumption", Mov_Date, "&gt;="&amp;$V$2, Mov_Date, "&lt;="&amp;$W$2))</f>
        <v>0</v>
      </c>
      <c r="M328">
        <f>IF($A328="","", SUMIFS(-Mov_Qty, Mov_Item, $A328, Mov_Type, "Consumption", Mov_Date, "&gt;="&amp;$X$2, Mov_Date, "&lt;="&amp;$Y$2))</f>
        <v>0</v>
      </c>
      <c r="N328">
        <f>IF($A328="","", SUMIFS(-Mov_Qty, Mov_Item, $A328, Mov_Type, "Consumption", Mov_Date, "&gt;="&amp;$Z$2, Mov_Date, "&lt;="&amp;$AA$2))</f>
        <v>0</v>
      </c>
      <c r="O328">
        <f>IFERROR(AVERAGE(L328:N328),"")</f>
        <v>0</v>
      </c>
      <c r="P328">
        <f>IF(O328&gt;=Cfg_HiMove, "Yes", "")</f>
        <v>0</v>
      </c>
      <c r="Q328">
        <f>IF($A328="","", $I328 + IFERROR(O328/30*$H328,0))</f>
        <v>0</v>
      </c>
      <c r="R328">
        <f>IF($A328="","", IF(J328&lt;=$F328, "Yes", ""))</f>
        <v>0</v>
      </c>
      <c r="S328">
        <f>IF(R328="Yes", CEILING(MAX($G328, Q328-J328), $G328), 0)</f>
        <v>0</v>
      </c>
      <c r="T328">
        <f>IFERROR(J328/(O328/30),"")</f>
        <v>0</v>
      </c>
    </row>
    <row r="329" spans="10:20">
      <c r="J329">
        <f>IF($A329="","", SUMIFS(Mov_Qty, Mov_Item, $A329))</f>
        <v>0</v>
      </c>
      <c r="K329">
        <f>IF($A329="","", J329 * $E329)</f>
        <v>0</v>
      </c>
      <c r="L329">
        <f>IF($A329="","", SUMIFS(-Mov_Qty, Mov_Item, $A329, Mov_Type, "Consumption", Mov_Date, "&gt;="&amp;$V$2, Mov_Date, "&lt;="&amp;$W$2))</f>
        <v>0</v>
      </c>
      <c r="M329">
        <f>IF($A329="","", SUMIFS(-Mov_Qty, Mov_Item, $A329, Mov_Type, "Consumption", Mov_Date, "&gt;="&amp;$X$2, Mov_Date, "&lt;="&amp;$Y$2))</f>
        <v>0</v>
      </c>
      <c r="N329">
        <f>IF($A329="","", SUMIFS(-Mov_Qty, Mov_Item, $A329, Mov_Type, "Consumption", Mov_Date, "&gt;="&amp;$Z$2, Mov_Date, "&lt;="&amp;$AA$2))</f>
        <v>0</v>
      </c>
      <c r="O329">
        <f>IFERROR(AVERAGE(L329:N329),"")</f>
        <v>0</v>
      </c>
      <c r="P329">
        <f>IF(O329&gt;=Cfg_HiMove, "Yes", "")</f>
        <v>0</v>
      </c>
      <c r="Q329">
        <f>IF($A329="","", $I329 + IFERROR(O329/30*$H329,0))</f>
        <v>0</v>
      </c>
      <c r="R329">
        <f>IF($A329="","", IF(J329&lt;=$F329, "Yes", ""))</f>
        <v>0</v>
      </c>
      <c r="S329">
        <f>IF(R329="Yes", CEILING(MAX($G329, Q329-J329), $G329), 0)</f>
        <v>0</v>
      </c>
      <c r="T329">
        <f>IFERROR(J329/(O329/30),"")</f>
        <v>0</v>
      </c>
    </row>
    <row r="330" spans="10:20">
      <c r="J330">
        <f>IF($A330="","", SUMIFS(Mov_Qty, Mov_Item, $A330))</f>
        <v>0</v>
      </c>
      <c r="K330">
        <f>IF($A330="","", J330 * $E330)</f>
        <v>0</v>
      </c>
      <c r="L330">
        <f>IF($A330="","", SUMIFS(-Mov_Qty, Mov_Item, $A330, Mov_Type, "Consumption", Mov_Date, "&gt;="&amp;$V$2, Mov_Date, "&lt;="&amp;$W$2))</f>
        <v>0</v>
      </c>
      <c r="M330">
        <f>IF($A330="","", SUMIFS(-Mov_Qty, Mov_Item, $A330, Mov_Type, "Consumption", Mov_Date, "&gt;="&amp;$X$2, Mov_Date, "&lt;="&amp;$Y$2))</f>
        <v>0</v>
      </c>
      <c r="N330">
        <f>IF($A330="","", SUMIFS(-Mov_Qty, Mov_Item, $A330, Mov_Type, "Consumption", Mov_Date, "&gt;="&amp;$Z$2, Mov_Date, "&lt;="&amp;$AA$2))</f>
        <v>0</v>
      </c>
      <c r="O330">
        <f>IFERROR(AVERAGE(L330:N330),"")</f>
        <v>0</v>
      </c>
      <c r="P330">
        <f>IF(O330&gt;=Cfg_HiMove, "Yes", "")</f>
        <v>0</v>
      </c>
      <c r="Q330">
        <f>IF($A330="","", $I330 + IFERROR(O330/30*$H330,0))</f>
        <v>0</v>
      </c>
      <c r="R330">
        <f>IF($A330="","", IF(J330&lt;=$F330, "Yes", ""))</f>
        <v>0</v>
      </c>
      <c r="S330">
        <f>IF(R330="Yes", CEILING(MAX($G330, Q330-J330), $G330), 0)</f>
        <v>0</v>
      </c>
      <c r="T330">
        <f>IFERROR(J330/(O330/30),"")</f>
        <v>0</v>
      </c>
    </row>
    <row r="331" spans="10:20">
      <c r="J331">
        <f>IF($A331="","", SUMIFS(Mov_Qty, Mov_Item, $A331))</f>
        <v>0</v>
      </c>
      <c r="K331">
        <f>IF($A331="","", J331 * $E331)</f>
        <v>0</v>
      </c>
      <c r="L331">
        <f>IF($A331="","", SUMIFS(-Mov_Qty, Mov_Item, $A331, Mov_Type, "Consumption", Mov_Date, "&gt;="&amp;$V$2, Mov_Date, "&lt;="&amp;$W$2))</f>
        <v>0</v>
      </c>
      <c r="M331">
        <f>IF($A331="","", SUMIFS(-Mov_Qty, Mov_Item, $A331, Mov_Type, "Consumption", Mov_Date, "&gt;="&amp;$X$2, Mov_Date, "&lt;="&amp;$Y$2))</f>
        <v>0</v>
      </c>
      <c r="N331">
        <f>IF($A331="","", SUMIFS(-Mov_Qty, Mov_Item, $A331, Mov_Type, "Consumption", Mov_Date, "&gt;="&amp;$Z$2, Mov_Date, "&lt;="&amp;$AA$2))</f>
        <v>0</v>
      </c>
      <c r="O331">
        <f>IFERROR(AVERAGE(L331:N331),"")</f>
        <v>0</v>
      </c>
      <c r="P331">
        <f>IF(O331&gt;=Cfg_HiMove, "Yes", "")</f>
        <v>0</v>
      </c>
      <c r="Q331">
        <f>IF($A331="","", $I331 + IFERROR(O331/30*$H331,0))</f>
        <v>0</v>
      </c>
      <c r="R331">
        <f>IF($A331="","", IF(J331&lt;=$F331, "Yes", ""))</f>
        <v>0</v>
      </c>
      <c r="S331">
        <f>IF(R331="Yes", CEILING(MAX($G331, Q331-J331), $G331), 0)</f>
        <v>0</v>
      </c>
      <c r="T331">
        <f>IFERROR(J331/(O331/30),"")</f>
        <v>0</v>
      </c>
    </row>
    <row r="332" spans="10:20">
      <c r="J332">
        <f>IF($A332="","", SUMIFS(Mov_Qty, Mov_Item, $A332))</f>
        <v>0</v>
      </c>
      <c r="K332">
        <f>IF($A332="","", J332 * $E332)</f>
        <v>0</v>
      </c>
      <c r="L332">
        <f>IF($A332="","", SUMIFS(-Mov_Qty, Mov_Item, $A332, Mov_Type, "Consumption", Mov_Date, "&gt;="&amp;$V$2, Mov_Date, "&lt;="&amp;$W$2))</f>
        <v>0</v>
      </c>
      <c r="M332">
        <f>IF($A332="","", SUMIFS(-Mov_Qty, Mov_Item, $A332, Mov_Type, "Consumption", Mov_Date, "&gt;="&amp;$X$2, Mov_Date, "&lt;="&amp;$Y$2))</f>
        <v>0</v>
      </c>
      <c r="N332">
        <f>IF($A332="","", SUMIFS(-Mov_Qty, Mov_Item, $A332, Mov_Type, "Consumption", Mov_Date, "&gt;="&amp;$Z$2, Mov_Date, "&lt;="&amp;$AA$2))</f>
        <v>0</v>
      </c>
      <c r="O332">
        <f>IFERROR(AVERAGE(L332:N332),"")</f>
        <v>0</v>
      </c>
      <c r="P332">
        <f>IF(O332&gt;=Cfg_HiMove, "Yes", "")</f>
        <v>0</v>
      </c>
      <c r="Q332">
        <f>IF($A332="","", $I332 + IFERROR(O332/30*$H332,0))</f>
        <v>0</v>
      </c>
      <c r="R332">
        <f>IF($A332="","", IF(J332&lt;=$F332, "Yes", ""))</f>
        <v>0</v>
      </c>
      <c r="S332">
        <f>IF(R332="Yes", CEILING(MAX($G332, Q332-J332), $G332), 0)</f>
        <v>0</v>
      </c>
      <c r="T332">
        <f>IFERROR(J332/(O332/30),"")</f>
        <v>0</v>
      </c>
    </row>
    <row r="333" spans="10:20">
      <c r="J333">
        <f>IF($A333="","", SUMIFS(Mov_Qty, Mov_Item, $A333))</f>
        <v>0</v>
      </c>
      <c r="K333">
        <f>IF($A333="","", J333 * $E333)</f>
        <v>0</v>
      </c>
      <c r="L333">
        <f>IF($A333="","", SUMIFS(-Mov_Qty, Mov_Item, $A333, Mov_Type, "Consumption", Mov_Date, "&gt;="&amp;$V$2, Mov_Date, "&lt;="&amp;$W$2))</f>
        <v>0</v>
      </c>
      <c r="M333">
        <f>IF($A333="","", SUMIFS(-Mov_Qty, Mov_Item, $A333, Mov_Type, "Consumption", Mov_Date, "&gt;="&amp;$X$2, Mov_Date, "&lt;="&amp;$Y$2))</f>
        <v>0</v>
      </c>
      <c r="N333">
        <f>IF($A333="","", SUMIFS(-Mov_Qty, Mov_Item, $A333, Mov_Type, "Consumption", Mov_Date, "&gt;="&amp;$Z$2, Mov_Date, "&lt;="&amp;$AA$2))</f>
        <v>0</v>
      </c>
      <c r="O333">
        <f>IFERROR(AVERAGE(L333:N333),"")</f>
        <v>0</v>
      </c>
      <c r="P333">
        <f>IF(O333&gt;=Cfg_HiMove, "Yes", "")</f>
        <v>0</v>
      </c>
      <c r="Q333">
        <f>IF($A333="","", $I333 + IFERROR(O333/30*$H333,0))</f>
        <v>0</v>
      </c>
      <c r="R333">
        <f>IF($A333="","", IF(J333&lt;=$F333, "Yes", ""))</f>
        <v>0</v>
      </c>
      <c r="S333">
        <f>IF(R333="Yes", CEILING(MAX($G333, Q333-J333), $G333), 0)</f>
        <v>0</v>
      </c>
      <c r="T333">
        <f>IFERROR(J333/(O333/30),"")</f>
        <v>0</v>
      </c>
    </row>
    <row r="334" spans="10:20">
      <c r="J334">
        <f>IF($A334="","", SUMIFS(Mov_Qty, Mov_Item, $A334))</f>
        <v>0</v>
      </c>
      <c r="K334">
        <f>IF($A334="","", J334 * $E334)</f>
        <v>0</v>
      </c>
      <c r="L334">
        <f>IF($A334="","", SUMIFS(-Mov_Qty, Mov_Item, $A334, Mov_Type, "Consumption", Mov_Date, "&gt;="&amp;$V$2, Mov_Date, "&lt;="&amp;$W$2))</f>
        <v>0</v>
      </c>
      <c r="M334">
        <f>IF($A334="","", SUMIFS(-Mov_Qty, Mov_Item, $A334, Mov_Type, "Consumption", Mov_Date, "&gt;="&amp;$X$2, Mov_Date, "&lt;="&amp;$Y$2))</f>
        <v>0</v>
      </c>
      <c r="N334">
        <f>IF($A334="","", SUMIFS(-Mov_Qty, Mov_Item, $A334, Mov_Type, "Consumption", Mov_Date, "&gt;="&amp;$Z$2, Mov_Date, "&lt;="&amp;$AA$2))</f>
        <v>0</v>
      </c>
      <c r="O334">
        <f>IFERROR(AVERAGE(L334:N334),"")</f>
        <v>0</v>
      </c>
      <c r="P334">
        <f>IF(O334&gt;=Cfg_HiMove, "Yes", "")</f>
        <v>0</v>
      </c>
      <c r="Q334">
        <f>IF($A334="","", $I334 + IFERROR(O334/30*$H334,0))</f>
        <v>0</v>
      </c>
      <c r="R334">
        <f>IF($A334="","", IF(J334&lt;=$F334, "Yes", ""))</f>
        <v>0</v>
      </c>
      <c r="S334">
        <f>IF(R334="Yes", CEILING(MAX($G334, Q334-J334), $G334), 0)</f>
        <v>0</v>
      </c>
      <c r="T334">
        <f>IFERROR(J334/(O334/30),"")</f>
        <v>0</v>
      </c>
    </row>
    <row r="335" spans="10:20">
      <c r="J335">
        <f>IF($A335="","", SUMIFS(Mov_Qty, Mov_Item, $A335))</f>
        <v>0</v>
      </c>
      <c r="K335">
        <f>IF($A335="","", J335 * $E335)</f>
        <v>0</v>
      </c>
      <c r="L335">
        <f>IF($A335="","", SUMIFS(-Mov_Qty, Mov_Item, $A335, Mov_Type, "Consumption", Mov_Date, "&gt;="&amp;$V$2, Mov_Date, "&lt;="&amp;$W$2))</f>
        <v>0</v>
      </c>
      <c r="M335">
        <f>IF($A335="","", SUMIFS(-Mov_Qty, Mov_Item, $A335, Mov_Type, "Consumption", Mov_Date, "&gt;="&amp;$X$2, Mov_Date, "&lt;="&amp;$Y$2))</f>
        <v>0</v>
      </c>
      <c r="N335">
        <f>IF($A335="","", SUMIFS(-Mov_Qty, Mov_Item, $A335, Mov_Type, "Consumption", Mov_Date, "&gt;="&amp;$Z$2, Mov_Date, "&lt;="&amp;$AA$2))</f>
        <v>0</v>
      </c>
      <c r="O335">
        <f>IFERROR(AVERAGE(L335:N335),"")</f>
        <v>0</v>
      </c>
      <c r="P335">
        <f>IF(O335&gt;=Cfg_HiMove, "Yes", "")</f>
        <v>0</v>
      </c>
      <c r="Q335">
        <f>IF($A335="","", $I335 + IFERROR(O335/30*$H335,0))</f>
        <v>0</v>
      </c>
      <c r="R335">
        <f>IF($A335="","", IF(J335&lt;=$F335, "Yes", ""))</f>
        <v>0</v>
      </c>
      <c r="S335">
        <f>IF(R335="Yes", CEILING(MAX($G335, Q335-J335), $G335), 0)</f>
        <v>0</v>
      </c>
      <c r="T335">
        <f>IFERROR(J335/(O335/30),"")</f>
        <v>0</v>
      </c>
    </row>
    <row r="336" spans="10:20">
      <c r="J336">
        <f>IF($A336="","", SUMIFS(Mov_Qty, Mov_Item, $A336))</f>
        <v>0</v>
      </c>
      <c r="K336">
        <f>IF($A336="","", J336 * $E336)</f>
        <v>0</v>
      </c>
      <c r="L336">
        <f>IF($A336="","", SUMIFS(-Mov_Qty, Mov_Item, $A336, Mov_Type, "Consumption", Mov_Date, "&gt;="&amp;$V$2, Mov_Date, "&lt;="&amp;$W$2))</f>
        <v>0</v>
      </c>
      <c r="M336">
        <f>IF($A336="","", SUMIFS(-Mov_Qty, Mov_Item, $A336, Mov_Type, "Consumption", Mov_Date, "&gt;="&amp;$X$2, Mov_Date, "&lt;="&amp;$Y$2))</f>
        <v>0</v>
      </c>
      <c r="N336">
        <f>IF($A336="","", SUMIFS(-Mov_Qty, Mov_Item, $A336, Mov_Type, "Consumption", Mov_Date, "&gt;="&amp;$Z$2, Mov_Date, "&lt;="&amp;$AA$2))</f>
        <v>0</v>
      </c>
      <c r="O336">
        <f>IFERROR(AVERAGE(L336:N336),"")</f>
        <v>0</v>
      </c>
      <c r="P336">
        <f>IF(O336&gt;=Cfg_HiMove, "Yes", "")</f>
        <v>0</v>
      </c>
      <c r="Q336">
        <f>IF($A336="","", $I336 + IFERROR(O336/30*$H336,0))</f>
        <v>0</v>
      </c>
      <c r="R336">
        <f>IF($A336="","", IF(J336&lt;=$F336, "Yes", ""))</f>
        <v>0</v>
      </c>
      <c r="S336">
        <f>IF(R336="Yes", CEILING(MAX($G336, Q336-J336), $G336), 0)</f>
        <v>0</v>
      </c>
      <c r="T336">
        <f>IFERROR(J336/(O336/30),"")</f>
        <v>0</v>
      </c>
    </row>
    <row r="337" spans="10:20">
      <c r="J337">
        <f>IF($A337="","", SUMIFS(Mov_Qty, Mov_Item, $A337))</f>
        <v>0</v>
      </c>
      <c r="K337">
        <f>IF($A337="","", J337 * $E337)</f>
        <v>0</v>
      </c>
      <c r="L337">
        <f>IF($A337="","", SUMIFS(-Mov_Qty, Mov_Item, $A337, Mov_Type, "Consumption", Mov_Date, "&gt;="&amp;$V$2, Mov_Date, "&lt;="&amp;$W$2))</f>
        <v>0</v>
      </c>
      <c r="M337">
        <f>IF($A337="","", SUMIFS(-Mov_Qty, Mov_Item, $A337, Mov_Type, "Consumption", Mov_Date, "&gt;="&amp;$X$2, Mov_Date, "&lt;="&amp;$Y$2))</f>
        <v>0</v>
      </c>
      <c r="N337">
        <f>IF($A337="","", SUMIFS(-Mov_Qty, Mov_Item, $A337, Mov_Type, "Consumption", Mov_Date, "&gt;="&amp;$Z$2, Mov_Date, "&lt;="&amp;$AA$2))</f>
        <v>0</v>
      </c>
      <c r="O337">
        <f>IFERROR(AVERAGE(L337:N337),"")</f>
        <v>0</v>
      </c>
      <c r="P337">
        <f>IF(O337&gt;=Cfg_HiMove, "Yes", "")</f>
        <v>0</v>
      </c>
      <c r="Q337">
        <f>IF($A337="","", $I337 + IFERROR(O337/30*$H337,0))</f>
        <v>0</v>
      </c>
      <c r="R337">
        <f>IF($A337="","", IF(J337&lt;=$F337, "Yes", ""))</f>
        <v>0</v>
      </c>
      <c r="S337">
        <f>IF(R337="Yes", CEILING(MAX($G337, Q337-J337), $G337), 0)</f>
        <v>0</v>
      </c>
      <c r="T337">
        <f>IFERROR(J337/(O337/30),"")</f>
        <v>0</v>
      </c>
    </row>
    <row r="338" spans="10:20">
      <c r="J338">
        <f>IF($A338="","", SUMIFS(Mov_Qty, Mov_Item, $A338))</f>
        <v>0</v>
      </c>
      <c r="K338">
        <f>IF($A338="","", J338 * $E338)</f>
        <v>0</v>
      </c>
      <c r="L338">
        <f>IF($A338="","", SUMIFS(-Mov_Qty, Mov_Item, $A338, Mov_Type, "Consumption", Mov_Date, "&gt;="&amp;$V$2, Mov_Date, "&lt;="&amp;$W$2))</f>
        <v>0</v>
      </c>
      <c r="M338">
        <f>IF($A338="","", SUMIFS(-Mov_Qty, Mov_Item, $A338, Mov_Type, "Consumption", Mov_Date, "&gt;="&amp;$X$2, Mov_Date, "&lt;="&amp;$Y$2))</f>
        <v>0</v>
      </c>
      <c r="N338">
        <f>IF($A338="","", SUMIFS(-Mov_Qty, Mov_Item, $A338, Mov_Type, "Consumption", Mov_Date, "&gt;="&amp;$Z$2, Mov_Date, "&lt;="&amp;$AA$2))</f>
        <v>0</v>
      </c>
      <c r="O338">
        <f>IFERROR(AVERAGE(L338:N338),"")</f>
        <v>0</v>
      </c>
      <c r="P338">
        <f>IF(O338&gt;=Cfg_HiMove, "Yes", "")</f>
        <v>0</v>
      </c>
      <c r="Q338">
        <f>IF($A338="","", $I338 + IFERROR(O338/30*$H338,0))</f>
        <v>0</v>
      </c>
      <c r="R338">
        <f>IF($A338="","", IF(J338&lt;=$F338, "Yes", ""))</f>
        <v>0</v>
      </c>
      <c r="S338">
        <f>IF(R338="Yes", CEILING(MAX($G338, Q338-J338), $G338), 0)</f>
        <v>0</v>
      </c>
      <c r="T338">
        <f>IFERROR(J338/(O338/30),"")</f>
        <v>0</v>
      </c>
    </row>
    <row r="339" spans="10:20">
      <c r="J339">
        <f>IF($A339="","", SUMIFS(Mov_Qty, Mov_Item, $A339))</f>
        <v>0</v>
      </c>
      <c r="K339">
        <f>IF($A339="","", J339 * $E339)</f>
        <v>0</v>
      </c>
      <c r="L339">
        <f>IF($A339="","", SUMIFS(-Mov_Qty, Mov_Item, $A339, Mov_Type, "Consumption", Mov_Date, "&gt;="&amp;$V$2, Mov_Date, "&lt;="&amp;$W$2))</f>
        <v>0</v>
      </c>
      <c r="M339">
        <f>IF($A339="","", SUMIFS(-Mov_Qty, Mov_Item, $A339, Mov_Type, "Consumption", Mov_Date, "&gt;="&amp;$X$2, Mov_Date, "&lt;="&amp;$Y$2))</f>
        <v>0</v>
      </c>
      <c r="N339">
        <f>IF($A339="","", SUMIFS(-Mov_Qty, Mov_Item, $A339, Mov_Type, "Consumption", Mov_Date, "&gt;="&amp;$Z$2, Mov_Date, "&lt;="&amp;$AA$2))</f>
        <v>0</v>
      </c>
      <c r="O339">
        <f>IFERROR(AVERAGE(L339:N339),"")</f>
        <v>0</v>
      </c>
      <c r="P339">
        <f>IF(O339&gt;=Cfg_HiMove, "Yes", "")</f>
        <v>0</v>
      </c>
      <c r="Q339">
        <f>IF($A339="","", $I339 + IFERROR(O339/30*$H339,0))</f>
        <v>0</v>
      </c>
      <c r="R339">
        <f>IF($A339="","", IF(J339&lt;=$F339, "Yes", ""))</f>
        <v>0</v>
      </c>
      <c r="S339">
        <f>IF(R339="Yes", CEILING(MAX($G339, Q339-J339), $G339), 0)</f>
        <v>0</v>
      </c>
      <c r="T339">
        <f>IFERROR(J339/(O339/30),"")</f>
        <v>0</v>
      </c>
    </row>
    <row r="340" spans="10:20">
      <c r="J340">
        <f>IF($A340="","", SUMIFS(Mov_Qty, Mov_Item, $A340))</f>
        <v>0</v>
      </c>
      <c r="K340">
        <f>IF($A340="","", J340 * $E340)</f>
        <v>0</v>
      </c>
      <c r="L340">
        <f>IF($A340="","", SUMIFS(-Mov_Qty, Mov_Item, $A340, Mov_Type, "Consumption", Mov_Date, "&gt;="&amp;$V$2, Mov_Date, "&lt;="&amp;$W$2))</f>
        <v>0</v>
      </c>
      <c r="M340">
        <f>IF($A340="","", SUMIFS(-Mov_Qty, Mov_Item, $A340, Mov_Type, "Consumption", Mov_Date, "&gt;="&amp;$X$2, Mov_Date, "&lt;="&amp;$Y$2))</f>
        <v>0</v>
      </c>
      <c r="N340">
        <f>IF($A340="","", SUMIFS(-Mov_Qty, Mov_Item, $A340, Mov_Type, "Consumption", Mov_Date, "&gt;="&amp;$Z$2, Mov_Date, "&lt;="&amp;$AA$2))</f>
        <v>0</v>
      </c>
      <c r="O340">
        <f>IFERROR(AVERAGE(L340:N340),"")</f>
        <v>0</v>
      </c>
      <c r="P340">
        <f>IF(O340&gt;=Cfg_HiMove, "Yes", "")</f>
        <v>0</v>
      </c>
      <c r="Q340">
        <f>IF($A340="","", $I340 + IFERROR(O340/30*$H340,0))</f>
        <v>0</v>
      </c>
      <c r="R340">
        <f>IF($A340="","", IF(J340&lt;=$F340, "Yes", ""))</f>
        <v>0</v>
      </c>
      <c r="S340">
        <f>IF(R340="Yes", CEILING(MAX($G340, Q340-J340), $G340), 0)</f>
        <v>0</v>
      </c>
      <c r="T340">
        <f>IFERROR(J340/(O340/30),"")</f>
        <v>0</v>
      </c>
    </row>
    <row r="341" spans="10:20">
      <c r="J341">
        <f>IF($A341="","", SUMIFS(Mov_Qty, Mov_Item, $A341))</f>
        <v>0</v>
      </c>
      <c r="K341">
        <f>IF($A341="","", J341 * $E341)</f>
        <v>0</v>
      </c>
      <c r="L341">
        <f>IF($A341="","", SUMIFS(-Mov_Qty, Mov_Item, $A341, Mov_Type, "Consumption", Mov_Date, "&gt;="&amp;$V$2, Mov_Date, "&lt;="&amp;$W$2))</f>
        <v>0</v>
      </c>
      <c r="M341">
        <f>IF($A341="","", SUMIFS(-Mov_Qty, Mov_Item, $A341, Mov_Type, "Consumption", Mov_Date, "&gt;="&amp;$X$2, Mov_Date, "&lt;="&amp;$Y$2))</f>
        <v>0</v>
      </c>
      <c r="N341">
        <f>IF($A341="","", SUMIFS(-Mov_Qty, Mov_Item, $A341, Mov_Type, "Consumption", Mov_Date, "&gt;="&amp;$Z$2, Mov_Date, "&lt;="&amp;$AA$2))</f>
        <v>0</v>
      </c>
      <c r="O341">
        <f>IFERROR(AVERAGE(L341:N341),"")</f>
        <v>0</v>
      </c>
      <c r="P341">
        <f>IF(O341&gt;=Cfg_HiMove, "Yes", "")</f>
        <v>0</v>
      </c>
      <c r="Q341">
        <f>IF($A341="","", $I341 + IFERROR(O341/30*$H341,0))</f>
        <v>0</v>
      </c>
      <c r="R341">
        <f>IF($A341="","", IF(J341&lt;=$F341, "Yes", ""))</f>
        <v>0</v>
      </c>
      <c r="S341">
        <f>IF(R341="Yes", CEILING(MAX($G341, Q341-J341), $G341), 0)</f>
        <v>0</v>
      </c>
      <c r="T341">
        <f>IFERROR(J341/(O341/30),"")</f>
        <v>0</v>
      </c>
    </row>
    <row r="342" spans="10:20">
      <c r="J342">
        <f>IF($A342="","", SUMIFS(Mov_Qty, Mov_Item, $A342))</f>
        <v>0</v>
      </c>
      <c r="K342">
        <f>IF($A342="","", J342 * $E342)</f>
        <v>0</v>
      </c>
      <c r="L342">
        <f>IF($A342="","", SUMIFS(-Mov_Qty, Mov_Item, $A342, Mov_Type, "Consumption", Mov_Date, "&gt;="&amp;$V$2, Mov_Date, "&lt;="&amp;$W$2))</f>
        <v>0</v>
      </c>
      <c r="M342">
        <f>IF($A342="","", SUMIFS(-Mov_Qty, Mov_Item, $A342, Mov_Type, "Consumption", Mov_Date, "&gt;="&amp;$X$2, Mov_Date, "&lt;="&amp;$Y$2))</f>
        <v>0</v>
      </c>
      <c r="N342">
        <f>IF($A342="","", SUMIFS(-Mov_Qty, Mov_Item, $A342, Mov_Type, "Consumption", Mov_Date, "&gt;="&amp;$Z$2, Mov_Date, "&lt;="&amp;$AA$2))</f>
        <v>0</v>
      </c>
      <c r="O342">
        <f>IFERROR(AVERAGE(L342:N342),"")</f>
        <v>0</v>
      </c>
      <c r="P342">
        <f>IF(O342&gt;=Cfg_HiMove, "Yes", "")</f>
        <v>0</v>
      </c>
      <c r="Q342">
        <f>IF($A342="","", $I342 + IFERROR(O342/30*$H342,0))</f>
        <v>0</v>
      </c>
      <c r="R342">
        <f>IF($A342="","", IF(J342&lt;=$F342, "Yes", ""))</f>
        <v>0</v>
      </c>
      <c r="S342">
        <f>IF(R342="Yes", CEILING(MAX($G342, Q342-J342), $G342), 0)</f>
        <v>0</v>
      </c>
      <c r="T342">
        <f>IFERROR(J342/(O342/30),"")</f>
        <v>0</v>
      </c>
    </row>
    <row r="343" spans="10:20">
      <c r="J343">
        <f>IF($A343="","", SUMIFS(Mov_Qty, Mov_Item, $A343))</f>
        <v>0</v>
      </c>
      <c r="K343">
        <f>IF($A343="","", J343 * $E343)</f>
        <v>0</v>
      </c>
      <c r="L343">
        <f>IF($A343="","", SUMIFS(-Mov_Qty, Mov_Item, $A343, Mov_Type, "Consumption", Mov_Date, "&gt;="&amp;$V$2, Mov_Date, "&lt;="&amp;$W$2))</f>
        <v>0</v>
      </c>
      <c r="M343">
        <f>IF($A343="","", SUMIFS(-Mov_Qty, Mov_Item, $A343, Mov_Type, "Consumption", Mov_Date, "&gt;="&amp;$X$2, Mov_Date, "&lt;="&amp;$Y$2))</f>
        <v>0</v>
      </c>
      <c r="N343">
        <f>IF($A343="","", SUMIFS(-Mov_Qty, Mov_Item, $A343, Mov_Type, "Consumption", Mov_Date, "&gt;="&amp;$Z$2, Mov_Date, "&lt;="&amp;$AA$2))</f>
        <v>0</v>
      </c>
      <c r="O343">
        <f>IFERROR(AVERAGE(L343:N343),"")</f>
        <v>0</v>
      </c>
      <c r="P343">
        <f>IF(O343&gt;=Cfg_HiMove, "Yes", "")</f>
        <v>0</v>
      </c>
      <c r="Q343">
        <f>IF($A343="","", $I343 + IFERROR(O343/30*$H343,0))</f>
        <v>0</v>
      </c>
      <c r="R343">
        <f>IF($A343="","", IF(J343&lt;=$F343, "Yes", ""))</f>
        <v>0</v>
      </c>
      <c r="S343">
        <f>IF(R343="Yes", CEILING(MAX($G343, Q343-J343), $G343), 0)</f>
        <v>0</v>
      </c>
      <c r="T343">
        <f>IFERROR(J343/(O343/30),"")</f>
        <v>0</v>
      </c>
    </row>
    <row r="344" spans="10:20">
      <c r="J344">
        <f>IF($A344="","", SUMIFS(Mov_Qty, Mov_Item, $A344))</f>
        <v>0</v>
      </c>
      <c r="K344">
        <f>IF($A344="","", J344 * $E344)</f>
        <v>0</v>
      </c>
      <c r="L344">
        <f>IF($A344="","", SUMIFS(-Mov_Qty, Mov_Item, $A344, Mov_Type, "Consumption", Mov_Date, "&gt;="&amp;$V$2, Mov_Date, "&lt;="&amp;$W$2))</f>
        <v>0</v>
      </c>
      <c r="M344">
        <f>IF($A344="","", SUMIFS(-Mov_Qty, Mov_Item, $A344, Mov_Type, "Consumption", Mov_Date, "&gt;="&amp;$X$2, Mov_Date, "&lt;="&amp;$Y$2))</f>
        <v>0</v>
      </c>
      <c r="N344">
        <f>IF($A344="","", SUMIFS(-Mov_Qty, Mov_Item, $A344, Mov_Type, "Consumption", Mov_Date, "&gt;="&amp;$Z$2, Mov_Date, "&lt;="&amp;$AA$2))</f>
        <v>0</v>
      </c>
      <c r="O344">
        <f>IFERROR(AVERAGE(L344:N344),"")</f>
        <v>0</v>
      </c>
      <c r="P344">
        <f>IF(O344&gt;=Cfg_HiMove, "Yes", "")</f>
        <v>0</v>
      </c>
      <c r="Q344">
        <f>IF($A344="","", $I344 + IFERROR(O344/30*$H344,0))</f>
        <v>0</v>
      </c>
      <c r="R344">
        <f>IF($A344="","", IF(J344&lt;=$F344, "Yes", ""))</f>
        <v>0</v>
      </c>
      <c r="S344">
        <f>IF(R344="Yes", CEILING(MAX($G344, Q344-J344), $G344), 0)</f>
        <v>0</v>
      </c>
      <c r="T344">
        <f>IFERROR(J344/(O344/30),"")</f>
        <v>0</v>
      </c>
    </row>
    <row r="345" spans="10:20">
      <c r="J345">
        <f>IF($A345="","", SUMIFS(Mov_Qty, Mov_Item, $A345))</f>
        <v>0</v>
      </c>
      <c r="K345">
        <f>IF($A345="","", J345 * $E345)</f>
        <v>0</v>
      </c>
      <c r="L345">
        <f>IF($A345="","", SUMIFS(-Mov_Qty, Mov_Item, $A345, Mov_Type, "Consumption", Mov_Date, "&gt;="&amp;$V$2, Mov_Date, "&lt;="&amp;$W$2))</f>
        <v>0</v>
      </c>
      <c r="M345">
        <f>IF($A345="","", SUMIFS(-Mov_Qty, Mov_Item, $A345, Mov_Type, "Consumption", Mov_Date, "&gt;="&amp;$X$2, Mov_Date, "&lt;="&amp;$Y$2))</f>
        <v>0</v>
      </c>
      <c r="N345">
        <f>IF($A345="","", SUMIFS(-Mov_Qty, Mov_Item, $A345, Mov_Type, "Consumption", Mov_Date, "&gt;="&amp;$Z$2, Mov_Date, "&lt;="&amp;$AA$2))</f>
        <v>0</v>
      </c>
      <c r="O345">
        <f>IFERROR(AVERAGE(L345:N345),"")</f>
        <v>0</v>
      </c>
      <c r="P345">
        <f>IF(O345&gt;=Cfg_HiMove, "Yes", "")</f>
        <v>0</v>
      </c>
      <c r="Q345">
        <f>IF($A345="","", $I345 + IFERROR(O345/30*$H345,0))</f>
        <v>0</v>
      </c>
      <c r="R345">
        <f>IF($A345="","", IF(J345&lt;=$F345, "Yes", ""))</f>
        <v>0</v>
      </c>
      <c r="S345">
        <f>IF(R345="Yes", CEILING(MAX($G345, Q345-J345), $G345), 0)</f>
        <v>0</v>
      </c>
      <c r="T345">
        <f>IFERROR(J345/(O345/30),"")</f>
        <v>0</v>
      </c>
    </row>
    <row r="346" spans="10:20">
      <c r="J346">
        <f>IF($A346="","", SUMIFS(Mov_Qty, Mov_Item, $A346))</f>
        <v>0</v>
      </c>
      <c r="K346">
        <f>IF($A346="","", J346 * $E346)</f>
        <v>0</v>
      </c>
      <c r="L346">
        <f>IF($A346="","", SUMIFS(-Mov_Qty, Mov_Item, $A346, Mov_Type, "Consumption", Mov_Date, "&gt;="&amp;$V$2, Mov_Date, "&lt;="&amp;$W$2))</f>
        <v>0</v>
      </c>
      <c r="M346">
        <f>IF($A346="","", SUMIFS(-Mov_Qty, Mov_Item, $A346, Mov_Type, "Consumption", Mov_Date, "&gt;="&amp;$X$2, Mov_Date, "&lt;="&amp;$Y$2))</f>
        <v>0</v>
      </c>
      <c r="N346">
        <f>IF($A346="","", SUMIFS(-Mov_Qty, Mov_Item, $A346, Mov_Type, "Consumption", Mov_Date, "&gt;="&amp;$Z$2, Mov_Date, "&lt;="&amp;$AA$2))</f>
        <v>0</v>
      </c>
      <c r="O346">
        <f>IFERROR(AVERAGE(L346:N346),"")</f>
        <v>0</v>
      </c>
      <c r="P346">
        <f>IF(O346&gt;=Cfg_HiMove, "Yes", "")</f>
        <v>0</v>
      </c>
      <c r="Q346">
        <f>IF($A346="","", $I346 + IFERROR(O346/30*$H346,0))</f>
        <v>0</v>
      </c>
      <c r="R346">
        <f>IF($A346="","", IF(J346&lt;=$F346, "Yes", ""))</f>
        <v>0</v>
      </c>
      <c r="S346">
        <f>IF(R346="Yes", CEILING(MAX($G346, Q346-J346), $G346), 0)</f>
        <v>0</v>
      </c>
      <c r="T346">
        <f>IFERROR(J346/(O346/30),"")</f>
        <v>0</v>
      </c>
    </row>
    <row r="347" spans="10:20">
      <c r="J347">
        <f>IF($A347="","", SUMIFS(Mov_Qty, Mov_Item, $A347))</f>
        <v>0</v>
      </c>
      <c r="K347">
        <f>IF($A347="","", J347 * $E347)</f>
        <v>0</v>
      </c>
      <c r="L347">
        <f>IF($A347="","", SUMIFS(-Mov_Qty, Mov_Item, $A347, Mov_Type, "Consumption", Mov_Date, "&gt;="&amp;$V$2, Mov_Date, "&lt;="&amp;$W$2))</f>
        <v>0</v>
      </c>
      <c r="M347">
        <f>IF($A347="","", SUMIFS(-Mov_Qty, Mov_Item, $A347, Mov_Type, "Consumption", Mov_Date, "&gt;="&amp;$X$2, Mov_Date, "&lt;="&amp;$Y$2))</f>
        <v>0</v>
      </c>
      <c r="N347">
        <f>IF($A347="","", SUMIFS(-Mov_Qty, Mov_Item, $A347, Mov_Type, "Consumption", Mov_Date, "&gt;="&amp;$Z$2, Mov_Date, "&lt;="&amp;$AA$2))</f>
        <v>0</v>
      </c>
      <c r="O347">
        <f>IFERROR(AVERAGE(L347:N347),"")</f>
        <v>0</v>
      </c>
      <c r="P347">
        <f>IF(O347&gt;=Cfg_HiMove, "Yes", "")</f>
        <v>0</v>
      </c>
      <c r="Q347">
        <f>IF($A347="","", $I347 + IFERROR(O347/30*$H347,0))</f>
        <v>0</v>
      </c>
      <c r="R347">
        <f>IF($A347="","", IF(J347&lt;=$F347, "Yes", ""))</f>
        <v>0</v>
      </c>
      <c r="S347">
        <f>IF(R347="Yes", CEILING(MAX($G347, Q347-J347), $G347), 0)</f>
        <v>0</v>
      </c>
      <c r="T347">
        <f>IFERROR(J347/(O347/30),"")</f>
        <v>0</v>
      </c>
    </row>
    <row r="348" spans="10:20">
      <c r="J348">
        <f>IF($A348="","", SUMIFS(Mov_Qty, Mov_Item, $A348))</f>
        <v>0</v>
      </c>
      <c r="K348">
        <f>IF($A348="","", J348 * $E348)</f>
        <v>0</v>
      </c>
      <c r="L348">
        <f>IF($A348="","", SUMIFS(-Mov_Qty, Mov_Item, $A348, Mov_Type, "Consumption", Mov_Date, "&gt;="&amp;$V$2, Mov_Date, "&lt;="&amp;$W$2))</f>
        <v>0</v>
      </c>
      <c r="M348">
        <f>IF($A348="","", SUMIFS(-Mov_Qty, Mov_Item, $A348, Mov_Type, "Consumption", Mov_Date, "&gt;="&amp;$X$2, Mov_Date, "&lt;="&amp;$Y$2))</f>
        <v>0</v>
      </c>
      <c r="N348">
        <f>IF($A348="","", SUMIFS(-Mov_Qty, Mov_Item, $A348, Mov_Type, "Consumption", Mov_Date, "&gt;="&amp;$Z$2, Mov_Date, "&lt;="&amp;$AA$2))</f>
        <v>0</v>
      </c>
      <c r="O348">
        <f>IFERROR(AVERAGE(L348:N348),"")</f>
        <v>0</v>
      </c>
      <c r="P348">
        <f>IF(O348&gt;=Cfg_HiMove, "Yes", "")</f>
        <v>0</v>
      </c>
      <c r="Q348">
        <f>IF($A348="","", $I348 + IFERROR(O348/30*$H348,0))</f>
        <v>0</v>
      </c>
      <c r="R348">
        <f>IF($A348="","", IF(J348&lt;=$F348, "Yes", ""))</f>
        <v>0</v>
      </c>
      <c r="S348">
        <f>IF(R348="Yes", CEILING(MAX($G348, Q348-J348), $G348), 0)</f>
        <v>0</v>
      </c>
      <c r="T348">
        <f>IFERROR(J348/(O348/30),"")</f>
        <v>0</v>
      </c>
    </row>
    <row r="349" spans="10:20">
      <c r="J349">
        <f>IF($A349="","", SUMIFS(Mov_Qty, Mov_Item, $A349))</f>
        <v>0</v>
      </c>
      <c r="K349">
        <f>IF($A349="","", J349 * $E349)</f>
        <v>0</v>
      </c>
      <c r="L349">
        <f>IF($A349="","", SUMIFS(-Mov_Qty, Mov_Item, $A349, Mov_Type, "Consumption", Mov_Date, "&gt;="&amp;$V$2, Mov_Date, "&lt;="&amp;$W$2))</f>
        <v>0</v>
      </c>
      <c r="M349">
        <f>IF($A349="","", SUMIFS(-Mov_Qty, Mov_Item, $A349, Mov_Type, "Consumption", Mov_Date, "&gt;="&amp;$X$2, Mov_Date, "&lt;="&amp;$Y$2))</f>
        <v>0</v>
      </c>
      <c r="N349">
        <f>IF($A349="","", SUMIFS(-Mov_Qty, Mov_Item, $A349, Mov_Type, "Consumption", Mov_Date, "&gt;="&amp;$Z$2, Mov_Date, "&lt;="&amp;$AA$2))</f>
        <v>0</v>
      </c>
      <c r="O349">
        <f>IFERROR(AVERAGE(L349:N349),"")</f>
        <v>0</v>
      </c>
      <c r="P349">
        <f>IF(O349&gt;=Cfg_HiMove, "Yes", "")</f>
        <v>0</v>
      </c>
      <c r="Q349">
        <f>IF($A349="","", $I349 + IFERROR(O349/30*$H349,0))</f>
        <v>0</v>
      </c>
      <c r="R349">
        <f>IF($A349="","", IF(J349&lt;=$F349, "Yes", ""))</f>
        <v>0</v>
      </c>
      <c r="S349">
        <f>IF(R349="Yes", CEILING(MAX($G349, Q349-J349), $G349), 0)</f>
        <v>0</v>
      </c>
      <c r="T349">
        <f>IFERROR(J349/(O349/30),"")</f>
        <v>0</v>
      </c>
    </row>
    <row r="350" spans="10:20">
      <c r="J350">
        <f>IF($A350="","", SUMIFS(Mov_Qty, Mov_Item, $A350))</f>
        <v>0</v>
      </c>
      <c r="K350">
        <f>IF($A350="","", J350 * $E350)</f>
        <v>0</v>
      </c>
      <c r="L350">
        <f>IF($A350="","", SUMIFS(-Mov_Qty, Mov_Item, $A350, Mov_Type, "Consumption", Mov_Date, "&gt;="&amp;$V$2, Mov_Date, "&lt;="&amp;$W$2))</f>
        <v>0</v>
      </c>
      <c r="M350">
        <f>IF($A350="","", SUMIFS(-Mov_Qty, Mov_Item, $A350, Mov_Type, "Consumption", Mov_Date, "&gt;="&amp;$X$2, Mov_Date, "&lt;="&amp;$Y$2))</f>
        <v>0</v>
      </c>
      <c r="N350">
        <f>IF($A350="","", SUMIFS(-Mov_Qty, Mov_Item, $A350, Mov_Type, "Consumption", Mov_Date, "&gt;="&amp;$Z$2, Mov_Date, "&lt;="&amp;$AA$2))</f>
        <v>0</v>
      </c>
      <c r="O350">
        <f>IFERROR(AVERAGE(L350:N350),"")</f>
        <v>0</v>
      </c>
      <c r="P350">
        <f>IF(O350&gt;=Cfg_HiMove, "Yes", "")</f>
        <v>0</v>
      </c>
      <c r="Q350">
        <f>IF($A350="","", $I350 + IFERROR(O350/30*$H350,0))</f>
        <v>0</v>
      </c>
      <c r="R350">
        <f>IF($A350="","", IF(J350&lt;=$F350, "Yes", ""))</f>
        <v>0</v>
      </c>
      <c r="S350">
        <f>IF(R350="Yes", CEILING(MAX($G350, Q350-J350), $G350), 0)</f>
        <v>0</v>
      </c>
      <c r="T350">
        <f>IFERROR(J350/(O350/30),"")</f>
        <v>0</v>
      </c>
    </row>
    <row r="351" spans="10:20">
      <c r="J351">
        <f>IF($A351="","", SUMIFS(Mov_Qty, Mov_Item, $A351))</f>
        <v>0</v>
      </c>
      <c r="K351">
        <f>IF($A351="","", J351 * $E351)</f>
        <v>0</v>
      </c>
      <c r="L351">
        <f>IF($A351="","", SUMIFS(-Mov_Qty, Mov_Item, $A351, Mov_Type, "Consumption", Mov_Date, "&gt;="&amp;$V$2, Mov_Date, "&lt;="&amp;$W$2))</f>
        <v>0</v>
      </c>
      <c r="M351">
        <f>IF($A351="","", SUMIFS(-Mov_Qty, Mov_Item, $A351, Mov_Type, "Consumption", Mov_Date, "&gt;="&amp;$X$2, Mov_Date, "&lt;="&amp;$Y$2))</f>
        <v>0</v>
      </c>
      <c r="N351">
        <f>IF($A351="","", SUMIFS(-Mov_Qty, Mov_Item, $A351, Mov_Type, "Consumption", Mov_Date, "&gt;="&amp;$Z$2, Mov_Date, "&lt;="&amp;$AA$2))</f>
        <v>0</v>
      </c>
      <c r="O351">
        <f>IFERROR(AVERAGE(L351:N351),"")</f>
        <v>0</v>
      </c>
      <c r="P351">
        <f>IF(O351&gt;=Cfg_HiMove, "Yes", "")</f>
        <v>0</v>
      </c>
      <c r="Q351">
        <f>IF($A351="","", $I351 + IFERROR(O351/30*$H351,0))</f>
        <v>0</v>
      </c>
      <c r="R351">
        <f>IF($A351="","", IF(J351&lt;=$F351, "Yes", ""))</f>
        <v>0</v>
      </c>
      <c r="S351">
        <f>IF(R351="Yes", CEILING(MAX($G351, Q351-J351), $G351), 0)</f>
        <v>0</v>
      </c>
      <c r="T351">
        <f>IFERROR(J351/(O351/30),"")</f>
        <v>0</v>
      </c>
    </row>
    <row r="352" spans="10:20">
      <c r="J352">
        <f>IF($A352="","", SUMIFS(Mov_Qty, Mov_Item, $A352))</f>
        <v>0</v>
      </c>
      <c r="K352">
        <f>IF($A352="","", J352 * $E352)</f>
        <v>0</v>
      </c>
      <c r="L352">
        <f>IF($A352="","", SUMIFS(-Mov_Qty, Mov_Item, $A352, Mov_Type, "Consumption", Mov_Date, "&gt;="&amp;$V$2, Mov_Date, "&lt;="&amp;$W$2))</f>
        <v>0</v>
      </c>
      <c r="M352">
        <f>IF($A352="","", SUMIFS(-Mov_Qty, Mov_Item, $A352, Mov_Type, "Consumption", Mov_Date, "&gt;="&amp;$X$2, Mov_Date, "&lt;="&amp;$Y$2))</f>
        <v>0</v>
      </c>
      <c r="N352">
        <f>IF($A352="","", SUMIFS(-Mov_Qty, Mov_Item, $A352, Mov_Type, "Consumption", Mov_Date, "&gt;="&amp;$Z$2, Mov_Date, "&lt;="&amp;$AA$2))</f>
        <v>0</v>
      </c>
      <c r="O352">
        <f>IFERROR(AVERAGE(L352:N352),"")</f>
        <v>0</v>
      </c>
      <c r="P352">
        <f>IF(O352&gt;=Cfg_HiMove, "Yes", "")</f>
        <v>0</v>
      </c>
      <c r="Q352">
        <f>IF($A352="","", $I352 + IFERROR(O352/30*$H352,0))</f>
        <v>0</v>
      </c>
      <c r="R352">
        <f>IF($A352="","", IF(J352&lt;=$F352, "Yes", ""))</f>
        <v>0</v>
      </c>
      <c r="S352">
        <f>IF(R352="Yes", CEILING(MAX($G352, Q352-J352), $G352), 0)</f>
        <v>0</v>
      </c>
      <c r="T352">
        <f>IFERROR(J352/(O352/30),"")</f>
        <v>0</v>
      </c>
    </row>
    <row r="353" spans="10:20">
      <c r="J353">
        <f>IF($A353="","", SUMIFS(Mov_Qty, Mov_Item, $A353))</f>
        <v>0</v>
      </c>
      <c r="K353">
        <f>IF($A353="","", J353 * $E353)</f>
        <v>0</v>
      </c>
      <c r="L353">
        <f>IF($A353="","", SUMIFS(-Mov_Qty, Mov_Item, $A353, Mov_Type, "Consumption", Mov_Date, "&gt;="&amp;$V$2, Mov_Date, "&lt;="&amp;$W$2))</f>
        <v>0</v>
      </c>
      <c r="M353">
        <f>IF($A353="","", SUMIFS(-Mov_Qty, Mov_Item, $A353, Mov_Type, "Consumption", Mov_Date, "&gt;="&amp;$X$2, Mov_Date, "&lt;="&amp;$Y$2))</f>
        <v>0</v>
      </c>
      <c r="N353">
        <f>IF($A353="","", SUMIFS(-Mov_Qty, Mov_Item, $A353, Mov_Type, "Consumption", Mov_Date, "&gt;="&amp;$Z$2, Mov_Date, "&lt;="&amp;$AA$2))</f>
        <v>0</v>
      </c>
      <c r="O353">
        <f>IFERROR(AVERAGE(L353:N353),"")</f>
        <v>0</v>
      </c>
      <c r="P353">
        <f>IF(O353&gt;=Cfg_HiMove, "Yes", "")</f>
        <v>0</v>
      </c>
      <c r="Q353">
        <f>IF($A353="","", $I353 + IFERROR(O353/30*$H353,0))</f>
        <v>0</v>
      </c>
      <c r="R353">
        <f>IF($A353="","", IF(J353&lt;=$F353, "Yes", ""))</f>
        <v>0</v>
      </c>
      <c r="S353">
        <f>IF(R353="Yes", CEILING(MAX($G353, Q353-J353), $G353), 0)</f>
        <v>0</v>
      </c>
      <c r="T353">
        <f>IFERROR(J353/(O353/30),"")</f>
        <v>0</v>
      </c>
    </row>
    <row r="354" spans="10:20">
      <c r="J354">
        <f>IF($A354="","", SUMIFS(Mov_Qty, Mov_Item, $A354))</f>
        <v>0</v>
      </c>
      <c r="K354">
        <f>IF($A354="","", J354 * $E354)</f>
        <v>0</v>
      </c>
      <c r="L354">
        <f>IF($A354="","", SUMIFS(-Mov_Qty, Mov_Item, $A354, Mov_Type, "Consumption", Mov_Date, "&gt;="&amp;$V$2, Mov_Date, "&lt;="&amp;$W$2))</f>
        <v>0</v>
      </c>
      <c r="M354">
        <f>IF($A354="","", SUMIFS(-Mov_Qty, Mov_Item, $A354, Mov_Type, "Consumption", Mov_Date, "&gt;="&amp;$X$2, Mov_Date, "&lt;="&amp;$Y$2))</f>
        <v>0</v>
      </c>
      <c r="N354">
        <f>IF($A354="","", SUMIFS(-Mov_Qty, Mov_Item, $A354, Mov_Type, "Consumption", Mov_Date, "&gt;="&amp;$Z$2, Mov_Date, "&lt;="&amp;$AA$2))</f>
        <v>0</v>
      </c>
      <c r="O354">
        <f>IFERROR(AVERAGE(L354:N354),"")</f>
        <v>0</v>
      </c>
      <c r="P354">
        <f>IF(O354&gt;=Cfg_HiMove, "Yes", "")</f>
        <v>0</v>
      </c>
      <c r="Q354">
        <f>IF($A354="","", $I354 + IFERROR(O354/30*$H354,0))</f>
        <v>0</v>
      </c>
      <c r="R354">
        <f>IF($A354="","", IF(J354&lt;=$F354, "Yes", ""))</f>
        <v>0</v>
      </c>
      <c r="S354">
        <f>IF(R354="Yes", CEILING(MAX($G354, Q354-J354), $G354), 0)</f>
        <v>0</v>
      </c>
      <c r="T354">
        <f>IFERROR(J354/(O354/30),"")</f>
        <v>0</v>
      </c>
    </row>
    <row r="355" spans="10:20">
      <c r="J355">
        <f>IF($A355="","", SUMIFS(Mov_Qty, Mov_Item, $A355))</f>
        <v>0</v>
      </c>
      <c r="K355">
        <f>IF($A355="","", J355 * $E355)</f>
        <v>0</v>
      </c>
      <c r="L355">
        <f>IF($A355="","", SUMIFS(-Mov_Qty, Mov_Item, $A355, Mov_Type, "Consumption", Mov_Date, "&gt;="&amp;$V$2, Mov_Date, "&lt;="&amp;$W$2))</f>
        <v>0</v>
      </c>
      <c r="M355">
        <f>IF($A355="","", SUMIFS(-Mov_Qty, Mov_Item, $A355, Mov_Type, "Consumption", Mov_Date, "&gt;="&amp;$X$2, Mov_Date, "&lt;="&amp;$Y$2))</f>
        <v>0</v>
      </c>
      <c r="N355">
        <f>IF($A355="","", SUMIFS(-Mov_Qty, Mov_Item, $A355, Mov_Type, "Consumption", Mov_Date, "&gt;="&amp;$Z$2, Mov_Date, "&lt;="&amp;$AA$2))</f>
        <v>0</v>
      </c>
      <c r="O355">
        <f>IFERROR(AVERAGE(L355:N355),"")</f>
        <v>0</v>
      </c>
      <c r="P355">
        <f>IF(O355&gt;=Cfg_HiMove, "Yes", "")</f>
        <v>0</v>
      </c>
      <c r="Q355">
        <f>IF($A355="","", $I355 + IFERROR(O355/30*$H355,0))</f>
        <v>0</v>
      </c>
      <c r="R355">
        <f>IF($A355="","", IF(J355&lt;=$F355, "Yes", ""))</f>
        <v>0</v>
      </c>
      <c r="S355">
        <f>IF(R355="Yes", CEILING(MAX($G355, Q355-J355), $G355), 0)</f>
        <v>0</v>
      </c>
      <c r="T355">
        <f>IFERROR(J355/(O355/30),"")</f>
        <v>0</v>
      </c>
    </row>
    <row r="356" spans="10:20">
      <c r="J356">
        <f>IF($A356="","", SUMIFS(Mov_Qty, Mov_Item, $A356))</f>
        <v>0</v>
      </c>
      <c r="K356">
        <f>IF($A356="","", J356 * $E356)</f>
        <v>0</v>
      </c>
      <c r="L356">
        <f>IF($A356="","", SUMIFS(-Mov_Qty, Mov_Item, $A356, Mov_Type, "Consumption", Mov_Date, "&gt;="&amp;$V$2, Mov_Date, "&lt;="&amp;$W$2))</f>
        <v>0</v>
      </c>
      <c r="M356">
        <f>IF($A356="","", SUMIFS(-Mov_Qty, Mov_Item, $A356, Mov_Type, "Consumption", Mov_Date, "&gt;="&amp;$X$2, Mov_Date, "&lt;="&amp;$Y$2))</f>
        <v>0</v>
      </c>
      <c r="N356">
        <f>IF($A356="","", SUMIFS(-Mov_Qty, Mov_Item, $A356, Mov_Type, "Consumption", Mov_Date, "&gt;="&amp;$Z$2, Mov_Date, "&lt;="&amp;$AA$2))</f>
        <v>0</v>
      </c>
      <c r="O356">
        <f>IFERROR(AVERAGE(L356:N356),"")</f>
        <v>0</v>
      </c>
      <c r="P356">
        <f>IF(O356&gt;=Cfg_HiMove, "Yes", "")</f>
        <v>0</v>
      </c>
      <c r="Q356">
        <f>IF($A356="","", $I356 + IFERROR(O356/30*$H356,0))</f>
        <v>0</v>
      </c>
      <c r="R356">
        <f>IF($A356="","", IF(J356&lt;=$F356, "Yes", ""))</f>
        <v>0</v>
      </c>
      <c r="S356">
        <f>IF(R356="Yes", CEILING(MAX($G356, Q356-J356), $G356), 0)</f>
        <v>0</v>
      </c>
      <c r="T356">
        <f>IFERROR(J356/(O356/30),"")</f>
        <v>0</v>
      </c>
    </row>
    <row r="357" spans="10:20">
      <c r="J357">
        <f>IF($A357="","", SUMIFS(Mov_Qty, Mov_Item, $A357))</f>
        <v>0</v>
      </c>
      <c r="K357">
        <f>IF($A357="","", J357 * $E357)</f>
        <v>0</v>
      </c>
      <c r="L357">
        <f>IF($A357="","", SUMIFS(-Mov_Qty, Mov_Item, $A357, Mov_Type, "Consumption", Mov_Date, "&gt;="&amp;$V$2, Mov_Date, "&lt;="&amp;$W$2))</f>
        <v>0</v>
      </c>
      <c r="M357">
        <f>IF($A357="","", SUMIFS(-Mov_Qty, Mov_Item, $A357, Mov_Type, "Consumption", Mov_Date, "&gt;="&amp;$X$2, Mov_Date, "&lt;="&amp;$Y$2))</f>
        <v>0</v>
      </c>
      <c r="N357">
        <f>IF($A357="","", SUMIFS(-Mov_Qty, Mov_Item, $A357, Mov_Type, "Consumption", Mov_Date, "&gt;="&amp;$Z$2, Mov_Date, "&lt;="&amp;$AA$2))</f>
        <v>0</v>
      </c>
      <c r="O357">
        <f>IFERROR(AVERAGE(L357:N357),"")</f>
        <v>0</v>
      </c>
      <c r="P357">
        <f>IF(O357&gt;=Cfg_HiMove, "Yes", "")</f>
        <v>0</v>
      </c>
      <c r="Q357">
        <f>IF($A357="","", $I357 + IFERROR(O357/30*$H357,0))</f>
        <v>0</v>
      </c>
      <c r="R357">
        <f>IF($A357="","", IF(J357&lt;=$F357, "Yes", ""))</f>
        <v>0</v>
      </c>
      <c r="S357">
        <f>IF(R357="Yes", CEILING(MAX($G357, Q357-J357), $G357), 0)</f>
        <v>0</v>
      </c>
      <c r="T357">
        <f>IFERROR(J357/(O357/30),"")</f>
        <v>0</v>
      </c>
    </row>
    <row r="358" spans="10:20">
      <c r="J358">
        <f>IF($A358="","", SUMIFS(Mov_Qty, Mov_Item, $A358))</f>
        <v>0</v>
      </c>
      <c r="K358">
        <f>IF($A358="","", J358 * $E358)</f>
        <v>0</v>
      </c>
      <c r="L358">
        <f>IF($A358="","", SUMIFS(-Mov_Qty, Mov_Item, $A358, Mov_Type, "Consumption", Mov_Date, "&gt;="&amp;$V$2, Mov_Date, "&lt;="&amp;$W$2))</f>
        <v>0</v>
      </c>
      <c r="M358">
        <f>IF($A358="","", SUMIFS(-Mov_Qty, Mov_Item, $A358, Mov_Type, "Consumption", Mov_Date, "&gt;="&amp;$X$2, Mov_Date, "&lt;="&amp;$Y$2))</f>
        <v>0</v>
      </c>
      <c r="N358">
        <f>IF($A358="","", SUMIFS(-Mov_Qty, Mov_Item, $A358, Mov_Type, "Consumption", Mov_Date, "&gt;="&amp;$Z$2, Mov_Date, "&lt;="&amp;$AA$2))</f>
        <v>0</v>
      </c>
      <c r="O358">
        <f>IFERROR(AVERAGE(L358:N358),"")</f>
        <v>0</v>
      </c>
      <c r="P358">
        <f>IF(O358&gt;=Cfg_HiMove, "Yes", "")</f>
        <v>0</v>
      </c>
      <c r="Q358">
        <f>IF($A358="","", $I358 + IFERROR(O358/30*$H358,0))</f>
        <v>0</v>
      </c>
      <c r="R358">
        <f>IF($A358="","", IF(J358&lt;=$F358, "Yes", ""))</f>
        <v>0</v>
      </c>
      <c r="S358">
        <f>IF(R358="Yes", CEILING(MAX($G358, Q358-J358), $G358), 0)</f>
        <v>0</v>
      </c>
      <c r="T358">
        <f>IFERROR(J358/(O358/30),"")</f>
        <v>0</v>
      </c>
    </row>
    <row r="359" spans="10:20">
      <c r="J359">
        <f>IF($A359="","", SUMIFS(Mov_Qty, Mov_Item, $A359))</f>
        <v>0</v>
      </c>
      <c r="K359">
        <f>IF($A359="","", J359 * $E359)</f>
        <v>0</v>
      </c>
      <c r="L359">
        <f>IF($A359="","", SUMIFS(-Mov_Qty, Mov_Item, $A359, Mov_Type, "Consumption", Mov_Date, "&gt;="&amp;$V$2, Mov_Date, "&lt;="&amp;$W$2))</f>
        <v>0</v>
      </c>
      <c r="M359">
        <f>IF($A359="","", SUMIFS(-Mov_Qty, Mov_Item, $A359, Mov_Type, "Consumption", Mov_Date, "&gt;="&amp;$X$2, Mov_Date, "&lt;="&amp;$Y$2))</f>
        <v>0</v>
      </c>
      <c r="N359">
        <f>IF($A359="","", SUMIFS(-Mov_Qty, Mov_Item, $A359, Mov_Type, "Consumption", Mov_Date, "&gt;="&amp;$Z$2, Mov_Date, "&lt;="&amp;$AA$2))</f>
        <v>0</v>
      </c>
      <c r="O359">
        <f>IFERROR(AVERAGE(L359:N359),"")</f>
        <v>0</v>
      </c>
      <c r="P359">
        <f>IF(O359&gt;=Cfg_HiMove, "Yes", "")</f>
        <v>0</v>
      </c>
      <c r="Q359">
        <f>IF($A359="","", $I359 + IFERROR(O359/30*$H359,0))</f>
        <v>0</v>
      </c>
      <c r="R359">
        <f>IF($A359="","", IF(J359&lt;=$F359, "Yes", ""))</f>
        <v>0</v>
      </c>
      <c r="S359">
        <f>IF(R359="Yes", CEILING(MAX($G359, Q359-J359), $G359), 0)</f>
        <v>0</v>
      </c>
      <c r="T359">
        <f>IFERROR(J359/(O359/30),"")</f>
        <v>0</v>
      </c>
    </row>
    <row r="360" spans="10:20">
      <c r="J360">
        <f>IF($A360="","", SUMIFS(Mov_Qty, Mov_Item, $A360))</f>
        <v>0</v>
      </c>
      <c r="K360">
        <f>IF($A360="","", J360 * $E360)</f>
        <v>0</v>
      </c>
      <c r="L360">
        <f>IF($A360="","", SUMIFS(-Mov_Qty, Mov_Item, $A360, Mov_Type, "Consumption", Mov_Date, "&gt;="&amp;$V$2, Mov_Date, "&lt;="&amp;$W$2))</f>
        <v>0</v>
      </c>
      <c r="M360">
        <f>IF($A360="","", SUMIFS(-Mov_Qty, Mov_Item, $A360, Mov_Type, "Consumption", Mov_Date, "&gt;="&amp;$X$2, Mov_Date, "&lt;="&amp;$Y$2))</f>
        <v>0</v>
      </c>
      <c r="N360">
        <f>IF($A360="","", SUMIFS(-Mov_Qty, Mov_Item, $A360, Mov_Type, "Consumption", Mov_Date, "&gt;="&amp;$Z$2, Mov_Date, "&lt;="&amp;$AA$2))</f>
        <v>0</v>
      </c>
      <c r="O360">
        <f>IFERROR(AVERAGE(L360:N360),"")</f>
        <v>0</v>
      </c>
      <c r="P360">
        <f>IF(O360&gt;=Cfg_HiMove, "Yes", "")</f>
        <v>0</v>
      </c>
      <c r="Q360">
        <f>IF($A360="","", $I360 + IFERROR(O360/30*$H360,0))</f>
        <v>0</v>
      </c>
      <c r="R360">
        <f>IF($A360="","", IF(J360&lt;=$F360, "Yes", ""))</f>
        <v>0</v>
      </c>
      <c r="S360">
        <f>IF(R360="Yes", CEILING(MAX($G360, Q360-J360), $G360), 0)</f>
        <v>0</v>
      </c>
      <c r="T360">
        <f>IFERROR(J360/(O360/30),"")</f>
        <v>0</v>
      </c>
    </row>
    <row r="361" spans="10:20">
      <c r="J361">
        <f>IF($A361="","", SUMIFS(Mov_Qty, Mov_Item, $A361))</f>
        <v>0</v>
      </c>
      <c r="K361">
        <f>IF($A361="","", J361 * $E361)</f>
        <v>0</v>
      </c>
      <c r="L361">
        <f>IF($A361="","", SUMIFS(-Mov_Qty, Mov_Item, $A361, Mov_Type, "Consumption", Mov_Date, "&gt;="&amp;$V$2, Mov_Date, "&lt;="&amp;$W$2))</f>
        <v>0</v>
      </c>
      <c r="M361">
        <f>IF($A361="","", SUMIFS(-Mov_Qty, Mov_Item, $A361, Mov_Type, "Consumption", Mov_Date, "&gt;="&amp;$X$2, Mov_Date, "&lt;="&amp;$Y$2))</f>
        <v>0</v>
      </c>
      <c r="N361">
        <f>IF($A361="","", SUMIFS(-Mov_Qty, Mov_Item, $A361, Mov_Type, "Consumption", Mov_Date, "&gt;="&amp;$Z$2, Mov_Date, "&lt;="&amp;$AA$2))</f>
        <v>0</v>
      </c>
      <c r="O361">
        <f>IFERROR(AVERAGE(L361:N361),"")</f>
        <v>0</v>
      </c>
      <c r="P361">
        <f>IF(O361&gt;=Cfg_HiMove, "Yes", "")</f>
        <v>0</v>
      </c>
      <c r="Q361">
        <f>IF($A361="","", $I361 + IFERROR(O361/30*$H361,0))</f>
        <v>0</v>
      </c>
      <c r="R361">
        <f>IF($A361="","", IF(J361&lt;=$F361, "Yes", ""))</f>
        <v>0</v>
      </c>
      <c r="S361">
        <f>IF(R361="Yes", CEILING(MAX($G361, Q361-J361), $G361), 0)</f>
        <v>0</v>
      </c>
      <c r="T361">
        <f>IFERROR(J361/(O361/30),"")</f>
        <v>0</v>
      </c>
    </row>
    <row r="362" spans="10:20">
      <c r="J362">
        <f>IF($A362="","", SUMIFS(Mov_Qty, Mov_Item, $A362))</f>
        <v>0</v>
      </c>
      <c r="K362">
        <f>IF($A362="","", J362 * $E362)</f>
        <v>0</v>
      </c>
      <c r="L362">
        <f>IF($A362="","", SUMIFS(-Mov_Qty, Mov_Item, $A362, Mov_Type, "Consumption", Mov_Date, "&gt;="&amp;$V$2, Mov_Date, "&lt;="&amp;$W$2))</f>
        <v>0</v>
      </c>
      <c r="M362">
        <f>IF($A362="","", SUMIFS(-Mov_Qty, Mov_Item, $A362, Mov_Type, "Consumption", Mov_Date, "&gt;="&amp;$X$2, Mov_Date, "&lt;="&amp;$Y$2))</f>
        <v>0</v>
      </c>
      <c r="N362">
        <f>IF($A362="","", SUMIFS(-Mov_Qty, Mov_Item, $A362, Mov_Type, "Consumption", Mov_Date, "&gt;="&amp;$Z$2, Mov_Date, "&lt;="&amp;$AA$2))</f>
        <v>0</v>
      </c>
      <c r="O362">
        <f>IFERROR(AVERAGE(L362:N362),"")</f>
        <v>0</v>
      </c>
      <c r="P362">
        <f>IF(O362&gt;=Cfg_HiMove, "Yes", "")</f>
        <v>0</v>
      </c>
      <c r="Q362">
        <f>IF($A362="","", $I362 + IFERROR(O362/30*$H362,0))</f>
        <v>0</v>
      </c>
      <c r="R362">
        <f>IF($A362="","", IF(J362&lt;=$F362, "Yes", ""))</f>
        <v>0</v>
      </c>
      <c r="S362">
        <f>IF(R362="Yes", CEILING(MAX($G362, Q362-J362), $G362), 0)</f>
        <v>0</v>
      </c>
      <c r="T362">
        <f>IFERROR(J362/(O362/30),"")</f>
        <v>0</v>
      </c>
    </row>
    <row r="363" spans="10:20">
      <c r="J363">
        <f>IF($A363="","", SUMIFS(Mov_Qty, Mov_Item, $A363))</f>
        <v>0</v>
      </c>
      <c r="K363">
        <f>IF($A363="","", J363 * $E363)</f>
        <v>0</v>
      </c>
      <c r="L363">
        <f>IF($A363="","", SUMIFS(-Mov_Qty, Mov_Item, $A363, Mov_Type, "Consumption", Mov_Date, "&gt;="&amp;$V$2, Mov_Date, "&lt;="&amp;$W$2))</f>
        <v>0</v>
      </c>
      <c r="M363">
        <f>IF($A363="","", SUMIFS(-Mov_Qty, Mov_Item, $A363, Mov_Type, "Consumption", Mov_Date, "&gt;="&amp;$X$2, Mov_Date, "&lt;="&amp;$Y$2))</f>
        <v>0</v>
      </c>
      <c r="N363">
        <f>IF($A363="","", SUMIFS(-Mov_Qty, Mov_Item, $A363, Mov_Type, "Consumption", Mov_Date, "&gt;="&amp;$Z$2, Mov_Date, "&lt;="&amp;$AA$2))</f>
        <v>0</v>
      </c>
      <c r="O363">
        <f>IFERROR(AVERAGE(L363:N363),"")</f>
        <v>0</v>
      </c>
      <c r="P363">
        <f>IF(O363&gt;=Cfg_HiMove, "Yes", "")</f>
        <v>0</v>
      </c>
      <c r="Q363">
        <f>IF($A363="","", $I363 + IFERROR(O363/30*$H363,0))</f>
        <v>0</v>
      </c>
      <c r="R363">
        <f>IF($A363="","", IF(J363&lt;=$F363, "Yes", ""))</f>
        <v>0</v>
      </c>
      <c r="S363">
        <f>IF(R363="Yes", CEILING(MAX($G363, Q363-J363), $G363), 0)</f>
        <v>0</v>
      </c>
      <c r="T363">
        <f>IFERROR(J363/(O363/30),"")</f>
        <v>0</v>
      </c>
    </row>
    <row r="364" spans="10:20">
      <c r="J364">
        <f>IF($A364="","", SUMIFS(Mov_Qty, Mov_Item, $A364))</f>
        <v>0</v>
      </c>
      <c r="K364">
        <f>IF($A364="","", J364 * $E364)</f>
        <v>0</v>
      </c>
      <c r="L364">
        <f>IF($A364="","", SUMIFS(-Mov_Qty, Mov_Item, $A364, Mov_Type, "Consumption", Mov_Date, "&gt;="&amp;$V$2, Mov_Date, "&lt;="&amp;$W$2))</f>
        <v>0</v>
      </c>
      <c r="M364">
        <f>IF($A364="","", SUMIFS(-Mov_Qty, Mov_Item, $A364, Mov_Type, "Consumption", Mov_Date, "&gt;="&amp;$X$2, Mov_Date, "&lt;="&amp;$Y$2))</f>
        <v>0</v>
      </c>
      <c r="N364">
        <f>IF($A364="","", SUMIFS(-Mov_Qty, Mov_Item, $A364, Mov_Type, "Consumption", Mov_Date, "&gt;="&amp;$Z$2, Mov_Date, "&lt;="&amp;$AA$2))</f>
        <v>0</v>
      </c>
      <c r="O364">
        <f>IFERROR(AVERAGE(L364:N364),"")</f>
        <v>0</v>
      </c>
      <c r="P364">
        <f>IF(O364&gt;=Cfg_HiMove, "Yes", "")</f>
        <v>0</v>
      </c>
      <c r="Q364">
        <f>IF($A364="","", $I364 + IFERROR(O364/30*$H364,0))</f>
        <v>0</v>
      </c>
      <c r="R364">
        <f>IF($A364="","", IF(J364&lt;=$F364, "Yes", ""))</f>
        <v>0</v>
      </c>
      <c r="S364">
        <f>IF(R364="Yes", CEILING(MAX($G364, Q364-J364), $G364), 0)</f>
        <v>0</v>
      </c>
      <c r="T364">
        <f>IFERROR(J364/(O364/30),"")</f>
        <v>0</v>
      </c>
    </row>
    <row r="365" spans="10:20">
      <c r="J365">
        <f>IF($A365="","", SUMIFS(Mov_Qty, Mov_Item, $A365))</f>
        <v>0</v>
      </c>
      <c r="K365">
        <f>IF($A365="","", J365 * $E365)</f>
        <v>0</v>
      </c>
      <c r="L365">
        <f>IF($A365="","", SUMIFS(-Mov_Qty, Mov_Item, $A365, Mov_Type, "Consumption", Mov_Date, "&gt;="&amp;$V$2, Mov_Date, "&lt;="&amp;$W$2))</f>
        <v>0</v>
      </c>
      <c r="M365">
        <f>IF($A365="","", SUMIFS(-Mov_Qty, Mov_Item, $A365, Mov_Type, "Consumption", Mov_Date, "&gt;="&amp;$X$2, Mov_Date, "&lt;="&amp;$Y$2))</f>
        <v>0</v>
      </c>
      <c r="N365">
        <f>IF($A365="","", SUMIFS(-Mov_Qty, Mov_Item, $A365, Mov_Type, "Consumption", Mov_Date, "&gt;="&amp;$Z$2, Mov_Date, "&lt;="&amp;$AA$2))</f>
        <v>0</v>
      </c>
      <c r="O365">
        <f>IFERROR(AVERAGE(L365:N365),"")</f>
        <v>0</v>
      </c>
      <c r="P365">
        <f>IF(O365&gt;=Cfg_HiMove, "Yes", "")</f>
        <v>0</v>
      </c>
      <c r="Q365">
        <f>IF($A365="","", $I365 + IFERROR(O365/30*$H365,0))</f>
        <v>0</v>
      </c>
      <c r="R365">
        <f>IF($A365="","", IF(J365&lt;=$F365, "Yes", ""))</f>
        <v>0</v>
      </c>
      <c r="S365">
        <f>IF(R365="Yes", CEILING(MAX($G365, Q365-J365), $G365), 0)</f>
        <v>0</v>
      </c>
      <c r="T365">
        <f>IFERROR(J365/(O365/30),"")</f>
        <v>0</v>
      </c>
    </row>
    <row r="366" spans="10:20">
      <c r="J366">
        <f>IF($A366="","", SUMIFS(Mov_Qty, Mov_Item, $A366))</f>
        <v>0</v>
      </c>
      <c r="K366">
        <f>IF($A366="","", J366 * $E366)</f>
        <v>0</v>
      </c>
      <c r="L366">
        <f>IF($A366="","", SUMIFS(-Mov_Qty, Mov_Item, $A366, Mov_Type, "Consumption", Mov_Date, "&gt;="&amp;$V$2, Mov_Date, "&lt;="&amp;$W$2))</f>
        <v>0</v>
      </c>
      <c r="M366">
        <f>IF($A366="","", SUMIFS(-Mov_Qty, Mov_Item, $A366, Mov_Type, "Consumption", Mov_Date, "&gt;="&amp;$X$2, Mov_Date, "&lt;="&amp;$Y$2))</f>
        <v>0</v>
      </c>
      <c r="N366">
        <f>IF($A366="","", SUMIFS(-Mov_Qty, Mov_Item, $A366, Mov_Type, "Consumption", Mov_Date, "&gt;="&amp;$Z$2, Mov_Date, "&lt;="&amp;$AA$2))</f>
        <v>0</v>
      </c>
      <c r="O366">
        <f>IFERROR(AVERAGE(L366:N366),"")</f>
        <v>0</v>
      </c>
      <c r="P366">
        <f>IF(O366&gt;=Cfg_HiMove, "Yes", "")</f>
        <v>0</v>
      </c>
      <c r="Q366">
        <f>IF($A366="","", $I366 + IFERROR(O366/30*$H366,0))</f>
        <v>0</v>
      </c>
      <c r="R366">
        <f>IF($A366="","", IF(J366&lt;=$F366, "Yes", ""))</f>
        <v>0</v>
      </c>
      <c r="S366">
        <f>IF(R366="Yes", CEILING(MAX($G366, Q366-J366), $G366), 0)</f>
        <v>0</v>
      </c>
      <c r="T366">
        <f>IFERROR(J366/(O366/30),"")</f>
        <v>0</v>
      </c>
    </row>
    <row r="367" spans="10:20">
      <c r="J367">
        <f>IF($A367="","", SUMIFS(Mov_Qty, Mov_Item, $A367))</f>
        <v>0</v>
      </c>
      <c r="K367">
        <f>IF($A367="","", J367 * $E367)</f>
        <v>0</v>
      </c>
      <c r="L367">
        <f>IF($A367="","", SUMIFS(-Mov_Qty, Mov_Item, $A367, Mov_Type, "Consumption", Mov_Date, "&gt;="&amp;$V$2, Mov_Date, "&lt;="&amp;$W$2))</f>
        <v>0</v>
      </c>
      <c r="M367">
        <f>IF($A367="","", SUMIFS(-Mov_Qty, Mov_Item, $A367, Mov_Type, "Consumption", Mov_Date, "&gt;="&amp;$X$2, Mov_Date, "&lt;="&amp;$Y$2))</f>
        <v>0</v>
      </c>
      <c r="N367">
        <f>IF($A367="","", SUMIFS(-Mov_Qty, Mov_Item, $A367, Mov_Type, "Consumption", Mov_Date, "&gt;="&amp;$Z$2, Mov_Date, "&lt;="&amp;$AA$2))</f>
        <v>0</v>
      </c>
      <c r="O367">
        <f>IFERROR(AVERAGE(L367:N367),"")</f>
        <v>0</v>
      </c>
      <c r="P367">
        <f>IF(O367&gt;=Cfg_HiMove, "Yes", "")</f>
        <v>0</v>
      </c>
      <c r="Q367">
        <f>IF($A367="","", $I367 + IFERROR(O367/30*$H367,0))</f>
        <v>0</v>
      </c>
      <c r="R367">
        <f>IF($A367="","", IF(J367&lt;=$F367, "Yes", ""))</f>
        <v>0</v>
      </c>
      <c r="S367">
        <f>IF(R367="Yes", CEILING(MAX($G367, Q367-J367), $G367), 0)</f>
        <v>0</v>
      </c>
      <c r="T367">
        <f>IFERROR(J367/(O367/30),"")</f>
        <v>0</v>
      </c>
    </row>
    <row r="368" spans="10:20">
      <c r="J368">
        <f>IF($A368="","", SUMIFS(Mov_Qty, Mov_Item, $A368))</f>
        <v>0</v>
      </c>
      <c r="K368">
        <f>IF($A368="","", J368 * $E368)</f>
        <v>0</v>
      </c>
      <c r="L368">
        <f>IF($A368="","", SUMIFS(-Mov_Qty, Mov_Item, $A368, Mov_Type, "Consumption", Mov_Date, "&gt;="&amp;$V$2, Mov_Date, "&lt;="&amp;$W$2))</f>
        <v>0</v>
      </c>
      <c r="M368">
        <f>IF($A368="","", SUMIFS(-Mov_Qty, Mov_Item, $A368, Mov_Type, "Consumption", Mov_Date, "&gt;="&amp;$X$2, Mov_Date, "&lt;="&amp;$Y$2))</f>
        <v>0</v>
      </c>
      <c r="N368">
        <f>IF($A368="","", SUMIFS(-Mov_Qty, Mov_Item, $A368, Mov_Type, "Consumption", Mov_Date, "&gt;="&amp;$Z$2, Mov_Date, "&lt;="&amp;$AA$2))</f>
        <v>0</v>
      </c>
      <c r="O368">
        <f>IFERROR(AVERAGE(L368:N368),"")</f>
        <v>0</v>
      </c>
      <c r="P368">
        <f>IF(O368&gt;=Cfg_HiMove, "Yes", "")</f>
        <v>0</v>
      </c>
      <c r="Q368">
        <f>IF($A368="","", $I368 + IFERROR(O368/30*$H368,0))</f>
        <v>0</v>
      </c>
      <c r="R368">
        <f>IF($A368="","", IF(J368&lt;=$F368, "Yes", ""))</f>
        <v>0</v>
      </c>
      <c r="S368">
        <f>IF(R368="Yes", CEILING(MAX($G368, Q368-J368), $G368), 0)</f>
        <v>0</v>
      </c>
      <c r="T368">
        <f>IFERROR(J368/(O368/30),"")</f>
        <v>0</v>
      </c>
    </row>
    <row r="369" spans="10:20">
      <c r="J369">
        <f>IF($A369="","", SUMIFS(Mov_Qty, Mov_Item, $A369))</f>
        <v>0</v>
      </c>
      <c r="K369">
        <f>IF($A369="","", J369 * $E369)</f>
        <v>0</v>
      </c>
      <c r="L369">
        <f>IF($A369="","", SUMIFS(-Mov_Qty, Mov_Item, $A369, Mov_Type, "Consumption", Mov_Date, "&gt;="&amp;$V$2, Mov_Date, "&lt;="&amp;$W$2))</f>
        <v>0</v>
      </c>
      <c r="M369">
        <f>IF($A369="","", SUMIFS(-Mov_Qty, Mov_Item, $A369, Mov_Type, "Consumption", Mov_Date, "&gt;="&amp;$X$2, Mov_Date, "&lt;="&amp;$Y$2))</f>
        <v>0</v>
      </c>
      <c r="N369">
        <f>IF($A369="","", SUMIFS(-Mov_Qty, Mov_Item, $A369, Mov_Type, "Consumption", Mov_Date, "&gt;="&amp;$Z$2, Mov_Date, "&lt;="&amp;$AA$2))</f>
        <v>0</v>
      </c>
      <c r="O369">
        <f>IFERROR(AVERAGE(L369:N369),"")</f>
        <v>0</v>
      </c>
      <c r="P369">
        <f>IF(O369&gt;=Cfg_HiMove, "Yes", "")</f>
        <v>0</v>
      </c>
      <c r="Q369">
        <f>IF($A369="","", $I369 + IFERROR(O369/30*$H369,0))</f>
        <v>0</v>
      </c>
      <c r="R369">
        <f>IF($A369="","", IF(J369&lt;=$F369, "Yes", ""))</f>
        <v>0</v>
      </c>
      <c r="S369">
        <f>IF(R369="Yes", CEILING(MAX($G369, Q369-J369), $G369), 0)</f>
        <v>0</v>
      </c>
      <c r="T369">
        <f>IFERROR(J369/(O369/30),"")</f>
        <v>0</v>
      </c>
    </row>
    <row r="370" spans="10:20">
      <c r="J370">
        <f>IF($A370="","", SUMIFS(Mov_Qty, Mov_Item, $A370))</f>
        <v>0</v>
      </c>
      <c r="K370">
        <f>IF($A370="","", J370 * $E370)</f>
        <v>0</v>
      </c>
      <c r="L370">
        <f>IF($A370="","", SUMIFS(-Mov_Qty, Mov_Item, $A370, Mov_Type, "Consumption", Mov_Date, "&gt;="&amp;$V$2, Mov_Date, "&lt;="&amp;$W$2))</f>
        <v>0</v>
      </c>
      <c r="M370">
        <f>IF($A370="","", SUMIFS(-Mov_Qty, Mov_Item, $A370, Mov_Type, "Consumption", Mov_Date, "&gt;="&amp;$X$2, Mov_Date, "&lt;="&amp;$Y$2))</f>
        <v>0</v>
      </c>
      <c r="N370">
        <f>IF($A370="","", SUMIFS(-Mov_Qty, Mov_Item, $A370, Mov_Type, "Consumption", Mov_Date, "&gt;="&amp;$Z$2, Mov_Date, "&lt;="&amp;$AA$2))</f>
        <v>0</v>
      </c>
      <c r="O370">
        <f>IFERROR(AVERAGE(L370:N370),"")</f>
        <v>0</v>
      </c>
      <c r="P370">
        <f>IF(O370&gt;=Cfg_HiMove, "Yes", "")</f>
        <v>0</v>
      </c>
      <c r="Q370">
        <f>IF($A370="","", $I370 + IFERROR(O370/30*$H370,0))</f>
        <v>0</v>
      </c>
      <c r="R370">
        <f>IF($A370="","", IF(J370&lt;=$F370, "Yes", ""))</f>
        <v>0</v>
      </c>
      <c r="S370">
        <f>IF(R370="Yes", CEILING(MAX($G370, Q370-J370), $G370), 0)</f>
        <v>0</v>
      </c>
      <c r="T370">
        <f>IFERROR(J370/(O370/30),"")</f>
        <v>0</v>
      </c>
    </row>
    <row r="371" spans="10:20">
      <c r="J371">
        <f>IF($A371="","", SUMIFS(Mov_Qty, Mov_Item, $A371))</f>
        <v>0</v>
      </c>
      <c r="K371">
        <f>IF($A371="","", J371 * $E371)</f>
        <v>0</v>
      </c>
      <c r="L371">
        <f>IF($A371="","", SUMIFS(-Mov_Qty, Mov_Item, $A371, Mov_Type, "Consumption", Mov_Date, "&gt;="&amp;$V$2, Mov_Date, "&lt;="&amp;$W$2))</f>
        <v>0</v>
      </c>
      <c r="M371">
        <f>IF($A371="","", SUMIFS(-Mov_Qty, Mov_Item, $A371, Mov_Type, "Consumption", Mov_Date, "&gt;="&amp;$X$2, Mov_Date, "&lt;="&amp;$Y$2))</f>
        <v>0</v>
      </c>
      <c r="N371">
        <f>IF($A371="","", SUMIFS(-Mov_Qty, Mov_Item, $A371, Mov_Type, "Consumption", Mov_Date, "&gt;="&amp;$Z$2, Mov_Date, "&lt;="&amp;$AA$2))</f>
        <v>0</v>
      </c>
      <c r="O371">
        <f>IFERROR(AVERAGE(L371:N371),"")</f>
        <v>0</v>
      </c>
      <c r="P371">
        <f>IF(O371&gt;=Cfg_HiMove, "Yes", "")</f>
        <v>0</v>
      </c>
      <c r="Q371">
        <f>IF($A371="","", $I371 + IFERROR(O371/30*$H371,0))</f>
        <v>0</v>
      </c>
      <c r="R371">
        <f>IF($A371="","", IF(J371&lt;=$F371, "Yes", ""))</f>
        <v>0</v>
      </c>
      <c r="S371">
        <f>IF(R371="Yes", CEILING(MAX($G371, Q371-J371), $G371), 0)</f>
        <v>0</v>
      </c>
      <c r="T371">
        <f>IFERROR(J371/(O371/30),"")</f>
        <v>0</v>
      </c>
    </row>
    <row r="372" spans="10:20">
      <c r="J372">
        <f>IF($A372="","", SUMIFS(Mov_Qty, Mov_Item, $A372))</f>
        <v>0</v>
      </c>
      <c r="K372">
        <f>IF($A372="","", J372 * $E372)</f>
        <v>0</v>
      </c>
      <c r="L372">
        <f>IF($A372="","", SUMIFS(-Mov_Qty, Mov_Item, $A372, Mov_Type, "Consumption", Mov_Date, "&gt;="&amp;$V$2, Mov_Date, "&lt;="&amp;$W$2))</f>
        <v>0</v>
      </c>
      <c r="M372">
        <f>IF($A372="","", SUMIFS(-Mov_Qty, Mov_Item, $A372, Mov_Type, "Consumption", Mov_Date, "&gt;="&amp;$X$2, Mov_Date, "&lt;="&amp;$Y$2))</f>
        <v>0</v>
      </c>
      <c r="N372">
        <f>IF($A372="","", SUMIFS(-Mov_Qty, Mov_Item, $A372, Mov_Type, "Consumption", Mov_Date, "&gt;="&amp;$Z$2, Mov_Date, "&lt;="&amp;$AA$2))</f>
        <v>0</v>
      </c>
      <c r="O372">
        <f>IFERROR(AVERAGE(L372:N372),"")</f>
        <v>0</v>
      </c>
      <c r="P372">
        <f>IF(O372&gt;=Cfg_HiMove, "Yes", "")</f>
        <v>0</v>
      </c>
      <c r="Q372">
        <f>IF($A372="","", $I372 + IFERROR(O372/30*$H372,0))</f>
        <v>0</v>
      </c>
      <c r="R372">
        <f>IF($A372="","", IF(J372&lt;=$F372, "Yes", ""))</f>
        <v>0</v>
      </c>
      <c r="S372">
        <f>IF(R372="Yes", CEILING(MAX($G372, Q372-J372), $G372), 0)</f>
        <v>0</v>
      </c>
      <c r="T372">
        <f>IFERROR(J372/(O372/30),"")</f>
        <v>0</v>
      </c>
    </row>
    <row r="373" spans="10:20">
      <c r="J373">
        <f>IF($A373="","", SUMIFS(Mov_Qty, Mov_Item, $A373))</f>
        <v>0</v>
      </c>
      <c r="K373">
        <f>IF($A373="","", J373 * $E373)</f>
        <v>0</v>
      </c>
      <c r="L373">
        <f>IF($A373="","", SUMIFS(-Mov_Qty, Mov_Item, $A373, Mov_Type, "Consumption", Mov_Date, "&gt;="&amp;$V$2, Mov_Date, "&lt;="&amp;$W$2))</f>
        <v>0</v>
      </c>
      <c r="M373">
        <f>IF($A373="","", SUMIFS(-Mov_Qty, Mov_Item, $A373, Mov_Type, "Consumption", Mov_Date, "&gt;="&amp;$X$2, Mov_Date, "&lt;="&amp;$Y$2))</f>
        <v>0</v>
      </c>
      <c r="N373">
        <f>IF($A373="","", SUMIFS(-Mov_Qty, Mov_Item, $A373, Mov_Type, "Consumption", Mov_Date, "&gt;="&amp;$Z$2, Mov_Date, "&lt;="&amp;$AA$2))</f>
        <v>0</v>
      </c>
      <c r="O373">
        <f>IFERROR(AVERAGE(L373:N373),"")</f>
        <v>0</v>
      </c>
      <c r="P373">
        <f>IF(O373&gt;=Cfg_HiMove, "Yes", "")</f>
        <v>0</v>
      </c>
      <c r="Q373">
        <f>IF($A373="","", $I373 + IFERROR(O373/30*$H373,0))</f>
        <v>0</v>
      </c>
      <c r="R373">
        <f>IF($A373="","", IF(J373&lt;=$F373, "Yes", ""))</f>
        <v>0</v>
      </c>
      <c r="S373">
        <f>IF(R373="Yes", CEILING(MAX($G373, Q373-J373), $G373), 0)</f>
        <v>0</v>
      </c>
      <c r="T373">
        <f>IFERROR(J373/(O373/30),"")</f>
        <v>0</v>
      </c>
    </row>
    <row r="374" spans="10:20">
      <c r="J374">
        <f>IF($A374="","", SUMIFS(Mov_Qty, Mov_Item, $A374))</f>
        <v>0</v>
      </c>
      <c r="K374">
        <f>IF($A374="","", J374 * $E374)</f>
        <v>0</v>
      </c>
      <c r="L374">
        <f>IF($A374="","", SUMIFS(-Mov_Qty, Mov_Item, $A374, Mov_Type, "Consumption", Mov_Date, "&gt;="&amp;$V$2, Mov_Date, "&lt;="&amp;$W$2))</f>
        <v>0</v>
      </c>
      <c r="M374">
        <f>IF($A374="","", SUMIFS(-Mov_Qty, Mov_Item, $A374, Mov_Type, "Consumption", Mov_Date, "&gt;="&amp;$X$2, Mov_Date, "&lt;="&amp;$Y$2))</f>
        <v>0</v>
      </c>
      <c r="N374">
        <f>IF($A374="","", SUMIFS(-Mov_Qty, Mov_Item, $A374, Mov_Type, "Consumption", Mov_Date, "&gt;="&amp;$Z$2, Mov_Date, "&lt;="&amp;$AA$2))</f>
        <v>0</v>
      </c>
      <c r="O374">
        <f>IFERROR(AVERAGE(L374:N374),"")</f>
        <v>0</v>
      </c>
      <c r="P374">
        <f>IF(O374&gt;=Cfg_HiMove, "Yes", "")</f>
        <v>0</v>
      </c>
      <c r="Q374">
        <f>IF($A374="","", $I374 + IFERROR(O374/30*$H374,0))</f>
        <v>0</v>
      </c>
      <c r="R374">
        <f>IF($A374="","", IF(J374&lt;=$F374, "Yes", ""))</f>
        <v>0</v>
      </c>
      <c r="S374">
        <f>IF(R374="Yes", CEILING(MAX($G374, Q374-J374), $G374), 0)</f>
        <v>0</v>
      </c>
      <c r="T374">
        <f>IFERROR(J374/(O374/30),"")</f>
        <v>0</v>
      </c>
    </row>
    <row r="375" spans="10:20">
      <c r="J375">
        <f>IF($A375="","", SUMIFS(Mov_Qty, Mov_Item, $A375))</f>
        <v>0</v>
      </c>
      <c r="K375">
        <f>IF($A375="","", J375 * $E375)</f>
        <v>0</v>
      </c>
      <c r="L375">
        <f>IF($A375="","", SUMIFS(-Mov_Qty, Mov_Item, $A375, Mov_Type, "Consumption", Mov_Date, "&gt;="&amp;$V$2, Mov_Date, "&lt;="&amp;$W$2))</f>
        <v>0</v>
      </c>
      <c r="M375">
        <f>IF($A375="","", SUMIFS(-Mov_Qty, Mov_Item, $A375, Mov_Type, "Consumption", Mov_Date, "&gt;="&amp;$X$2, Mov_Date, "&lt;="&amp;$Y$2))</f>
        <v>0</v>
      </c>
      <c r="N375">
        <f>IF($A375="","", SUMIFS(-Mov_Qty, Mov_Item, $A375, Mov_Type, "Consumption", Mov_Date, "&gt;="&amp;$Z$2, Mov_Date, "&lt;="&amp;$AA$2))</f>
        <v>0</v>
      </c>
      <c r="O375">
        <f>IFERROR(AVERAGE(L375:N375),"")</f>
        <v>0</v>
      </c>
      <c r="P375">
        <f>IF(O375&gt;=Cfg_HiMove, "Yes", "")</f>
        <v>0</v>
      </c>
      <c r="Q375">
        <f>IF($A375="","", $I375 + IFERROR(O375/30*$H375,0))</f>
        <v>0</v>
      </c>
      <c r="R375">
        <f>IF($A375="","", IF(J375&lt;=$F375, "Yes", ""))</f>
        <v>0</v>
      </c>
      <c r="S375">
        <f>IF(R375="Yes", CEILING(MAX($G375, Q375-J375), $G375), 0)</f>
        <v>0</v>
      </c>
      <c r="T375">
        <f>IFERROR(J375/(O375/30),"")</f>
        <v>0</v>
      </c>
    </row>
    <row r="376" spans="10:20">
      <c r="J376">
        <f>IF($A376="","", SUMIFS(Mov_Qty, Mov_Item, $A376))</f>
        <v>0</v>
      </c>
      <c r="K376">
        <f>IF($A376="","", J376 * $E376)</f>
        <v>0</v>
      </c>
      <c r="L376">
        <f>IF($A376="","", SUMIFS(-Mov_Qty, Mov_Item, $A376, Mov_Type, "Consumption", Mov_Date, "&gt;="&amp;$V$2, Mov_Date, "&lt;="&amp;$W$2))</f>
        <v>0</v>
      </c>
      <c r="M376">
        <f>IF($A376="","", SUMIFS(-Mov_Qty, Mov_Item, $A376, Mov_Type, "Consumption", Mov_Date, "&gt;="&amp;$X$2, Mov_Date, "&lt;="&amp;$Y$2))</f>
        <v>0</v>
      </c>
      <c r="N376">
        <f>IF($A376="","", SUMIFS(-Mov_Qty, Mov_Item, $A376, Mov_Type, "Consumption", Mov_Date, "&gt;="&amp;$Z$2, Mov_Date, "&lt;="&amp;$AA$2))</f>
        <v>0</v>
      </c>
      <c r="O376">
        <f>IFERROR(AVERAGE(L376:N376),"")</f>
        <v>0</v>
      </c>
      <c r="P376">
        <f>IF(O376&gt;=Cfg_HiMove, "Yes", "")</f>
        <v>0</v>
      </c>
      <c r="Q376">
        <f>IF($A376="","", $I376 + IFERROR(O376/30*$H376,0))</f>
        <v>0</v>
      </c>
      <c r="R376">
        <f>IF($A376="","", IF(J376&lt;=$F376, "Yes", ""))</f>
        <v>0</v>
      </c>
      <c r="S376">
        <f>IF(R376="Yes", CEILING(MAX($G376, Q376-J376), $G376), 0)</f>
        <v>0</v>
      </c>
      <c r="T376">
        <f>IFERROR(J376/(O376/30),"")</f>
        <v>0</v>
      </c>
    </row>
    <row r="377" spans="10:20">
      <c r="J377">
        <f>IF($A377="","", SUMIFS(Mov_Qty, Mov_Item, $A377))</f>
        <v>0</v>
      </c>
      <c r="K377">
        <f>IF($A377="","", J377 * $E377)</f>
        <v>0</v>
      </c>
      <c r="L377">
        <f>IF($A377="","", SUMIFS(-Mov_Qty, Mov_Item, $A377, Mov_Type, "Consumption", Mov_Date, "&gt;="&amp;$V$2, Mov_Date, "&lt;="&amp;$W$2))</f>
        <v>0</v>
      </c>
      <c r="M377">
        <f>IF($A377="","", SUMIFS(-Mov_Qty, Mov_Item, $A377, Mov_Type, "Consumption", Mov_Date, "&gt;="&amp;$X$2, Mov_Date, "&lt;="&amp;$Y$2))</f>
        <v>0</v>
      </c>
      <c r="N377">
        <f>IF($A377="","", SUMIFS(-Mov_Qty, Mov_Item, $A377, Mov_Type, "Consumption", Mov_Date, "&gt;="&amp;$Z$2, Mov_Date, "&lt;="&amp;$AA$2))</f>
        <v>0</v>
      </c>
      <c r="O377">
        <f>IFERROR(AVERAGE(L377:N377),"")</f>
        <v>0</v>
      </c>
      <c r="P377">
        <f>IF(O377&gt;=Cfg_HiMove, "Yes", "")</f>
        <v>0</v>
      </c>
      <c r="Q377">
        <f>IF($A377="","", $I377 + IFERROR(O377/30*$H377,0))</f>
        <v>0</v>
      </c>
      <c r="R377">
        <f>IF($A377="","", IF(J377&lt;=$F377, "Yes", ""))</f>
        <v>0</v>
      </c>
      <c r="S377">
        <f>IF(R377="Yes", CEILING(MAX($G377, Q377-J377), $G377), 0)</f>
        <v>0</v>
      </c>
      <c r="T377">
        <f>IFERROR(J377/(O377/30),"")</f>
        <v>0</v>
      </c>
    </row>
    <row r="378" spans="10:20">
      <c r="J378">
        <f>IF($A378="","", SUMIFS(Mov_Qty, Mov_Item, $A378))</f>
        <v>0</v>
      </c>
      <c r="K378">
        <f>IF($A378="","", J378 * $E378)</f>
        <v>0</v>
      </c>
      <c r="L378">
        <f>IF($A378="","", SUMIFS(-Mov_Qty, Mov_Item, $A378, Mov_Type, "Consumption", Mov_Date, "&gt;="&amp;$V$2, Mov_Date, "&lt;="&amp;$W$2))</f>
        <v>0</v>
      </c>
      <c r="M378">
        <f>IF($A378="","", SUMIFS(-Mov_Qty, Mov_Item, $A378, Mov_Type, "Consumption", Mov_Date, "&gt;="&amp;$X$2, Mov_Date, "&lt;="&amp;$Y$2))</f>
        <v>0</v>
      </c>
      <c r="N378">
        <f>IF($A378="","", SUMIFS(-Mov_Qty, Mov_Item, $A378, Mov_Type, "Consumption", Mov_Date, "&gt;="&amp;$Z$2, Mov_Date, "&lt;="&amp;$AA$2))</f>
        <v>0</v>
      </c>
      <c r="O378">
        <f>IFERROR(AVERAGE(L378:N378),"")</f>
        <v>0</v>
      </c>
      <c r="P378">
        <f>IF(O378&gt;=Cfg_HiMove, "Yes", "")</f>
        <v>0</v>
      </c>
      <c r="Q378">
        <f>IF($A378="","", $I378 + IFERROR(O378/30*$H378,0))</f>
        <v>0</v>
      </c>
      <c r="R378">
        <f>IF($A378="","", IF(J378&lt;=$F378, "Yes", ""))</f>
        <v>0</v>
      </c>
      <c r="S378">
        <f>IF(R378="Yes", CEILING(MAX($G378, Q378-J378), $G378), 0)</f>
        <v>0</v>
      </c>
      <c r="T378">
        <f>IFERROR(J378/(O378/30),"")</f>
        <v>0</v>
      </c>
    </row>
    <row r="379" spans="10:20">
      <c r="J379">
        <f>IF($A379="","", SUMIFS(Mov_Qty, Mov_Item, $A379))</f>
        <v>0</v>
      </c>
      <c r="K379">
        <f>IF($A379="","", J379 * $E379)</f>
        <v>0</v>
      </c>
      <c r="L379">
        <f>IF($A379="","", SUMIFS(-Mov_Qty, Mov_Item, $A379, Mov_Type, "Consumption", Mov_Date, "&gt;="&amp;$V$2, Mov_Date, "&lt;="&amp;$W$2))</f>
        <v>0</v>
      </c>
      <c r="M379">
        <f>IF($A379="","", SUMIFS(-Mov_Qty, Mov_Item, $A379, Mov_Type, "Consumption", Mov_Date, "&gt;="&amp;$X$2, Mov_Date, "&lt;="&amp;$Y$2))</f>
        <v>0</v>
      </c>
      <c r="N379">
        <f>IF($A379="","", SUMIFS(-Mov_Qty, Mov_Item, $A379, Mov_Type, "Consumption", Mov_Date, "&gt;="&amp;$Z$2, Mov_Date, "&lt;="&amp;$AA$2))</f>
        <v>0</v>
      </c>
      <c r="O379">
        <f>IFERROR(AVERAGE(L379:N379),"")</f>
        <v>0</v>
      </c>
      <c r="P379">
        <f>IF(O379&gt;=Cfg_HiMove, "Yes", "")</f>
        <v>0</v>
      </c>
      <c r="Q379">
        <f>IF($A379="","", $I379 + IFERROR(O379/30*$H379,0))</f>
        <v>0</v>
      </c>
      <c r="R379">
        <f>IF($A379="","", IF(J379&lt;=$F379, "Yes", ""))</f>
        <v>0</v>
      </c>
      <c r="S379">
        <f>IF(R379="Yes", CEILING(MAX($G379, Q379-J379), $G379), 0)</f>
        <v>0</v>
      </c>
      <c r="T379">
        <f>IFERROR(J379/(O379/30),"")</f>
        <v>0</v>
      </c>
    </row>
    <row r="380" spans="10:20">
      <c r="J380">
        <f>IF($A380="","", SUMIFS(Mov_Qty, Mov_Item, $A380))</f>
        <v>0</v>
      </c>
      <c r="K380">
        <f>IF($A380="","", J380 * $E380)</f>
        <v>0</v>
      </c>
      <c r="L380">
        <f>IF($A380="","", SUMIFS(-Mov_Qty, Mov_Item, $A380, Mov_Type, "Consumption", Mov_Date, "&gt;="&amp;$V$2, Mov_Date, "&lt;="&amp;$W$2))</f>
        <v>0</v>
      </c>
      <c r="M380">
        <f>IF($A380="","", SUMIFS(-Mov_Qty, Mov_Item, $A380, Mov_Type, "Consumption", Mov_Date, "&gt;="&amp;$X$2, Mov_Date, "&lt;="&amp;$Y$2))</f>
        <v>0</v>
      </c>
      <c r="N380">
        <f>IF($A380="","", SUMIFS(-Mov_Qty, Mov_Item, $A380, Mov_Type, "Consumption", Mov_Date, "&gt;="&amp;$Z$2, Mov_Date, "&lt;="&amp;$AA$2))</f>
        <v>0</v>
      </c>
      <c r="O380">
        <f>IFERROR(AVERAGE(L380:N380),"")</f>
        <v>0</v>
      </c>
      <c r="P380">
        <f>IF(O380&gt;=Cfg_HiMove, "Yes", "")</f>
        <v>0</v>
      </c>
      <c r="Q380">
        <f>IF($A380="","", $I380 + IFERROR(O380/30*$H380,0))</f>
        <v>0</v>
      </c>
      <c r="R380">
        <f>IF($A380="","", IF(J380&lt;=$F380, "Yes", ""))</f>
        <v>0</v>
      </c>
      <c r="S380">
        <f>IF(R380="Yes", CEILING(MAX($G380, Q380-J380), $G380), 0)</f>
        <v>0</v>
      </c>
      <c r="T380">
        <f>IFERROR(J380/(O380/30),"")</f>
        <v>0</v>
      </c>
    </row>
    <row r="381" spans="10:20">
      <c r="J381">
        <f>IF($A381="","", SUMIFS(Mov_Qty, Mov_Item, $A381))</f>
        <v>0</v>
      </c>
      <c r="K381">
        <f>IF($A381="","", J381 * $E381)</f>
        <v>0</v>
      </c>
      <c r="L381">
        <f>IF($A381="","", SUMIFS(-Mov_Qty, Mov_Item, $A381, Mov_Type, "Consumption", Mov_Date, "&gt;="&amp;$V$2, Mov_Date, "&lt;="&amp;$W$2))</f>
        <v>0</v>
      </c>
      <c r="M381">
        <f>IF($A381="","", SUMIFS(-Mov_Qty, Mov_Item, $A381, Mov_Type, "Consumption", Mov_Date, "&gt;="&amp;$X$2, Mov_Date, "&lt;="&amp;$Y$2))</f>
        <v>0</v>
      </c>
      <c r="N381">
        <f>IF($A381="","", SUMIFS(-Mov_Qty, Mov_Item, $A381, Mov_Type, "Consumption", Mov_Date, "&gt;="&amp;$Z$2, Mov_Date, "&lt;="&amp;$AA$2))</f>
        <v>0</v>
      </c>
      <c r="O381">
        <f>IFERROR(AVERAGE(L381:N381),"")</f>
        <v>0</v>
      </c>
      <c r="P381">
        <f>IF(O381&gt;=Cfg_HiMove, "Yes", "")</f>
        <v>0</v>
      </c>
      <c r="Q381">
        <f>IF($A381="","", $I381 + IFERROR(O381/30*$H381,0))</f>
        <v>0</v>
      </c>
      <c r="R381">
        <f>IF($A381="","", IF(J381&lt;=$F381, "Yes", ""))</f>
        <v>0</v>
      </c>
      <c r="S381">
        <f>IF(R381="Yes", CEILING(MAX($G381, Q381-J381), $G381), 0)</f>
        <v>0</v>
      </c>
      <c r="T381">
        <f>IFERROR(J381/(O381/30),"")</f>
        <v>0</v>
      </c>
    </row>
    <row r="382" spans="10:20">
      <c r="J382">
        <f>IF($A382="","", SUMIFS(Mov_Qty, Mov_Item, $A382))</f>
        <v>0</v>
      </c>
      <c r="K382">
        <f>IF($A382="","", J382 * $E382)</f>
        <v>0</v>
      </c>
      <c r="L382">
        <f>IF($A382="","", SUMIFS(-Mov_Qty, Mov_Item, $A382, Mov_Type, "Consumption", Mov_Date, "&gt;="&amp;$V$2, Mov_Date, "&lt;="&amp;$W$2))</f>
        <v>0</v>
      </c>
      <c r="M382">
        <f>IF($A382="","", SUMIFS(-Mov_Qty, Mov_Item, $A382, Mov_Type, "Consumption", Mov_Date, "&gt;="&amp;$X$2, Mov_Date, "&lt;="&amp;$Y$2))</f>
        <v>0</v>
      </c>
      <c r="N382">
        <f>IF($A382="","", SUMIFS(-Mov_Qty, Mov_Item, $A382, Mov_Type, "Consumption", Mov_Date, "&gt;="&amp;$Z$2, Mov_Date, "&lt;="&amp;$AA$2))</f>
        <v>0</v>
      </c>
      <c r="O382">
        <f>IFERROR(AVERAGE(L382:N382),"")</f>
        <v>0</v>
      </c>
      <c r="P382">
        <f>IF(O382&gt;=Cfg_HiMove, "Yes", "")</f>
        <v>0</v>
      </c>
      <c r="Q382">
        <f>IF($A382="","", $I382 + IFERROR(O382/30*$H382,0))</f>
        <v>0</v>
      </c>
      <c r="R382">
        <f>IF($A382="","", IF(J382&lt;=$F382, "Yes", ""))</f>
        <v>0</v>
      </c>
      <c r="S382">
        <f>IF(R382="Yes", CEILING(MAX($G382, Q382-J382), $G382), 0)</f>
        <v>0</v>
      </c>
      <c r="T382">
        <f>IFERROR(J382/(O382/30),"")</f>
        <v>0</v>
      </c>
    </row>
    <row r="383" spans="10:20">
      <c r="J383">
        <f>IF($A383="","", SUMIFS(Mov_Qty, Mov_Item, $A383))</f>
        <v>0</v>
      </c>
      <c r="K383">
        <f>IF($A383="","", J383 * $E383)</f>
        <v>0</v>
      </c>
      <c r="L383">
        <f>IF($A383="","", SUMIFS(-Mov_Qty, Mov_Item, $A383, Mov_Type, "Consumption", Mov_Date, "&gt;="&amp;$V$2, Mov_Date, "&lt;="&amp;$W$2))</f>
        <v>0</v>
      </c>
      <c r="M383">
        <f>IF($A383="","", SUMIFS(-Mov_Qty, Mov_Item, $A383, Mov_Type, "Consumption", Mov_Date, "&gt;="&amp;$X$2, Mov_Date, "&lt;="&amp;$Y$2))</f>
        <v>0</v>
      </c>
      <c r="N383">
        <f>IF($A383="","", SUMIFS(-Mov_Qty, Mov_Item, $A383, Mov_Type, "Consumption", Mov_Date, "&gt;="&amp;$Z$2, Mov_Date, "&lt;="&amp;$AA$2))</f>
        <v>0</v>
      </c>
      <c r="O383">
        <f>IFERROR(AVERAGE(L383:N383),"")</f>
        <v>0</v>
      </c>
      <c r="P383">
        <f>IF(O383&gt;=Cfg_HiMove, "Yes", "")</f>
        <v>0</v>
      </c>
      <c r="Q383">
        <f>IF($A383="","", $I383 + IFERROR(O383/30*$H383,0))</f>
        <v>0</v>
      </c>
      <c r="R383">
        <f>IF($A383="","", IF(J383&lt;=$F383, "Yes", ""))</f>
        <v>0</v>
      </c>
      <c r="S383">
        <f>IF(R383="Yes", CEILING(MAX($G383, Q383-J383), $G383), 0)</f>
        <v>0</v>
      </c>
      <c r="T383">
        <f>IFERROR(J383/(O383/30),"")</f>
        <v>0</v>
      </c>
    </row>
    <row r="384" spans="10:20">
      <c r="J384">
        <f>IF($A384="","", SUMIFS(Mov_Qty, Mov_Item, $A384))</f>
        <v>0</v>
      </c>
      <c r="K384">
        <f>IF($A384="","", J384 * $E384)</f>
        <v>0</v>
      </c>
      <c r="L384">
        <f>IF($A384="","", SUMIFS(-Mov_Qty, Mov_Item, $A384, Mov_Type, "Consumption", Mov_Date, "&gt;="&amp;$V$2, Mov_Date, "&lt;="&amp;$W$2))</f>
        <v>0</v>
      </c>
      <c r="M384">
        <f>IF($A384="","", SUMIFS(-Mov_Qty, Mov_Item, $A384, Mov_Type, "Consumption", Mov_Date, "&gt;="&amp;$X$2, Mov_Date, "&lt;="&amp;$Y$2))</f>
        <v>0</v>
      </c>
      <c r="N384">
        <f>IF($A384="","", SUMIFS(-Mov_Qty, Mov_Item, $A384, Mov_Type, "Consumption", Mov_Date, "&gt;="&amp;$Z$2, Mov_Date, "&lt;="&amp;$AA$2))</f>
        <v>0</v>
      </c>
      <c r="O384">
        <f>IFERROR(AVERAGE(L384:N384),"")</f>
        <v>0</v>
      </c>
      <c r="P384">
        <f>IF(O384&gt;=Cfg_HiMove, "Yes", "")</f>
        <v>0</v>
      </c>
      <c r="Q384">
        <f>IF($A384="","", $I384 + IFERROR(O384/30*$H384,0))</f>
        <v>0</v>
      </c>
      <c r="R384">
        <f>IF($A384="","", IF(J384&lt;=$F384, "Yes", ""))</f>
        <v>0</v>
      </c>
      <c r="S384">
        <f>IF(R384="Yes", CEILING(MAX($G384, Q384-J384), $G384), 0)</f>
        <v>0</v>
      </c>
      <c r="T384">
        <f>IFERROR(J384/(O384/30),"")</f>
        <v>0</v>
      </c>
    </row>
    <row r="385" spans="10:20">
      <c r="J385">
        <f>IF($A385="","", SUMIFS(Mov_Qty, Mov_Item, $A385))</f>
        <v>0</v>
      </c>
      <c r="K385">
        <f>IF($A385="","", J385 * $E385)</f>
        <v>0</v>
      </c>
      <c r="L385">
        <f>IF($A385="","", SUMIFS(-Mov_Qty, Mov_Item, $A385, Mov_Type, "Consumption", Mov_Date, "&gt;="&amp;$V$2, Mov_Date, "&lt;="&amp;$W$2))</f>
        <v>0</v>
      </c>
      <c r="M385">
        <f>IF($A385="","", SUMIFS(-Mov_Qty, Mov_Item, $A385, Mov_Type, "Consumption", Mov_Date, "&gt;="&amp;$X$2, Mov_Date, "&lt;="&amp;$Y$2))</f>
        <v>0</v>
      </c>
      <c r="N385">
        <f>IF($A385="","", SUMIFS(-Mov_Qty, Mov_Item, $A385, Mov_Type, "Consumption", Mov_Date, "&gt;="&amp;$Z$2, Mov_Date, "&lt;="&amp;$AA$2))</f>
        <v>0</v>
      </c>
      <c r="O385">
        <f>IFERROR(AVERAGE(L385:N385),"")</f>
        <v>0</v>
      </c>
      <c r="P385">
        <f>IF(O385&gt;=Cfg_HiMove, "Yes", "")</f>
        <v>0</v>
      </c>
      <c r="Q385">
        <f>IF($A385="","", $I385 + IFERROR(O385/30*$H385,0))</f>
        <v>0</v>
      </c>
      <c r="R385">
        <f>IF($A385="","", IF(J385&lt;=$F385, "Yes", ""))</f>
        <v>0</v>
      </c>
      <c r="S385">
        <f>IF(R385="Yes", CEILING(MAX($G385, Q385-J385), $G385), 0)</f>
        <v>0</v>
      </c>
      <c r="T385">
        <f>IFERROR(J385/(O385/30),"")</f>
        <v>0</v>
      </c>
    </row>
    <row r="386" spans="10:20">
      <c r="J386">
        <f>IF($A386="","", SUMIFS(Mov_Qty, Mov_Item, $A386))</f>
        <v>0</v>
      </c>
      <c r="K386">
        <f>IF($A386="","", J386 * $E386)</f>
        <v>0</v>
      </c>
      <c r="L386">
        <f>IF($A386="","", SUMIFS(-Mov_Qty, Mov_Item, $A386, Mov_Type, "Consumption", Mov_Date, "&gt;="&amp;$V$2, Mov_Date, "&lt;="&amp;$W$2))</f>
        <v>0</v>
      </c>
      <c r="M386">
        <f>IF($A386="","", SUMIFS(-Mov_Qty, Mov_Item, $A386, Mov_Type, "Consumption", Mov_Date, "&gt;="&amp;$X$2, Mov_Date, "&lt;="&amp;$Y$2))</f>
        <v>0</v>
      </c>
      <c r="N386">
        <f>IF($A386="","", SUMIFS(-Mov_Qty, Mov_Item, $A386, Mov_Type, "Consumption", Mov_Date, "&gt;="&amp;$Z$2, Mov_Date, "&lt;="&amp;$AA$2))</f>
        <v>0</v>
      </c>
      <c r="O386">
        <f>IFERROR(AVERAGE(L386:N386),"")</f>
        <v>0</v>
      </c>
      <c r="P386">
        <f>IF(O386&gt;=Cfg_HiMove, "Yes", "")</f>
        <v>0</v>
      </c>
      <c r="Q386">
        <f>IF($A386="","", $I386 + IFERROR(O386/30*$H386,0))</f>
        <v>0</v>
      </c>
      <c r="R386">
        <f>IF($A386="","", IF(J386&lt;=$F386, "Yes", ""))</f>
        <v>0</v>
      </c>
      <c r="S386">
        <f>IF(R386="Yes", CEILING(MAX($G386, Q386-J386), $G386), 0)</f>
        <v>0</v>
      </c>
      <c r="T386">
        <f>IFERROR(J386/(O386/30),"")</f>
        <v>0</v>
      </c>
    </row>
    <row r="387" spans="10:20">
      <c r="J387">
        <f>IF($A387="","", SUMIFS(Mov_Qty, Mov_Item, $A387))</f>
        <v>0</v>
      </c>
      <c r="K387">
        <f>IF($A387="","", J387 * $E387)</f>
        <v>0</v>
      </c>
      <c r="L387">
        <f>IF($A387="","", SUMIFS(-Mov_Qty, Mov_Item, $A387, Mov_Type, "Consumption", Mov_Date, "&gt;="&amp;$V$2, Mov_Date, "&lt;="&amp;$W$2))</f>
        <v>0</v>
      </c>
      <c r="M387">
        <f>IF($A387="","", SUMIFS(-Mov_Qty, Mov_Item, $A387, Mov_Type, "Consumption", Mov_Date, "&gt;="&amp;$X$2, Mov_Date, "&lt;="&amp;$Y$2))</f>
        <v>0</v>
      </c>
      <c r="N387">
        <f>IF($A387="","", SUMIFS(-Mov_Qty, Mov_Item, $A387, Mov_Type, "Consumption", Mov_Date, "&gt;="&amp;$Z$2, Mov_Date, "&lt;="&amp;$AA$2))</f>
        <v>0</v>
      </c>
      <c r="O387">
        <f>IFERROR(AVERAGE(L387:N387),"")</f>
        <v>0</v>
      </c>
      <c r="P387">
        <f>IF(O387&gt;=Cfg_HiMove, "Yes", "")</f>
        <v>0</v>
      </c>
      <c r="Q387">
        <f>IF($A387="","", $I387 + IFERROR(O387/30*$H387,0))</f>
        <v>0</v>
      </c>
      <c r="R387">
        <f>IF($A387="","", IF(J387&lt;=$F387, "Yes", ""))</f>
        <v>0</v>
      </c>
      <c r="S387">
        <f>IF(R387="Yes", CEILING(MAX($G387, Q387-J387), $G387), 0)</f>
        <v>0</v>
      </c>
      <c r="T387">
        <f>IFERROR(J387/(O387/30),"")</f>
        <v>0</v>
      </c>
    </row>
    <row r="388" spans="10:20">
      <c r="J388">
        <f>IF($A388="","", SUMIFS(Mov_Qty, Mov_Item, $A388))</f>
        <v>0</v>
      </c>
      <c r="K388">
        <f>IF($A388="","", J388 * $E388)</f>
        <v>0</v>
      </c>
      <c r="L388">
        <f>IF($A388="","", SUMIFS(-Mov_Qty, Mov_Item, $A388, Mov_Type, "Consumption", Mov_Date, "&gt;="&amp;$V$2, Mov_Date, "&lt;="&amp;$W$2))</f>
        <v>0</v>
      </c>
      <c r="M388">
        <f>IF($A388="","", SUMIFS(-Mov_Qty, Mov_Item, $A388, Mov_Type, "Consumption", Mov_Date, "&gt;="&amp;$X$2, Mov_Date, "&lt;="&amp;$Y$2))</f>
        <v>0</v>
      </c>
      <c r="N388">
        <f>IF($A388="","", SUMIFS(-Mov_Qty, Mov_Item, $A388, Mov_Type, "Consumption", Mov_Date, "&gt;="&amp;$Z$2, Mov_Date, "&lt;="&amp;$AA$2))</f>
        <v>0</v>
      </c>
      <c r="O388">
        <f>IFERROR(AVERAGE(L388:N388),"")</f>
        <v>0</v>
      </c>
      <c r="P388">
        <f>IF(O388&gt;=Cfg_HiMove, "Yes", "")</f>
        <v>0</v>
      </c>
      <c r="Q388">
        <f>IF($A388="","", $I388 + IFERROR(O388/30*$H388,0))</f>
        <v>0</v>
      </c>
      <c r="R388">
        <f>IF($A388="","", IF(J388&lt;=$F388, "Yes", ""))</f>
        <v>0</v>
      </c>
      <c r="S388">
        <f>IF(R388="Yes", CEILING(MAX($G388, Q388-J388), $G388), 0)</f>
        <v>0</v>
      </c>
      <c r="T388">
        <f>IFERROR(J388/(O388/30),"")</f>
        <v>0</v>
      </c>
    </row>
    <row r="389" spans="10:20">
      <c r="J389">
        <f>IF($A389="","", SUMIFS(Mov_Qty, Mov_Item, $A389))</f>
        <v>0</v>
      </c>
      <c r="K389">
        <f>IF($A389="","", J389 * $E389)</f>
        <v>0</v>
      </c>
      <c r="L389">
        <f>IF($A389="","", SUMIFS(-Mov_Qty, Mov_Item, $A389, Mov_Type, "Consumption", Mov_Date, "&gt;="&amp;$V$2, Mov_Date, "&lt;="&amp;$W$2))</f>
        <v>0</v>
      </c>
      <c r="M389">
        <f>IF($A389="","", SUMIFS(-Mov_Qty, Mov_Item, $A389, Mov_Type, "Consumption", Mov_Date, "&gt;="&amp;$X$2, Mov_Date, "&lt;="&amp;$Y$2))</f>
        <v>0</v>
      </c>
      <c r="N389">
        <f>IF($A389="","", SUMIFS(-Mov_Qty, Mov_Item, $A389, Mov_Type, "Consumption", Mov_Date, "&gt;="&amp;$Z$2, Mov_Date, "&lt;="&amp;$AA$2))</f>
        <v>0</v>
      </c>
      <c r="O389">
        <f>IFERROR(AVERAGE(L389:N389),"")</f>
        <v>0</v>
      </c>
      <c r="P389">
        <f>IF(O389&gt;=Cfg_HiMove, "Yes", "")</f>
        <v>0</v>
      </c>
      <c r="Q389">
        <f>IF($A389="","", $I389 + IFERROR(O389/30*$H389,0))</f>
        <v>0</v>
      </c>
      <c r="R389">
        <f>IF($A389="","", IF(J389&lt;=$F389, "Yes", ""))</f>
        <v>0</v>
      </c>
      <c r="S389">
        <f>IF(R389="Yes", CEILING(MAX($G389, Q389-J389), $G389), 0)</f>
        <v>0</v>
      </c>
      <c r="T389">
        <f>IFERROR(J389/(O389/30),"")</f>
        <v>0</v>
      </c>
    </row>
    <row r="390" spans="10:20">
      <c r="J390">
        <f>IF($A390="","", SUMIFS(Mov_Qty, Mov_Item, $A390))</f>
        <v>0</v>
      </c>
      <c r="K390">
        <f>IF($A390="","", J390 * $E390)</f>
        <v>0</v>
      </c>
      <c r="L390">
        <f>IF($A390="","", SUMIFS(-Mov_Qty, Mov_Item, $A390, Mov_Type, "Consumption", Mov_Date, "&gt;="&amp;$V$2, Mov_Date, "&lt;="&amp;$W$2))</f>
        <v>0</v>
      </c>
      <c r="M390">
        <f>IF($A390="","", SUMIFS(-Mov_Qty, Mov_Item, $A390, Mov_Type, "Consumption", Mov_Date, "&gt;="&amp;$X$2, Mov_Date, "&lt;="&amp;$Y$2))</f>
        <v>0</v>
      </c>
      <c r="N390">
        <f>IF($A390="","", SUMIFS(-Mov_Qty, Mov_Item, $A390, Mov_Type, "Consumption", Mov_Date, "&gt;="&amp;$Z$2, Mov_Date, "&lt;="&amp;$AA$2))</f>
        <v>0</v>
      </c>
      <c r="O390">
        <f>IFERROR(AVERAGE(L390:N390),"")</f>
        <v>0</v>
      </c>
      <c r="P390">
        <f>IF(O390&gt;=Cfg_HiMove, "Yes", "")</f>
        <v>0</v>
      </c>
      <c r="Q390">
        <f>IF($A390="","", $I390 + IFERROR(O390/30*$H390,0))</f>
        <v>0</v>
      </c>
      <c r="R390">
        <f>IF($A390="","", IF(J390&lt;=$F390, "Yes", ""))</f>
        <v>0</v>
      </c>
      <c r="S390">
        <f>IF(R390="Yes", CEILING(MAX($G390, Q390-J390), $G390), 0)</f>
        <v>0</v>
      </c>
      <c r="T390">
        <f>IFERROR(J390/(O390/30),"")</f>
        <v>0</v>
      </c>
    </row>
    <row r="391" spans="10:20">
      <c r="J391">
        <f>IF($A391="","", SUMIFS(Mov_Qty, Mov_Item, $A391))</f>
        <v>0</v>
      </c>
      <c r="K391">
        <f>IF($A391="","", J391 * $E391)</f>
        <v>0</v>
      </c>
      <c r="L391">
        <f>IF($A391="","", SUMIFS(-Mov_Qty, Mov_Item, $A391, Mov_Type, "Consumption", Mov_Date, "&gt;="&amp;$V$2, Mov_Date, "&lt;="&amp;$W$2))</f>
        <v>0</v>
      </c>
      <c r="M391">
        <f>IF($A391="","", SUMIFS(-Mov_Qty, Mov_Item, $A391, Mov_Type, "Consumption", Mov_Date, "&gt;="&amp;$X$2, Mov_Date, "&lt;="&amp;$Y$2))</f>
        <v>0</v>
      </c>
      <c r="N391">
        <f>IF($A391="","", SUMIFS(-Mov_Qty, Mov_Item, $A391, Mov_Type, "Consumption", Mov_Date, "&gt;="&amp;$Z$2, Mov_Date, "&lt;="&amp;$AA$2))</f>
        <v>0</v>
      </c>
      <c r="O391">
        <f>IFERROR(AVERAGE(L391:N391),"")</f>
        <v>0</v>
      </c>
      <c r="P391">
        <f>IF(O391&gt;=Cfg_HiMove, "Yes", "")</f>
        <v>0</v>
      </c>
      <c r="Q391">
        <f>IF($A391="","", $I391 + IFERROR(O391/30*$H391,0))</f>
        <v>0</v>
      </c>
      <c r="R391">
        <f>IF($A391="","", IF(J391&lt;=$F391, "Yes", ""))</f>
        <v>0</v>
      </c>
      <c r="S391">
        <f>IF(R391="Yes", CEILING(MAX($G391, Q391-J391), $G391), 0)</f>
        <v>0</v>
      </c>
      <c r="T391">
        <f>IFERROR(J391/(O391/30),"")</f>
        <v>0</v>
      </c>
    </row>
    <row r="392" spans="10:20">
      <c r="J392">
        <f>IF($A392="","", SUMIFS(Mov_Qty, Mov_Item, $A392))</f>
        <v>0</v>
      </c>
      <c r="K392">
        <f>IF($A392="","", J392 * $E392)</f>
        <v>0</v>
      </c>
      <c r="L392">
        <f>IF($A392="","", SUMIFS(-Mov_Qty, Mov_Item, $A392, Mov_Type, "Consumption", Mov_Date, "&gt;="&amp;$V$2, Mov_Date, "&lt;="&amp;$W$2))</f>
        <v>0</v>
      </c>
      <c r="M392">
        <f>IF($A392="","", SUMIFS(-Mov_Qty, Mov_Item, $A392, Mov_Type, "Consumption", Mov_Date, "&gt;="&amp;$X$2, Mov_Date, "&lt;="&amp;$Y$2))</f>
        <v>0</v>
      </c>
      <c r="N392">
        <f>IF($A392="","", SUMIFS(-Mov_Qty, Mov_Item, $A392, Mov_Type, "Consumption", Mov_Date, "&gt;="&amp;$Z$2, Mov_Date, "&lt;="&amp;$AA$2))</f>
        <v>0</v>
      </c>
      <c r="O392">
        <f>IFERROR(AVERAGE(L392:N392),"")</f>
        <v>0</v>
      </c>
      <c r="P392">
        <f>IF(O392&gt;=Cfg_HiMove, "Yes", "")</f>
        <v>0</v>
      </c>
      <c r="Q392">
        <f>IF($A392="","", $I392 + IFERROR(O392/30*$H392,0))</f>
        <v>0</v>
      </c>
      <c r="R392">
        <f>IF($A392="","", IF(J392&lt;=$F392, "Yes", ""))</f>
        <v>0</v>
      </c>
      <c r="S392">
        <f>IF(R392="Yes", CEILING(MAX($G392, Q392-J392), $G392), 0)</f>
        <v>0</v>
      </c>
      <c r="T392">
        <f>IFERROR(J392/(O392/30),"")</f>
        <v>0</v>
      </c>
    </row>
    <row r="393" spans="10:20">
      <c r="J393">
        <f>IF($A393="","", SUMIFS(Mov_Qty, Mov_Item, $A393))</f>
        <v>0</v>
      </c>
      <c r="K393">
        <f>IF($A393="","", J393 * $E393)</f>
        <v>0</v>
      </c>
      <c r="L393">
        <f>IF($A393="","", SUMIFS(-Mov_Qty, Mov_Item, $A393, Mov_Type, "Consumption", Mov_Date, "&gt;="&amp;$V$2, Mov_Date, "&lt;="&amp;$W$2))</f>
        <v>0</v>
      </c>
      <c r="M393">
        <f>IF($A393="","", SUMIFS(-Mov_Qty, Mov_Item, $A393, Mov_Type, "Consumption", Mov_Date, "&gt;="&amp;$X$2, Mov_Date, "&lt;="&amp;$Y$2))</f>
        <v>0</v>
      </c>
      <c r="N393">
        <f>IF($A393="","", SUMIFS(-Mov_Qty, Mov_Item, $A393, Mov_Type, "Consumption", Mov_Date, "&gt;="&amp;$Z$2, Mov_Date, "&lt;="&amp;$AA$2))</f>
        <v>0</v>
      </c>
      <c r="O393">
        <f>IFERROR(AVERAGE(L393:N393),"")</f>
        <v>0</v>
      </c>
      <c r="P393">
        <f>IF(O393&gt;=Cfg_HiMove, "Yes", "")</f>
        <v>0</v>
      </c>
      <c r="Q393">
        <f>IF($A393="","", $I393 + IFERROR(O393/30*$H393,0))</f>
        <v>0</v>
      </c>
      <c r="R393">
        <f>IF($A393="","", IF(J393&lt;=$F393, "Yes", ""))</f>
        <v>0</v>
      </c>
      <c r="S393">
        <f>IF(R393="Yes", CEILING(MAX($G393, Q393-J393), $G393), 0)</f>
        <v>0</v>
      </c>
      <c r="T393">
        <f>IFERROR(J393/(O393/30),"")</f>
        <v>0</v>
      </c>
    </row>
    <row r="394" spans="10:20">
      <c r="J394">
        <f>IF($A394="","", SUMIFS(Mov_Qty, Mov_Item, $A394))</f>
        <v>0</v>
      </c>
      <c r="K394">
        <f>IF($A394="","", J394 * $E394)</f>
        <v>0</v>
      </c>
      <c r="L394">
        <f>IF($A394="","", SUMIFS(-Mov_Qty, Mov_Item, $A394, Mov_Type, "Consumption", Mov_Date, "&gt;="&amp;$V$2, Mov_Date, "&lt;="&amp;$W$2))</f>
        <v>0</v>
      </c>
      <c r="M394">
        <f>IF($A394="","", SUMIFS(-Mov_Qty, Mov_Item, $A394, Mov_Type, "Consumption", Mov_Date, "&gt;="&amp;$X$2, Mov_Date, "&lt;="&amp;$Y$2))</f>
        <v>0</v>
      </c>
      <c r="N394">
        <f>IF($A394="","", SUMIFS(-Mov_Qty, Mov_Item, $A394, Mov_Type, "Consumption", Mov_Date, "&gt;="&amp;$Z$2, Mov_Date, "&lt;="&amp;$AA$2))</f>
        <v>0</v>
      </c>
      <c r="O394">
        <f>IFERROR(AVERAGE(L394:N394),"")</f>
        <v>0</v>
      </c>
      <c r="P394">
        <f>IF(O394&gt;=Cfg_HiMove, "Yes", "")</f>
        <v>0</v>
      </c>
      <c r="Q394">
        <f>IF($A394="","", $I394 + IFERROR(O394/30*$H394,0))</f>
        <v>0</v>
      </c>
      <c r="R394">
        <f>IF($A394="","", IF(J394&lt;=$F394, "Yes", ""))</f>
        <v>0</v>
      </c>
      <c r="S394">
        <f>IF(R394="Yes", CEILING(MAX($G394, Q394-J394), $G394), 0)</f>
        <v>0</v>
      </c>
      <c r="T394">
        <f>IFERROR(J394/(O394/30),"")</f>
        <v>0</v>
      </c>
    </row>
    <row r="395" spans="10:20">
      <c r="J395">
        <f>IF($A395="","", SUMIFS(Mov_Qty, Mov_Item, $A395))</f>
        <v>0</v>
      </c>
      <c r="K395">
        <f>IF($A395="","", J395 * $E395)</f>
        <v>0</v>
      </c>
      <c r="L395">
        <f>IF($A395="","", SUMIFS(-Mov_Qty, Mov_Item, $A395, Mov_Type, "Consumption", Mov_Date, "&gt;="&amp;$V$2, Mov_Date, "&lt;="&amp;$W$2))</f>
        <v>0</v>
      </c>
      <c r="M395">
        <f>IF($A395="","", SUMIFS(-Mov_Qty, Mov_Item, $A395, Mov_Type, "Consumption", Mov_Date, "&gt;="&amp;$X$2, Mov_Date, "&lt;="&amp;$Y$2))</f>
        <v>0</v>
      </c>
      <c r="N395">
        <f>IF($A395="","", SUMIFS(-Mov_Qty, Mov_Item, $A395, Mov_Type, "Consumption", Mov_Date, "&gt;="&amp;$Z$2, Mov_Date, "&lt;="&amp;$AA$2))</f>
        <v>0</v>
      </c>
      <c r="O395">
        <f>IFERROR(AVERAGE(L395:N395),"")</f>
        <v>0</v>
      </c>
      <c r="P395">
        <f>IF(O395&gt;=Cfg_HiMove, "Yes", "")</f>
        <v>0</v>
      </c>
      <c r="Q395">
        <f>IF($A395="","", $I395 + IFERROR(O395/30*$H395,0))</f>
        <v>0</v>
      </c>
      <c r="R395">
        <f>IF($A395="","", IF(J395&lt;=$F395, "Yes", ""))</f>
        <v>0</v>
      </c>
      <c r="S395">
        <f>IF(R395="Yes", CEILING(MAX($G395, Q395-J395), $G395), 0)</f>
        <v>0</v>
      </c>
      <c r="T395">
        <f>IFERROR(J395/(O395/30),"")</f>
        <v>0</v>
      </c>
    </row>
    <row r="396" spans="10:20">
      <c r="J396">
        <f>IF($A396="","", SUMIFS(Mov_Qty, Mov_Item, $A396))</f>
        <v>0</v>
      </c>
      <c r="K396">
        <f>IF($A396="","", J396 * $E396)</f>
        <v>0</v>
      </c>
      <c r="L396">
        <f>IF($A396="","", SUMIFS(-Mov_Qty, Mov_Item, $A396, Mov_Type, "Consumption", Mov_Date, "&gt;="&amp;$V$2, Mov_Date, "&lt;="&amp;$W$2))</f>
        <v>0</v>
      </c>
      <c r="M396">
        <f>IF($A396="","", SUMIFS(-Mov_Qty, Mov_Item, $A396, Mov_Type, "Consumption", Mov_Date, "&gt;="&amp;$X$2, Mov_Date, "&lt;="&amp;$Y$2))</f>
        <v>0</v>
      </c>
      <c r="N396">
        <f>IF($A396="","", SUMIFS(-Mov_Qty, Mov_Item, $A396, Mov_Type, "Consumption", Mov_Date, "&gt;="&amp;$Z$2, Mov_Date, "&lt;="&amp;$AA$2))</f>
        <v>0</v>
      </c>
      <c r="O396">
        <f>IFERROR(AVERAGE(L396:N396),"")</f>
        <v>0</v>
      </c>
      <c r="P396">
        <f>IF(O396&gt;=Cfg_HiMove, "Yes", "")</f>
        <v>0</v>
      </c>
      <c r="Q396">
        <f>IF($A396="","", $I396 + IFERROR(O396/30*$H396,0))</f>
        <v>0</v>
      </c>
      <c r="R396">
        <f>IF($A396="","", IF(J396&lt;=$F396, "Yes", ""))</f>
        <v>0</v>
      </c>
      <c r="S396">
        <f>IF(R396="Yes", CEILING(MAX($G396, Q396-J396), $G396), 0)</f>
        <v>0</v>
      </c>
      <c r="T396">
        <f>IFERROR(J396/(O396/30),"")</f>
        <v>0</v>
      </c>
    </row>
    <row r="397" spans="10:20">
      <c r="J397">
        <f>IF($A397="","", SUMIFS(Mov_Qty, Mov_Item, $A397))</f>
        <v>0</v>
      </c>
      <c r="K397">
        <f>IF($A397="","", J397 * $E397)</f>
        <v>0</v>
      </c>
      <c r="L397">
        <f>IF($A397="","", SUMIFS(-Mov_Qty, Mov_Item, $A397, Mov_Type, "Consumption", Mov_Date, "&gt;="&amp;$V$2, Mov_Date, "&lt;="&amp;$W$2))</f>
        <v>0</v>
      </c>
      <c r="M397">
        <f>IF($A397="","", SUMIFS(-Mov_Qty, Mov_Item, $A397, Mov_Type, "Consumption", Mov_Date, "&gt;="&amp;$X$2, Mov_Date, "&lt;="&amp;$Y$2))</f>
        <v>0</v>
      </c>
      <c r="N397">
        <f>IF($A397="","", SUMIFS(-Mov_Qty, Mov_Item, $A397, Mov_Type, "Consumption", Mov_Date, "&gt;="&amp;$Z$2, Mov_Date, "&lt;="&amp;$AA$2))</f>
        <v>0</v>
      </c>
      <c r="O397">
        <f>IFERROR(AVERAGE(L397:N397),"")</f>
        <v>0</v>
      </c>
      <c r="P397">
        <f>IF(O397&gt;=Cfg_HiMove, "Yes", "")</f>
        <v>0</v>
      </c>
      <c r="Q397">
        <f>IF($A397="","", $I397 + IFERROR(O397/30*$H397,0))</f>
        <v>0</v>
      </c>
      <c r="R397">
        <f>IF($A397="","", IF(J397&lt;=$F397, "Yes", ""))</f>
        <v>0</v>
      </c>
      <c r="S397">
        <f>IF(R397="Yes", CEILING(MAX($G397, Q397-J397), $G397), 0)</f>
        <v>0</v>
      </c>
      <c r="T397">
        <f>IFERROR(J397/(O397/30),"")</f>
        <v>0</v>
      </c>
    </row>
    <row r="398" spans="10:20">
      <c r="J398">
        <f>IF($A398="","", SUMIFS(Mov_Qty, Mov_Item, $A398))</f>
        <v>0</v>
      </c>
      <c r="K398">
        <f>IF($A398="","", J398 * $E398)</f>
        <v>0</v>
      </c>
      <c r="L398">
        <f>IF($A398="","", SUMIFS(-Mov_Qty, Mov_Item, $A398, Mov_Type, "Consumption", Mov_Date, "&gt;="&amp;$V$2, Mov_Date, "&lt;="&amp;$W$2))</f>
        <v>0</v>
      </c>
      <c r="M398">
        <f>IF($A398="","", SUMIFS(-Mov_Qty, Mov_Item, $A398, Mov_Type, "Consumption", Mov_Date, "&gt;="&amp;$X$2, Mov_Date, "&lt;="&amp;$Y$2))</f>
        <v>0</v>
      </c>
      <c r="N398">
        <f>IF($A398="","", SUMIFS(-Mov_Qty, Mov_Item, $A398, Mov_Type, "Consumption", Mov_Date, "&gt;="&amp;$Z$2, Mov_Date, "&lt;="&amp;$AA$2))</f>
        <v>0</v>
      </c>
      <c r="O398">
        <f>IFERROR(AVERAGE(L398:N398),"")</f>
        <v>0</v>
      </c>
      <c r="P398">
        <f>IF(O398&gt;=Cfg_HiMove, "Yes", "")</f>
        <v>0</v>
      </c>
      <c r="Q398">
        <f>IF($A398="","", $I398 + IFERROR(O398/30*$H398,0))</f>
        <v>0</v>
      </c>
      <c r="R398">
        <f>IF($A398="","", IF(J398&lt;=$F398, "Yes", ""))</f>
        <v>0</v>
      </c>
      <c r="S398">
        <f>IF(R398="Yes", CEILING(MAX($G398, Q398-J398), $G398), 0)</f>
        <v>0</v>
      </c>
      <c r="T398">
        <f>IFERROR(J398/(O398/30),"")</f>
        <v>0</v>
      </c>
    </row>
    <row r="399" spans="10:20">
      <c r="J399">
        <f>IF($A399="","", SUMIFS(Mov_Qty, Mov_Item, $A399))</f>
        <v>0</v>
      </c>
      <c r="K399">
        <f>IF($A399="","", J399 * $E399)</f>
        <v>0</v>
      </c>
      <c r="L399">
        <f>IF($A399="","", SUMIFS(-Mov_Qty, Mov_Item, $A399, Mov_Type, "Consumption", Mov_Date, "&gt;="&amp;$V$2, Mov_Date, "&lt;="&amp;$W$2))</f>
        <v>0</v>
      </c>
      <c r="M399">
        <f>IF($A399="","", SUMIFS(-Mov_Qty, Mov_Item, $A399, Mov_Type, "Consumption", Mov_Date, "&gt;="&amp;$X$2, Mov_Date, "&lt;="&amp;$Y$2))</f>
        <v>0</v>
      </c>
      <c r="N399">
        <f>IF($A399="","", SUMIFS(-Mov_Qty, Mov_Item, $A399, Mov_Type, "Consumption", Mov_Date, "&gt;="&amp;$Z$2, Mov_Date, "&lt;="&amp;$AA$2))</f>
        <v>0</v>
      </c>
      <c r="O399">
        <f>IFERROR(AVERAGE(L399:N399),"")</f>
        <v>0</v>
      </c>
      <c r="P399">
        <f>IF(O399&gt;=Cfg_HiMove, "Yes", "")</f>
        <v>0</v>
      </c>
      <c r="Q399">
        <f>IF($A399="","", $I399 + IFERROR(O399/30*$H399,0))</f>
        <v>0</v>
      </c>
      <c r="R399">
        <f>IF($A399="","", IF(J399&lt;=$F399, "Yes", ""))</f>
        <v>0</v>
      </c>
      <c r="S399">
        <f>IF(R399="Yes", CEILING(MAX($G399, Q399-J399), $G399), 0)</f>
        <v>0</v>
      </c>
      <c r="T399">
        <f>IFERROR(J399/(O399/30),"")</f>
        <v>0</v>
      </c>
    </row>
    <row r="400" spans="10:20">
      <c r="J400">
        <f>IF($A400="","", SUMIFS(Mov_Qty, Mov_Item, $A400))</f>
        <v>0</v>
      </c>
      <c r="K400">
        <f>IF($A400="","", J400 * $E400)</f>
        <v>0</v>
      </c>
      <c r="L400">
        <f>IF($A400="","", SUMIFS(-Mov_Qty, Mov_Item, $A400, Mov_Type, "Consumption", Mov_Date, "&gt;="&amp;$V$2, Mov_Date, "&lt;="&amp;$W$2))</f>
        <v>0</v>
      </c>
      <c r="M400">
        <f>IF($A400="","", SUMIFS(-Mov_Qty, Mov_Item, $A400, Mov_Type, "Consumption", Mov_Date, "&gt;="&amp;$X$2, Mov_Date, "&lt;="&amp;$Y$2))</f>
        <v>0</v>
      </c>
      <c r="N400">
        <f>IF($A400="","", SUMIFS(-Mov_Qty, Mov_Item, $A400, Mov_Type, "Consumption", Mov_Date, "&gt;="&amp;$Z$2, Mov_Date, "&lt;="&amp;$AA$2))</f>
        <v>0</v>
      </c>
      <c r="O400">
        <f>IFERROR(AVERAGE(L400:N400),"")</f>
        <v>0</v>
      </c>
      <c r="P400">
        <f>IF(O400&gt;=Cfg_HiMove, "Yes", "")</f>
        <v>0</v>
      </c>
      <c r="Q400">
        <f>IF($A400="","", $I400 + IFERROR(O400/30*$H400,0))</f>
        <v>0</v>
      </c>
      <c r="R400">
        <f>IF($A400="","", IF(J400&lt;=$F400, "Yes", ""))</f>
        <v>0</v>
      </c>
      <c r="S400">
        <f>IF(R400="Yes", CEILING(MAX($G400, Q400-J400), $G400), 0)</f>
        <v>0</v>
      </c>
      <c r="T400">
        <f>IFERROR(J400/(O400/30),"")</f>
        <v>0</v>
      </c>
    </row>
    <row r="401" spans="10:20">
      <c r="J401">
        <f>IF($A401="","", SUMIFS(Mov_Qty, Mov_Item, $A401))</f>
        <v>0</v>
      </c>
      <c r="K401">
        <f>IF($A401="","", J401 * $E401)</f>
        <v>0</v>
      </c>
      <c r="L401">
        <f>IF($A401="","", SUMIFS(-Mov_Qty, Mov_Item, $A401, Mov_Type, "Consumption", Mov_Date, "&gt;="&amp;$V$2, Mov_Date, "&lt;="&amp;$W$2))</f>
        <v>0</v>
      </c>
      <c r="M401">
        <f>IF($A401="","", SUMIFS(-Mov_Qty, Mov_Item, $A401, Mov_Type, "Consumption", Mov_Date, "&gt;="&amp;$X$2, Mov_Date, "&lt;="&amp;$Y$2))</f>
        <v>0</v>
      </c>
      <c r="N401">
        <f>IF($A401="","", SUMIFS(-Mov_Qty, Mov_Item, $A401, Mov_Type, "Consumption", Mov_Date, "&gt;="&amp;$Z$2, Mov_Date, "&lt;="&amp;$AA$2))</f>
        <v>0</v>
      </c>
      <c r="O401">
        <f>IFERROR(AVERAGE(L401:N401),"")</f>
        <v>0</v>
      </c>
      <c r="P401">
        <f>IF(O401&gt;=Cfg_HiMove, "Yes", "")</f>
        <v>0</v>
      </c>
      <c r="Q401">
        <f>IF($A401="","", $I401 + IFERROR(O401/30*$H401,0))</f>
        <v>0</v>
      </c>
      <c r="R401">
        <f>IF($A401="","", IF(J401&lt;=$F401, "Yes", ""))</f>
        <v>0</v>
      </c>
      <c r="S401">
        <f>IF(R401="Yes", CEILING(MAX($G401, Q401-J401), $G401), 0)</f>
        <v>0</v>
      </c>
      <c r="T401">
        <f>IFERROR(J401/(O401/30),"")</f>
        <v>0</v>
      </c>
    </row>
    <row r="402" spans="10:20">
      <c r="J402">
        <f>IF($A402="","", SUMIFS(Mov_Qty, Mov_Item, $A402))</f>
        <v>0</v>
      </c>
      <c r="K402">
        <f>IF($A402="","", J402 * $E402)</f>
        <v>0</v>
      </c>
      <c r="L402">
        <f>IF($A402="","", SUMIFS(-Mov_Qty, Mov_Item, $A402, Mov_Type, "Consumption", Mov_Date, "&gt;="&amp;$V$2, Mov_Date, "&lt;="&amp;$W$2))</f>
        <v>0</v>
      </c>
      <c r="M402">
        <f>IF($A402="","", SUMIFS(-Mov_Qty, Mov_Item, $A402, Mov_Type, "Consumption", Mov_Date, "&gt;="&amp;$X$2, Mov_Date, "&lt;="&amp;$Y$2))</f>
        <v>0</v>
      </c>
      <c r="N402">
        <f>IF($A402="","", SUMIFS(-Mov_Qty, Mov_Item, $A402, Mov_Type, "Consumption", Mov_Date, "&gt;="&amp;$Z$2, Mov_Date, "&lt;="&amp;$AA$2))</f>
        <v>0</v>
      </c>
      <c r="O402">
        <f>IFERROR(AVERAGE(L402:N402),"")</f>
        <v>0</v>
      </c>
      <c r="P402">
        <f>IF(O402&gt;=Cfg_HiMove, "Yes", "")</f>
        <v>0</v>
      </c>
      <c r="Q402">
        <f>IF($A402="","", $I402 + IFERROR(O402/30*$H402,0))</f>
        <v>0</v>
      </c>
      <c r="R402">
        <f>IF($A402="","", IF(J402&lt;=$F402, "Yes", ""))</f>
        <v>0</v>
      </c>
      <c r="S402">
        <f>IF(R402="Yes", CEILING(MAX($G402, Q402-J402), $G402), 0)</f>
        <v>0</v>
      </c>
      <c r="T402">
        <f>IFERROR(J402/(O402/30),"")</f>
        <v>0</v>
      </c>
    </row>
    <row r="403" spans="10:20">
      <c r="J403">
        <f>IF($A403="","", SUMIFS(Mov_Qty, Mov_Item, $A403))</f>
        <v>0</v>
      </c>
      <c r="K403">
        <f>IF($A403="","", J403 * $E403)</f>
        <v>0</v>
      </c>
      <c r="L403">
        <f>IF($A403="","", SUMIFS(-Mov_Qty, Mov_Item, $A403, Mov_Type, "Consumption", Mov_Date, "&gt;="&amp;$V$2, Mov_Date, "&lt;="&amp;$W$2))</f>
        <v>0</v>
      </c>
      <c r="M403">
        <f>IF($A403="","", SUMIFS(-Mov_Qty, Mov_Item, $A403, Mov_Type, "Consumption", Mov_Date, "&gt;="&amp;$X$2, Mov_Date, "&lt;="&amp;$Y$2))</f>
        <v>0</v>
      </c>
      <c r="N403">
        <f>IF($A403="","", SUMIFS(-Mov_Qty, Mov_Item, $A403, Mov_Type, "Consumption", Mov_Date, "&gt;="&amp;$Z$2, Mov_Date, "&lt;="&amp;$AA$2))</f>
        <v>0</v>
      </c>
      <c r="O403">
        <f>IFERROR(AVERAGE(L403:N403),"")</f>
        <v>0</v>
      </c>
      <c r="P403">
        <f>IF(O403&gt;=Cfg_HiMove, "Yes", "")</f>
        <v>0</v>
      </c>
      <c r="Q403">
        <f>IF($A403="","", $I403 + IFERROR(O403/30*$H403,0))</f>
        <v>0</v>
      </c>
      <c r="R403">
        <f>IF($A403="","", IF(J403&lt;=$F403, "Yes", ""))</f>
        <v>0</v>
      </c>
      <c r="S403">
        <f>IF(R403="Yes", CEILING(MAX($G403, Q403-J403), $G403), 0)</f>
        <v>0</v>
      </c>
      <c r="T403">
        <f>IFERROR(J403/(O403/30),"")</f>
        <v>0</v>
      </c>
    </row>
    <row r="404" spans="10:20">
      <c r="J404">
        <f>IF($A404="","", SUMIFS(Mov_Qty, Mov_Item, $A404))</f>
        <v>0</v>
      </c>
      <c r="K404">
        <f>IF($A404="","", J404 * $E404)</f>
        <v>0</v>
      </c>
      <c r="L404">
        <f>IF($A404="","", SUMIFS(-Mov_Qty, Mov_Item, $A404, Mov_Type, "Consumption", Mov_Date, "&gt;="&amp;$V$2, Mov_Date, "&lt;="&amp;$W$2))</f>
        <v>0</v>
      </c>
      <c r="M404">
        <f>IF($A404="","", SUMIFS(-Mov_Qty, Mov_Item, $A404, Mov_Type, "Consumption", Mov_Date, "&gt;="&amp;$X$2, Mov_Date, "&lt;="&amp;$Y$2))</f>
        <v>0</v>
      </c>
      <c r="N404">
        <f>IF($A404="","", SUMIFS(-Mov_Qty, Mov_Item, $A404, Mov_Type, "Consumption", Mov_Date, "&gt;="&amp;$Z$2, Mov_Date, "&lt;="&amp;$AA$2))</f>
        <v>0</v>
      </c>
      <c r="O404">
        <f>IFERROR(AVERAGE(L404:N404),"")</f>
        <v>0</v>
      </c>
      <c r="P404">
        <f>IF(O404&gt;=Cfg_HiMove, "Yes", "")</f>
        <v>0</v>
      </c>
      <c r="Q404">
        <f>IF($A404="","", $I404 + IFERROR(O404/30*$H404,0))</f>
        <v>0</v>
      </c>
      <c r="R404">
        <f>IF($A404="","", IF(J404&lt;=$F404, "Yes", ""))</f>
        <v>0</v>
      </c>
      <c r="S404">
        <f>IF(R404="Yes", CEILING(MAX($G404, Q404-J404), $G404), 0)</f>
        <v>0</v>
      </c>
      <c r="T404">
        <f>IFERROR(J404/(O404/30),"")</f>
        <v>0</v>
      </c>
    </row>
    <row r="405" spans="10:20">
      <c r="J405">
        <f>IF($A405="","", SUMIFS(Mov_Qty, Mov_Item, $A405))</f>
        <v>0</v>
      </c>
      <c r="K405">
        <f>IF($A405="","", J405 * $E405)</f>
        <v>0</v>
      </c>
      <c r="L405">
        <f>IF($A405="","", SUMIFS(-Mov_Qty, Mov_Item, $A405, Mov_Type, "Consumption", Mov_Date, "&gt;="&amp;$V$2, Mov_Date, "&lt;="&amp;$W$2))</f>
        <v>0</v>
      </c>
      <c r="M405">
        <f>IF($A405="","", SUMIFS(-Mov_Qty, Mov_Item, $A405, Mov_Type, "Consumption", Mov_Date, "&gt;="&amp;$X$2, Mov_Date, "&lt;="&amp;$Y$2))</f>
        <v>0</v>
      </c>
      <c r="N405">
        <f>IF($A405="","", SUMIFS(-Mov_Qty, Mov_Item, $A405, Mov_Type, "Consumption", Mov_Date, "&gt;="&amp;$Z$2, Mov_Date, "&lt;="&amp;$AA$2))</f>
        <v>0</v>
      </c>
      <c r="O405">
        <f>IFERROR(AVERAGE(L405:N405),"")</f>
        <v>0</v>
      </c>
      <c r="P405">
        <f>IF(O405&gt;=Cfg_HiMove, "Yes", "")</f>
        <v>0</v>
      </c>
      <c r="Q405">
        <f>IF($A405="","", $I405 + IFERROR(O405/30*$H405,0))</f>
        <v>0</v>
      </c>
      <c r="R405">
        <f>IF($A405="","", IF(J405&lt;=$F405, "Yes", ""))</f>
        <v>0</v>
      </c>
      <c r="S405">
        <f>IF(R405="Yes", CEILING(MAX($G405, Q405-J405), $G405), 0)</f>
        <v>0</v>
      </c>
      <c r="T405">
        <f>IFERROR(J405/(O405/30),"")</f>
        <v>0</v>
      </c>
    </row>
    <row r="406" spans="10:20">
      <c r="J406">
        <f>IF($A406="","", SUMIFS(Mov_Qty, Mov_Item, $A406))</f>
        <v>0</v>
      </c>
      <c r="K406">
        <f>IF($A406="","", J406 * $E406)</f>
        <v>0</v>
      </c>
      <c r="L406">
        <f>IF($A406="","", SUMIFS(-Mov_Qty, Mov_Item, $A406, Mov_Type, "Consumption", Mov_Date, "&gt;="&amp;$V$2, Mov_Date, "&lt;="&amp;$W$2))</f>
        <v>0</v>
      </c>
      <c r="M406">
        <f>IF($A406="","", SUMIFS(-Mov_Qty, Mov_Item, $A406, Mov_Type, "Consumption", Mov_Date, "&gt;="&amp;$X$2, Mov_Date, "&lt;="&amp;$Y$2))</f>
        <v>0</v>
      </c>
      <c r="N406">
        <f>IF($A406="","", SUMIFS(-Mov_Qty, Mov_Item, $A406, Mov_Type, "Consumption", Mov_Date, "&gt;="&amp;$Z$2, Mov_Date, "&lt;="&amp;$AA$2))</f>
        <v>0</v>
      </c>
      <c r="O406">
        <f>IFERROR(AVERAGE(L406:N406),"")</f>
        <v>0</v>
      </c>
      <c r="P406">
        <f>IF(O406&gt;=Cfg_HiMove, "Yes", "")</f>
        <v>0</v>
      </c>
      <c r="Q406">
        <f>IF($A406="","", $I406 + IFERROR(O406/30*$H406,0))</f>
        <v>0</v>
      </c>
      <c r="R406">
        <f>IF($A406="","", IF(J406&lt;=$F406, "Yes", ""))</f>
        <v>0</v>
      </c>
      <c r="S406">
        <f>IF(R406="Yes", CEILING(MAX($G406, Q406-J406), $G406), 0)</f>
        <v>0</v>
      </c>
      <c r="T406">
        <f>IFERROR(J406/(O406/30),"")</f>
        <v>0</v>
      </c>
    </row>
    <row r="407" spans="10:20">
      <c r="J407">
        <f>IF($A407="","", SUMIFS(Mov_Qty, Mov_Item, $A407))</f>
        <v>0</v>
      </c>
      <c r="K407">
        <f>IF($A407="","", J407 * $E407)</f>
        <v>0</v>
      </c>
      <c r="L407">
        <f>IF($A407="","", SUMIFS(-Mov_Qty, Mov_Item, $A407, Mov_Type, "Consumption", Mov_Date, "&gt;="&amp;$V$2, Mov_Date, "&lt;="&amp;$W$2))</f>
        <v>0</v>
      </c>
      <c r="M407">
        <f>IF($A407="","", SUMIFS(-Mov_Qty, Mov_Item, $A407, Mov_Type, "Consumption", Mov_Date, "&gt;="&amp;$X$2, Mov_Date, "&lt;="&amp;$Y$2))</f>
        <v>0</v>
      </c>
      <c r="N407">
        <f>IF($A407="","", SUMIFS(-Mov_Qty, Mov_Item, $A407, Mov_Type, "Consumption", Mov_Date, "&gt;="&amp;$Z$2, Mov_Date, "&lt;="&amp;$AA$2))</f>
        <v>0</v>
      </c>
      <c r="O407">
        <f>IFERROR(AVERAGE(L407:N407),"")</f>
        <v>0</v>
      </c>
      <c r="P407">
        <f>IF(O407&gt;=Cfg_HiMove, "Yes", "")</f>
        <v>0</v>
      </c>
      <c r="Q407">
        <f>IF($A407="","", $I407 + IFERROR(O407/30*$H407,0))</f>
        <v>0</v>
      </c>
      <c r="R407">
        <f>IF($A407="","", IF(J407&lt;=$F407, "Yes", ""))</f>
        <v>0</v>
      </c>
      <c r="S407">
        <f>IF(R407="Yes", CEILING(MAX($G407, Q407-J407), $G407), 0)</f>
        <v>0</v>
      </c>
      <c r="T407">
        <f>IFERROR(J407/(O407/30),"")</f>
        <v>0</v>
      </c>
    </row>
    <row r="408" spans="10:20">
      <c r="J408">
        <f>IF($A408="","", SUMIFS(Mov_Qty, Mov_Item, $A408))</f>
        <v>0</v>
      </c>
      <c r="K408">
        <f>IF($A408="","", J408 * $E408)</f>
        <v>0</v>
      </c>
      <c r="L408">
        <f>IF($A408="","", SUMIFS(-Mov_Qty, Mov_Item, $A408, Mov_Type, "Consumption", Mov_Date, "&gt;="&amp;$V$2, Mov_Date, "&lt;="&amp;$W$2))</f>
        <v>0</v>
      </c>
      <c r="M408">
        <f>IF($A408="","", SUMIFS(-Mov_Qty, Mov_Item, $A408, Mov_Type, "Consumption", Mov_Date, "&gt;="&amp;$X$2, Mov_Date, "&lt;="&amp;$Y$2))</f>
        <v>0</v>
      </c>
      <c r="N408">
        <f>IF($A408="","", SUMIFS(-Mov_Qty, Mov_Item, $A408, Mov_Type, "Consumption", Mov_Date, "&gt;="&amp;$Z$2, Mov_Date, "&lt;="&amp;$AA$2))</f>
        <v>0</v>
      </c>
      <c r="O408">
        <f>IFERROR(AVERAGE(L408:N408),"")</f>
        <v>0</v>
      </c>
      <c r="P408">
        <f>IF(O408&gt;=Cfg_HiMove, "Yes", "")</f>
        <v>0</v>
      </c>
      <c r="Q408">
        <f>IF($A408="","", $I408 + IFERROR(O408/30*$H408,0))</f>
        <v>0</v>
      </c>
      <c r="R408">
        <f>IF($A408="","", IF(J408&lt;=$F408, "Yes", ""))</f>
        <v>0</v>
      </c>
      <c r="S408">
        <f>IF(R408="Yes", CEILING(MAX($G408, Q408-J408), $G408), 0)</f>
        <v>0</v>
      </c>
      <c r="T408">
        <f>IFERROR(J408/(O408/30),"")</f>
        <v>0</v>
      </c>
    </row>
    <row r="409" spans="10:20">
      <c r="J409">
        <f>IF($A409="","", SUMIFS(Mov_Qty, Mov_Item, $A409))</f>
        <v>0</v>
      </c>
      <c r="K409">
        <f>IF($A409="","", J409 * $E409)</f>
        <v>0</v>
      </c>
      <c r="L409">
        <f>IF($A409="","", SUMIFS(-Mov_Qty, Mov_Item, $A409, Mov_Type, "Consumption", Mov_Date, "&gt;="&amp;$V$2, Mov_Date, "&lt;="&amp;$W$2))</f>
        <v>0</v>
      </c>
      <c r="M409">
        <f>IF($A409="","", SUMIFS(-Mov_Qty, Mov_Item, $A409, Mov_Type, "Consumption", Mov_Date, "&gt;="&amp;$X$2, Mov_Date, "&lt;="&amp;$Y$2))</f>
        <v>0</v>
      </c>
      <c r="N409">
        <f>IF($A409="","", SUMIFS(-Mov_Qty, Mov_Item, $A409, Mov_Type, "Consumption", Mov_Date, "&gt;="&amp;$Z$2, Mov_Date, "&lt;="&amp;$AA$2))</f>
        <v>0</v>
      </c>
      <c r="O409">
        <f>IFERROR(AVERAGE(L409:N409),"")</f>
        <v>0</v>
      </c>
      <c r="P409">
        <f>IF(O409&gt;=Cfg_HiMove, "Yes", "")</f>
        <v>0</v>
      </c>
      <c r="Q409">
        <f>IF($A409="","", $I409 + IFERROR(O409/30*$H409,0))</f>
        <v>0</v>
      </c>
      <c r="R409">
        <f>IF($A409="","", IF(J409&lt;=$F409, "Yes", ""))</f>
        <v>0</v>
      </c>
      <c r="S409">
        <f>IF(R409="Yes", CEILING(MAX($G409, Q409-J409), $G409), 0)</f>
        <v>0</v>
      </c>
      <c r="T409">
        <f>IFERROR(J409/(O409/30),"")</f>
        <v>0</v>
      </c>
    </row>
    <row r="410" spans="10:20">
      <c r="J410">
        <f>IF($A410="","", SUMIFS(Mov_Qty, Mov_Item, $A410))</f>
        <v>0</v>
      </c>
      <c r="K410">
        <f>IF($A410="","", J410 * $E410)</f>
        <v>0</v>
      </c>
      <c r="L410">
        <f>IF($A410="","", SUMIFS(-Mov_Qty, Mov_Item, $A410, Mov_Type, "Consumption", Mov_Date, "&gt;="&amp;$V$2, Mov_Date, "&lt;="&amp;$W$2))</f>
        <v>0</v>
      </c>
      <c r="M410">
        <f>IF($A410="","", SUMIFS(-Mov_Qty, Mov_Item, $A410, Mov_Type, "Consumption", Mov_Date, "&gt;="&amp;$X$2, Mov_Date, "&lt;="&amp;$Y$2))</f>
        <v>0</v>
      </c>
      <c r="N410">
        <f>IF($A410="","", SUMIFS(-Mov_Qty, Mov_Item, $A410, Mov_Type, "Consumption", Mov_Date, "&gt;="&amp;$Z$2, Mov_Date, "&lt;="&amp;$AA$2))</f>
        <v>0</v>
      </c>
      <c r="O410">
        <f>IFERROR(AVERAGE(L410:N410),"")</f>
        <v>0</v>
      </c>
      <c r="P410">
        <f>IF(O410&gt;=Cfg_HiMove, "Yes", "")</f>
        <v>0</v>
      </c>
      <c r="Q410">
        <f>IF($A410="","", $I410 + IFERROR(O410/30*$H410,0))</f>
        <v>0</v>
      </c>
      <c r="R410">
        <f>IF($A410="","", IF(J410&lt;=$F410, "Yes", ""))</f>
        <v>0</v>
      </c>
      <c r="S410">
        <f>IF(R410="Yes", CEILING(MAX($G410, Q410-J410), $G410), 0)</f>
        <v>0</v>
      </c>
      <c r="T410">
        <f>IFERROR(J410/(O410/30),"")</f>
        <v>0</v>
      </c>
    </row>
    <row r="411" spans="10:20">
      <c r="J411">
        <f>IF($A411="","", SUMIFS(Mov_Qty, Mov_Item, $A411))</f>
        <v>0</v>
      </c>
      <c r="K411">
        <f>IF($A411="","", J411 * $E411)</f>
        <v>0</v>
      </c>
      <c r="L411">
        <f>IF($A411="","", SUMIFS(-Mov_Qty, Mov_Item, $A411, Mov_Type, "Consumption", Mov_Date, "&gt;="&amp;$V$2, Mov_Date, "&lt;="&amp;$W$2))</f>
        <v>0</v>
      </c>
      <c r="M411">
        <f>IF($A411="","", SUMIFS(-Mov_Qty, Mov_Item, $A411, Mov_Type, "Consumption", Mov_Date, "&gt;="&amp;$X$2, Mov_Date, "&lt;="&amp;$Y$2))</f>
        <v>0</v>
      </c>
      <c r="N411">
        <f>IF($A411="","", SUMIFS(-Mov_Qty, Mov_Item, $A411, Mov_Type, "Consumption", Mov_Date, "&gt;="&amp;$Z$2, Mov_Date, "&lt;="&amp;$AA$2))</f>
        <v>0</v>
      </c>
      <c r="O411">
        <f>IFERROR(AVERAGE(L411:N411),"")</f>
        <v>0</v>
      </c>
      <c r="P411">
        <f>IF(O411&gt;=Cfg_HiMove, "Yes", "")</f>
        <v>0</v>
      </c>
      <c r="Q411">
        <f>IF($A411="","", $I411 + IFERROR(O411/30*$H411,0))</f>
        <v>0</v>
      </c>
      <c r="R411">
        <f>IF($A411="","", IF(J411&lt;=$F411, "Yes", ""))</f>
        <v>0</v>
      </c>
      <c r="S411">
        <f>IF(R411="Yes", CEILING(MAX($G411, Q411-J411), $G411), 0)</f>
        <v>0</v>
      </c>
      <c r="T411">
        <f>IFERROR(J411/(O411/30),"")</f>
        <v>0</v>
      </c>
    </row>
    <row r="412" spans="10:20">
      <c r="J412">
        <f>IF($A412="","", SUMIFS(Mov_Qty, Mov_Item, $A412))</f>
        <v>0</v>
      </c>
      <c r="K412">
        <f>IF($A412="","", J412 * $E412)</f>
        <v>0</v>
      </c>
      <c r="L412">
        <f>IF($A412="","", SUMIFS(-Mov_Qty, Mov_Item, $A412, Mov_Type, "Consumption", Mov_Date, "&gt;="&amp;$V$2, Mov_Date, "&lt;="&amp;$W$2))</f>
        <v>0</v>
      </c>
      <c r="M412">
        <f>IF($A412="","", SUMIFS(-Mov_Qty, Mov_Item, $A412, Mov_Type, "Consumption", Mov_Date, "&gt;="&amp;$X$2, Mov_Date, "&lt;="&amp;$Y$2))</f>
        <v>0</v>
      </c>
      <c r="N412">
        <f>IF($A412="","", SUMIFS(-Mov_Qty, Mov_Item, $A412, Mov_Type, "Consumption", Mov_Date, "&gt;="&amp;$Z$2, Mov_Date, "&lt;="&amp;$AA$2))</f>
        <v>0</v>
      </c>
      <c r="O412">
        <f>IFERROR(AVERAGE(L412:N412),"")</f>
        <v>0</v>
      </c>
      <c r="P412">
        <f>IF(O412&gt;=Cfg_HiMove, "Yes", "")</f>
        <v>0</v>
      </c>
      <c r="Q412">
        <f>IF($A412="","", $I412 + IFERROR(O412/30*$H412,0))</f>
        <v>0</v>
      </c>
      <c r="R412">
        <f>IF($A412="","", IF(J412&lt;=$F412, "Yes", ""))</f>
        <v>0</v>
      </c>
      <c r="S412">
        <f>IF(R412="Yes", CEILING(MAX($G412, Q412-J412), $G412), 0)</f>
        <v>0</v>
      </c>
      <c r="T412">
        <f>IFERROR(J412/(O412/30),"")</f>
        <v>0</v>
      </c>
    </row>
    <row r="413" spans="10:20">
      <c r="J413">
        <f>IF($A413="","", SUMIFS(Mov_Qty, Mov_Item, $A413))</f>
        <v>0</v>
      </c>
      <c r="K413">
        <f>IF($A413="","", J413 * $E413)</f>
        <v>0</v>
      </c>
      <c r="L413">
        <f>IF($A413="","", SUMIFS(-Mov_Qty, Mov_Item, $A413, Mov_Type, "Consumption", Mov_Date, "&gt;="&amp;$V$2, Mov_Date, "&lt;="&amp;$W$2))</f>
        <v>0</v>
      </c>
      <c r="M413">
        <f>IF($A413="","", SUMIFS(-Mov_Qty, Mov_Item, $A413, Mov_Type, "Consumption", Mov_Date, "&gt;="&amp;$X$2, Mov_Date, "&lt;="&amp;$Y$2))</f>
        <v>0</v>
      </c>
      <c r="N413">
        <f>IF($A413="","", SUMIFS(-Mov_Qty, Mov_Item, $A413, Mov_Type, "Consumption", Mov_Date, "&gt;="&amp;$Z$2, Mov_Date, "&lt;="&amp;$AA$2))</f>
        <v>0</v>
      </c>
      <c r="O413">
        <f>IFERROR(AVERAGE(L413:N413),"")</f>
        <v>0</v>
      </c>
      <c r="P413">
        <f>IF(O413&gt;=Cfg_HiMove, "Yes", "")</f>
        <v>0</v>
      </c>
      <c r="Q413">
        <f>IF($A413="","", $I413 + IFERROR(O413/30*$H413,0))</f>
        <v>0</v>
      </c>
      <c r="R413">
        <f>IF($A413="","", IF(J413&lt;=$F413, "Yes", ""))</f>
        <v>0</v>
      </c>
      <c r="S413">
        <f>IF(R413="Yes", CEILING(MAX($G413, Q413-J413), $G413), 0)</f>
        <v>0</v>
      </c>
      <c r="T413">
        <f>IFERROR(J413/(O413/30),"")</f>
        <v>0</v>
      </c>
    </row>
    <row r="414" spans="10:20">
      <c r="J414">
        <f>IF($A414="","", SUMIFS(Mov_Qty, Mov_Item, $A414))</f>
        <v>0</v>
      </c>
      <c r="K414">
        <f>IF($A414="","", J414 * $E414)</f>
        <v>0</v>
      </c>
      <c r="L414">
        <f>IF($A414="","", SUMIFS(-Mov_Qty, Mov_Item, $A414, Mov_Type, "Consumption", Mov_Date, "&gt;="&amp;$V$2, Mov_Date, "&lt;="&amp;$W$2))</f>
        <v>0</v>
      </c>
      <c r="M414">
        <f>IF($A414="","", SUMIFS(-Mov_Qty, Mov_Item, $A414, Mov_Type, "Consumption", Mov_Date, "&gt;="&amp;$X$2, Mov_Date, "&lt;="&amp;$Y$2))</f>
        <v>0</v>
      </c>
      <c r="N414">
        <f>IF($A414="","", SUMIFS(-Mov_Qty, Mov_Item, $A414, Mov_Type, "Consumption", Mov_Date, "&gt;="&amp;$Z$2, Mov_Date, "&lt;="&amp;$AA$2))</f>
        <v>0</v>
      </c>
      <c r="O414">
        <f>IFERROR(AVERAGE(L414:N414),"")</f>
        <v>0</v>
      </c>
      <c r="P414">
        <f>IF(O414&gt;=Cfg_HiMove, "Yes", "")</f>
        <v>0</v>
      </c>
      <c r="Q414">
        <f>IF($A414="","", $I414 + IFERROR(O414/30*$H414,0))</f>
        <v>0</v>
      </c>
      <c r="R414">
        <f>IF($A414="","", IF(J414&lt;=$F414, "Yes", ""))</f>
        <v>0</v>
      </c>
      <c r="S414">
        <f>IF(R414="Yes", CEILING(MAX($G414, Q414-J414), $G414), 0)</f>
        <v>0</v>
      </c>
      <c r="T414">
        <f>IFERROR(J414/(O414/30),"")</f>
        <v>0</v>
      </c>
    </row>
    <row r="415" spans="10:20">
      <c r="J415">
        <f>IF($A415="","", SUMIFS(Mov_Qty, Mov_Item, $A415))</f>
        <v>0</v>
      </c>
      <c r="K415">
        <f>IF($A415="","", J415 * $E415)</f>
        <v>0</v>
      </c>
      <c r="L415">
        <f>IF($A415="","", SUMIFS(-Mov_Qty, Mov_Item, $A415, Mov_Type, "Consumption", Mov_Date, "&gt;="&amp;$V$2, Mov_Date, "&lt;="&amp;$W$2))</f>
        <v>0</v>
      </c>
      <c r="M415">
        <f>IF($A415="","", SUMIFS(-Mov_Qty, Mov_Item, $A415, Mov_Type, "Consumption", Mov_Date, "&gt;="&amp;$X$2, Mov_Date, "&lt;="&amp;$Y$2))</f>
        <v>0</v>
      </c>
      <c r="N415">
        <f>IF($A415="","", SUMIFS(-Mov_Qty, Mov_Item, $A415, Mov_Type, "Consumption", Mov_Date, "&gt;="&amp;$Z$2, Mov_Date, "&lt;="&amp;$AA$2))</f>
        <v>0</v>
      </c>
      <c r="O415">
        <f>IFERROR(AVERAGE(L415:N415),"")</f>
        <v>0</v>
      </c>
      <c r="P415">
        <f>IF(O415&gt;=Cfg_HiMove, "Yes", "")</f>
        <v>0</v>
      </c>
      <c r="Q415">
        <f>IF($A415="","", $I415 + IFERROR(O415/30*$H415,0))</f>
        <v>0</v>
      </c>
      <c r="R415">
        <f>IF($A415="","", IF(J415&lt;=$F415, "Yes", ""))</f>
        <v>0</v>
      </c>
      <c r="S415">
        <f>IF(R415="Yes", CEILING(MAX($G415, Q415-J415), $G415), 0)</f>
        <v>0</v>
      </c>
      <c r="T415">
        <f>IFERROR(J415/(O415/30),"")</f>
        <v>0</v>
      </c>
    </row>
    <row r="416" spans="10:20">
      <c r="J416">
        <f>IF($A416="","", SUMIFS(Mov_Qty, Mov_Item, $A416))</f>
        <v>0</v>
      </c>
      <c r="K416">
        <f>IF($A416="","", J416 * $E416)</f>
        <v>0</v>
      </c>
      <c r="L416">
        <f>IF($A416="","", SUMIFS(-Mov_Qty, Mov_Item, $A416, Mov_Type, "Consumption", Mov_Date, "&gt;="&amp;$V$2, Mov_Date, "&lt;="&amp;$W$2))</f>
        <v>0</v>
      </c>
      <c r="M416">
        <f>IF($A416="","", SUMIFS(-Mov_Qty, Mov_Item, $A416, Mov_Type, "Consumption", Mov_Date, "&gt;="&amp;$X$2, Mov_Date, "&lt;="&amp;$Y$2))</f>
        <v>0</v>
      </c>
      <c r="N416">
        <f>IF($A416="","", SUMIFS(-Mov_Qty, Mov_Item, $A416, Mov_Type, "Consumption", Mov_Date, "&gt;="&amp;$Z$2, Mov_Date, "&lt;="&amp;$AA$2))</f>
        <v>0</v>
      </c>
      <c r="O416">
        <f>IFERROR(AVERAGE(L416:N416),"")</f>
        <v>0</v>
      </c>
      <c r="P416">
        <f>IF(O416&gt;=Cfg_HiMove, "Yes", "")</f>
        <v>0</v>
      </c>
      <c r="Q416">
        <f>IF($A416="","", $I416 + IFERROR(O416/30*$H416,0))</f>
        <v>0</v>
      </c>
      <c r="R416">
        <f>IF($A416="","", IF(J416&lt;=$F416, "Yes", ""))</f>
        <v>0</v>
      </c>
      <c r="S416">
        <f>IF(R416="Yes", CEILING(MAX($G416, Q416-J416), $G416), 0)</f>
        <v>0</v>
      </c>
      <c r="T416">
        <f>IFERROR(J416/(O416/30),"")</f>
        <v>0</v>
      </c>
    </row>
    <row r="417" spans="10:20">
      <c r="J417">
        <f>IF($A417="","", SUMIFS(Mov_Qty, Mov_Item, $A417))</f>
        <v>0</v>
      </c>
      <c r="K417">
        <f>IF($A417="","", J417 * $E417)</f>
        <v>0</v>
      </c>
      <c r="L417">
        <f>IF($A417="","", SUMIFS(-Mov_Qty, Mov_Item, $A417, Mov_Type, "Consumption", Mov_Date, "&gt;="&amp;$V$2, Mov_Date, "&lt;="&amp;$W$2))</f>
        <v>0</v>
      </c>
      <c r="M417">
        <f>IF($A417="","", SUMIFS(-Mov_Qty, Mov_Item, $A417, Mov_Type, "Consumption", Mov_Date, "&gt;="&amp;$X$2, Mov_Date, "&lt;="&amp;$Y$2))</f>
        <v>0</v>
      </c>
      <c r="N417">
        <f>IF($A417="","", SUMIFS(-Mov_Qty, Mov_Item, $A417, Mov_Type, "Consumption", Mov_Date, "&gt;="&amp;$Z$2, Mov_Date, "&lt;="&amp;$AA$2))</f>
        <v>0</v>
      </c>
      <c r="O417">
        <f>IFERROR(AVERAGE(L417:N417),"")</f>
        <v>0</v>
      </c>
      <c r="P417">
        <f>IF(O417&gt;=Cfg_HiMove, "Yes", "")</f>
        <v>0</v>
      </c>
      <c r="Q417">
        <f>IF($A417="","", $I417 + IFERROR(O417/30*$H417,0))</f>
        <v>0</v>
      </c>
      <c r="R417">
        <f>IF($A417="","", IF(J417&lt;=$F417, "Yes", ""))</f>
        <v>0</v>
      </c>
      <c r="S417">
        <f>IF(R417="Yes", CEILING(MAX($G417, Q417-J417), $G417), 0)</f>
        <v>0</v>
      </c>
      <c r="T417">
        <f>IFERROR(J417/(O417/30),"")</f>
        <v>0</v>
      </c>
    </row>
    <row r="418" spans="10:20">
      <c r="J418">
        <f>IF($A418="","", SUMIFS(Mov_Qty, Mov_Item, $A418))</f>
        <v>0</v>
      </c>
      <c r="K418">
        <f>IF($A418="","", J418 * $E418)</f>
        <v>0</v>
      </c>
      <c r="L418">
        <f>IF($A418="","", SUMIFS(-Mov_Qty, Mov_Item, $A418, Mov_Type, "Consumption", Mov_Date, "&gt;="&amp;$V$2, Mov_Date, "&lt;="&amp;$W$2))</f>
        <v>0</v>
      </c>
      <c r="M418">
        <f>IF($A418="","", SUMIFS(-Mov_Qty, Mov_Item, $A418, Mov_Type, "Consumption", Mov_Date, "&gt;="&amp;$X$2, Mov_Date, "&lt;="&amp;$Y$2))</f>
        <v>0</v>
      </c>
      <c r="N418">
        <f>IF($A418="","", SUMIFS(-Mov_Qty, Mov_Item, $A418, Mov_Type, "Consumption", Mov_Date, "&gt;="&amp;$Z$2, Mov_Date, "&lt;="&amp;$AA$2))</f>
        <v>0</v>
      </c>
      <c r="O418">
        <f>IFERROR(AVERAGE(L418:N418),"")</f>
        <v>0</v>
      </c>
      <c r="P418">
        <f>IF(O418&gt;=Cfg_HiMove, "Yes", "")</f>
        <v>0</v>
      </c>
      <c r="Q418">
        <f>IF($A418="","", $I418 + IFERROR(O418/30*$H418,0))</f>
        <v>0</v>
      </c>
      <c r="R418">
        <f>IF($A418="","", IF(J418&lt;=$F418, "Yes", ""))</f>
        <v>0</v>
      </c>
      <c r="S418">
        <f>IF(R418="Yes", CEILING(MAX($G418, Q418-J418), $G418), 0)</f>
        <v>0</v>
      </c>
      <c r="T418">
        <f>IFERROR(J418/(O418/30),"")</f>
        <v>0</v>
      </c>
    </row>
    <row r="419" spans="10:20">
      <c r="J419">
        <f>IF($A419="","", SUMIFS(Mov_Qty, Mov_Item, $A419))</f>
        <v>0</v>
      </c>
      <c r="K419">
        <f>IF($A419="","", J419 * $E419)</f>
        <v>0</v>
      </c>
      <c r="L419">
        <f>IF($A419="","", SUMIFS(-Mov_Qty, Mov_Item, $A419, Mov_Type, "Consumption", Mov_Date, "&gt;="&amp;$V$2, Mov_Date, "&lt;="&amp;$W$2))</f>
        <v>0</v>
      </c>
      <c r="M419">
        <f>IF($A419="","", SUMIFS(-Mov_Qty, Mov_Item, $A419, Mov_Type, "Consumption", Mov_Date, "&gt;="&amp;$X$2, Mov_Date, "&lt;="&amp;$Y$2))</f>
        <v>0</v>
      </c>
      <c r="N419">
        <f>IF($A419="","", SUMIFS(-Mov_Qty, Mov_Item, $A419, Mov_Type, "Consumption", Mov_Date, "&gt;="&amp;$Z$2, Mov_Date, "&lt;="&amp;$AA$2))</f>
        <v>0</v>
      </c>
      <c r="O419">
        <f>IFERROR(AVERAGE(L419:N419),"")</f>
        <v>0</v>
      </c>
      <c r="P419">
        <f>IF(O419&gt;=Cfg_HiMove, "Yes", "")</f>
        <v>0</v>
      </c>
      <c r="Q419">
        <f>IF($A419="","", $I419 + IFERROR(O419/30*$H419,0))</f>
        <v>0</v>
      </c>
      <c r="R419">
        <f>IF($A419="","", IF(J419&lt;=$F419, "Yes", ""))</f>
        <v>0</v>
      </c>
      <c r="S419">
        <f>IF(R419="Yes", CEILING(MAX($G419, Q419-J419), $G419), 0)</f>
        <v>0</v>
      </c>
      <c r="T419">
        <f>IFERROR(J419/(O419/30),"")</f>
        <v>0</v>
      </c>
    </row>
    <row r="420" spans="10:20">
      <c r="J420">
        <f>IF($A420="","", SUMIFS(Mov_Qty, Mov_Item, $A420))</f>
        <v>0</v>
      </c>
      <c r="K420">
        <f>IF($A420="","", J420 * $E420)</f>
        <v>0</v>
      </c>
      <c r="L420">
        <f>IF($A420="","", SUMIFS(-Mov_Qty, Mov_Item, $A420, Mov_Type, "Consumption", Mov_Date, "&gt;="&amp;$V$2, Mov_Date, "&lt;="&amp;$W$2))</f>
        <v>0</v>
      </c>
      <c r="M420">
        <f>IF($A420="","", SUMIFS(-Mov_Qty, Mov_Item, $A420, Mov_Type, "Consumption", Mov_Date, "&gt;="&amp;$X$2, Mov_Date, "&lt;="&amp;$Y$2))</f>
        <v>0</v>
      </c>
      <c r="N420">
        <f>IF($A420="","", SUMIFS(-Mov_Qty, Mov_Item, $A420, Mov_Type, "Consumption", Mov_Date, "&gt;="&amp;$Z$2, Mov_Date, "&lt;="&amp;$AA$2))</f>
        <v>0</v>
      </c>
      <c r="O420">
        <f>IFERROR(AVERAGE(L420:N420),"")</f>
        <v>0</v>
      </c>
      <c r="P420">
        <f>IF(O420&gt;=Cfg_HiMove, "Yes", "")</f>
        <v>0</v>
      </c>
      <c r="Q420">
        <f>IF($A420="","", $I420 + IFERROR(O420/30*$H420,0))</f>
        <v>0</v>
      </c>
      <c r="R420">
        <f>IF($A420="","", IF(J420&lt;=$F420, "Yes", ""))</f>
        <v>0</v>
      </c>
      <c r="S420">
        <f>IF(R420="Yes", CEILING(MAX($G420, Q420-J420), $G420), 0)</f>
        <v>0</v>
      </c>
      <c r="T420">
        <f>IFERROR(J420/(O420/30),"")</f>
        <v>0</v>
      </c>
    </row>
    <row r="421" spans="10:20">
      <c r="J421">
        <f>IF($A421="","", SUMIFS(Mov_Qty, Mov_Item, $A421))</f>
        <v>0</v>
      </c>
      <c r="K421">
        <f>IF($A421="","", J421 * $E421)</f>
        <v>0</v>
      </c>
      <c r="L421">
        <f>IF($A421="","", SUMIFS(-Mov_Qty, Mov_Item, $A421, Mov_Type, "Consumption", Mov_Date, "&gt;="&amp;$V$2, Mov_Date, "&lt;="&amp;$W$2))</f>
        <v>0</v>
      </c>
      <c r="M421">
        <f>IF($A421="","", SUMIFS(-Mov_Qty, Mov_Item, $A421, Mov_Type, "Consumption", Mov_Date, "&gt;="&amp;$X$2, Mov_Date, "&lt;="&amp;$Y$2))</f>
        <v>0</v>
      </c>
      <c r="N421">
        <f>IF($A421="","", SUMIFS(-Mov_Qty, Mov_Item, $A421, Mov_Type, "Consumption", Mov_Date, "&gt;="&amp;$Z$2, Mov_Date, "&lt;="&amp;$AA$2))</f>
        <v>0</v>
      </c>
      <c r="O421">
        <f>IFERROR(AVERAGE(L421:N421),"")</f>
        <v>0</v>
      </c>
      <c r="P421">
        <f>IF(O421&gt;=Cfg_HiMove, "Yes", "")</f>
        <v>0</v>
      </c>
      <c r="Q421">
        <f>IF($A421="","", $I421 + IFERROR(O421/30*$H421,0))</f>
        <v>0</v>
      </c>
      <c r="R421">
        <f>IF($A421="","", IF(J421&lt;=$F421, "Yes", ""))</f>
        <v>0</v>
      </c>
      <c r="S421">
        <f>IF(R421="Yes", CEILING(MAX($G421, Q421-J421), $G421), 0)</f>
        <v>0</v>
      </c>
      <c r="T421">
        <f>IFERROR(J421/(O421/30),"")</f>
        <v>0</v>
      </c>
    </row>
    <row r="422" spans="10:20">
      <c r="J422">
        <f>IF($A422="","", SUMIFS(Mov_Qty, Mov_Item, $A422))</f>
        <v>0</v>
      </c>
      <c r="K422">
        <f>IF($A422="","", J422 * $E422)</f>
        <v>0</v>
      </c>
      <c r="L422">
        <f>IF($A422="","", SUMIFS(-Mov_Qty, Mov_Item, $A422, Mov_Type, "Consumption", Mov_Date, "&gt;="&amp;$V$2, Mov_Date, "&lt;="&amp;$W$2))</f>
        <v>0</v>
      </c>
      <c r="M422">
        <f>IF($A422="","", SUMIFS(-Mov_Qty, Mov_Item, $A422, Mov_Type, "Consumption", Mov_Date, "&gt;="&amp;$X$2, Mov_Date, "&lt;="&amp;$Y$2))</f>
        <v>0</v>
      </c>
      <c r="N422">
        <f>IF($A422="","", SUMIFS(-Mov_Qty, Mov_Item, $A422, Mov_Type, "Consumption", Mov_Date, "&gt;="&amp;$Z$2, Mov_Date, "&lt;="&amp;$AA$2))</f>
        <v>0</v>
      </c>
      <c r="O422">
        <f>IFERROR(AVERAGE(L422:N422),"")</f>
        <v>0</v>
      </c>
      <c r="P422">
        <f>IF(O422&gt;=Cfg_HiMove, "Yes", "")</f>
        <v>0</v>
      </c>
      <c r="Q422">
        <f>IF($A422="","", $I422 + IFERROR(O422/30*$H422,0))</f>
        <v>0</v>
      </c>
      <c r="R422">
        <f>IF($A422="","", IF(J422&lt;=$F422, "Yes", ""))</f>
        <v>0</v>
      </c>
      <c r="S422">
        <f>IF(R422="Yes", CEILING(MAX($G422, Q422-J422), $G422), 0)</f>
        <v>0</v>
      </c>
      <c r="T422">
        <f>IFERROR(J422/(O422/30),"")</f>
        <v>0</v>
      </c>
    </row>
    <row r="423" spans="10:20">
      <c r="J423">
        <f>IF($A423="","", SUMIFS(Mov_Qty, Mov_Item, $A423))</f>
        <v>0</v>
      </c>
      <c r="K423">
        <f>IF($A423="","", J423 * $E423)</f>
        <v>0</v>
      </c>
      <c r="L423">
        <f>IF($A423="","", SUMIFS(-Mov_Qty, Mov_Item, $A423, Mov_Type, "Consumption", Mov_Date, "&gt;="&amp;$V$2, Mov_Date, "&lt;="&amp;$W$2))</f>
        <v>0</v>
      </c>
      <c r="M423">
        <f>IF($A423="","", SUMIFS(-Mov_Qty, Mov_Item, $A423, Mov_Type, "Consumption", Mov_Date, "&gt;="&amp;$X$2, Mov_Date, "&lt;="&amp;$Y$2))</f>
        <v>0</v>
      </c>
      <c r="N423">
        <f>IF($A423="","", SUMIFS(-Mov_Qty, Mov_Item, $A423, Mov_Type, "Consumption", Mov_Date, "&gt;="&amp;$Z$2, Mov_Date, "&lt;="&amp;$AA$2))</f>
        <v>0</v>
      </c>
      <c r="O423">
        <f>IFERROR(AVERAGE(L423:N423),"")</f>
        <v>0</v>
      </c>
      <c r="P423">
        <f>IF(O423&gt;=Cfg_HiMove, "Yes", "")</f>
        <v>0</v>
      </c>
      <c r="Q423">
        <f>IF($A423="","", $I423 + IFERROR(O423/30*$H423,0))</f>
        <v>0</v>
      </c>
      <c r="R423">
        <f>IF($A423="","", IF(J423&lt;=$F423, "Yes", ""))</f>
        <v>0</v>
      </c>
      <c r="S423">
        <f>IF(R423="Yes", CEILING(MAX($G423, Q423-J423), $G423), 0)</f>
        <v>0</v>
      </c>
      <c r="T423">
        <f>IFERROR(J423/(O423/30),"")</f>
        <v>0</v>
      </c>
    </row>
    <row r="424" spans="10:20">
      <c r="J424">
        <f>IF($A424="","", SUMIFS(Mov_Qty, Mov_Item, $A424))</f>
        <v>0</v>
      </c>
      <c r="K424">
        <f>IF($A424="","", J424 * $E424)</f>
        <v>0</v>
      </c>
      <c r="L424">
        <f>IF($A424="","", SUMIFS(-Mov_Qty, Mov_Item, $A424, Mov_Type, "Consumption", Mov_Date, "&gt;="&amp;$V$2, Mov_Date, "&lt;="&amp;$W$2))</f>
        <v>0</v>
      </c>
      <c r="M424">
        <f>IF($A424="","", SUMIFS(-Mov_Qty, Mov_Item, $A424, Mov_Type, "Consumption", Mov_Date, "&gt;="&amp;$X$2, Mov_Date, "&lt;="&amp;$Y$2))</f>
        <v>0</v>
      </c>
      <c r="N424">
        <f>IF($A424="","", SUMIFS(-Mov_Qty, Mov_Item, $A424, Mov_Type, "Consumption", Mov_Date, "&gt;="&amp;$Z$2, Mov_Date, "&lt;="&amp;$AA$2))</f>
        <v>0</v>
      </c>
      <c r="O424">
        <f>IFERROR(AVERAGE(L424:N424),"")</f>
        <v>0</v>
      </c>
      <c r="P424">
        <f>IF(O424&gt;=Cfg_HiMove, "Yes", "")</f>
        <v>0</v>
      </c>
      <c r="Q424">
        <f>IF($A424="","", $I424 + IFERROR(O424/30*$H424,0))</f>
        <v>0</v>
      </c>
      <c r="R424">
        <f>IF($A424="","", IF(J424&lt;=$F424, "Yes", ""))</f>
        <v>0</v>
      </c>
      <c r="S424">
        <f>IF(R424="Yes", CEILING(MAX($G424, Q424-J424), $G424), 0)</f>
        <v>0</v>
      </c>
      <c r="T424">
        <f>IFERROR(J424/(O424/30),"")</f>
        <v>0</v>
      </c>
    </row>
    <row r="425" spans="10:20">
      <c r="J425">
        <f>IF($A425="","", SUMIFS(Mov_Qty, Mov_Item, $A425))</f>
        <v>0</v>
      </c>
      <c r="K425">
        <f>IF($A425="","", J425 * $E425)</f>
        <v>0</v>
      </c>
      <c r="L425">
        <f>IF($A425="","", SUMIFS(-Mov_Qty, Mov_Item, $A425, Mov_Type, "Consumption", Mov_Date, "&gt;="&amp;$V$2, Mov_Date, "&lt;="&amp;$W$2))</f>
        <v>0</v>
      </c>
      <c r="M425">
        <f>IF($A425="","", SUMIFS(-Mov_Qty, Mov_Item, $A425, Mov_Type, "Consumption", Mov_Date, "&gt;="&amp;$X$2, Mov_Date, "&lt;="&amp;$Y$2))</f>
        <v>0</v>
      </c>
      <c r="N425">
        <f>IF($A425="","", SUMIFS(-Mov_Qty, Mov_Item, $A425, Mov_Type, "Consumption", Mov_Date, "&gt;="&amp;$Z$2, Mov_Date, "&lt;="&amp;$AA$2))</f>
        <v>0</v>
      </c>
      <c r="O425">
        <f>IFERROR(AVERAGE(L425:N425),"")</f>
        <v>0</v>
      </c>
      <c r="P425">
        <f>IF(O425&gt;=Cfg_HiMove, "Yes", "")</f>
        <v>0</v>
      </c>
      <c r="Q425">
        <f>IF($A425="","", $I425 + IFERROR(O425/30*$H425,0))</f>
        <v>0</v>
      </c>
      <c r="R425">
        <f>IF($A425="","", IF(J425&lt;=$F425, "Yes", ""))</f>
        <v>0</v>
      </c>
      <c r="S425">
        <f>IF(R425="Yes", CEILING(MAX($G425, Q425-J425), $G425), 0)</f>
        <v>0</v>
      </c>
      <c r="T425">
        <f>IFERROR(J425/(O425/30),"")</f>
        <v>0</v>
      </c>
    </row>
    <row r="426" spans="10:20">
      <c r="J426">
        <f>IF($A426="","", SUMIFS(Mov_Qty, Mov_Item, $A426))</f>
        <v>0</v>
      </c>
      <c r="K426">
        <f>IF($A426="","", J426 * $E426)</f>
        <v>0</v>
      </c>
      <c r="L426">
        <f>IF($A426="","", SUMIFS(-Mov_Qty, Mov_Item, $A426, Mov_Type, "Consumption", Mov_Date, "&gt;="&amp;$V$2, Mov_Date, "&lt;="&amp;$W$2))</f>
        <v>0</v>
      </c>
      <c r="M426">
        <f>IF($A426="","", SUMIFS(-Mov_Qty, Mov_Item, $A426, Mov_Type, "Consumption", Mov_Date, "&gt;="&amp;$X$2, Mov_Date, "&lt;="&amp;$Y$2))</f>
        <v>0</v>
      </c>
      <c r="N426">
        <f>IF($A426="","", SUMIFS(-Mov_Qty, Mov_Item, $A426, Mov_Type, "Consumption", Mov_Date, "&gt;="&amp;$Z$2, Mov_Date, "&lt;="&amp;$AA$2))</f>
        <v>0</v>
      </c>
      <c r="O426">
        <f>IFERROR(AVERAGE(L426:N426),"")</f>
        <v>0</v>
      </c>
      <c r="P426">
        <f>IF(O426&gt;=Cfg_HiMove, "Yes", "")</f>
        <v>0</v>
      </c>
      <c r="Q426">
        <f>IF($A426="","", $I426 + IFERROR(O426/30*$H426,0))</f>
        <v>0</v>
      </c>
      <c r="R426">
        <f>IF($A426="","", IF(J426&lt;=$F426, "Yes", ""))</f>
        <v>0</v>
      </c>
      <c r="S426">
        <f>IF(R426="Yes", CEILING(MAX($G426, Q426-J426), $G426), 0)</f>
        <v>0</v>
      </c>
      <c r="T426">
        <f>IFERROR(J426/(O426/30),"")</f>
        <v>0</v>
      </c>
    </row>
    <row r="427" spans="10:20">
      <c r="J427">
        <f>IF($A427="","", SUMIFS(Mov_Qty, Mov_Item, $A427))</f>
        <v>0</v>
      </c>
      <c r="K427">
        <f>IF($A427="","", J427 * $E427)</f>
        <v>0</v>
      </c>
      <c r="L427">
        <f>IF($A427="","", SUMIFS(-Mov_Qty, Mov_Item, $A427, Mov_Type, "Consumption", Mov_Date, "&gt;="&amp;$V$2, Mov_Date, "&lt;="&amp;$W$2))</f>
        <v>0</v>
      </c>
      <c r="M427">
        <f>IF($A427="","", SUMIFS(-Mov_Qty, Mov_Item, $A427, Mov_Type, "Consumption", Mov_Date, "&gt;="&amp;$X$2, Mov_Date, "&lt;="&amp;$Y$2))</f>
        <v>0</v>
      </c>
      <c r="N427">
        <f>IF($A427="","", SUMIFS(-Mov_Qty, Mov_Item, $A427, Mov_Type, "Consumption", Mov_Date, "&gt;="&amp;$Z$2, Mov_Date, "&lt;="&amp;$AA$2))</f>
        <v>0</v>
      </c>
      <c r="O427">
        <f>IFERROR(AVERAGE(L427:N427),"")</f>
        <v>0</v>
      </c>
      <c r="P427">
        <f>IF(O427&gt;=Cfg_HiMove, "Yes", "")</f>
        <v>0</v>
      </c>
      <c r="Q427">
        <f>IF($A427="","", $I427 + IFERROR(O427/30*$H427,0))</f>
        <v>0</v>
      </c>
      <c r="R427">
        <f>IF($A427="","", IF(J427&lt;=$F427, "Yes", ""))</f>
        <v>0</v>
      </c>
      <c r="S427">
        <f>IF(R427="Yes", CEILING(MAX($G427, Q427-J427), $G427), 0)</f>
        <v>0</v>
      </c>
      <c r="T427">
        <f>IFERROR(J427/(O427/30),"")</f>
        <v>0</v>
      </c>
    </row>
    <row r="428" spans="10:20">
      <c r="J428">
        <f>IF($A428="","", SUMIFS(Mov_Qty, Mov_Item, $A428))</f>
        <v>0</v>
      </c>
      <c r="K428">
        <f>IF($A428="","", J428 * $E428)</f>
        <v>0</v>
      </c>
      <c r="L428">
        <f>IF($A428="","", SUMIFS(-Mov_Qty, Mov_Item, $A428, Mov_Type, "Consumption", Mov_Date, "&gt;="&amp;$V$2, Mov_Date, "&lt;="&amp;$W$2))</f>
        <v>0</v>
      </c>
      <c r="M428">
        <f>IF($A428="","", SUMIFS(-Mov_Qty, Mov_Item, $A428, Mov_Type, "Consumption", Mov_Date, "&gt;="&amp;$X$2, Mov_Date, "&lt;="&amp;$Y$2))</f>
        <v>0</v>
      </c>
      <c r="N428">
        <f>IF($A428="","", SUMIFS(-Mov_Qty, Mov_Item, $A428, Mov_Type, "Consumption", Mov_Date, "&gt;="&amp;$Z$2, Mov_Date, "&lt;="&amp;$AA$2))</f>
        <v>0</v>
      </c>
      <c r="O428">
        <f>IFERROR(AVERAGE(L428:N428),"")</f>
        <v>0</v>
      </c>
      <c r="P428">
        <f>IF(O428&gt;=Cfg_HiMove, "Yes", "")</f>
        <v>0</v>
      </c>
      <c r="Q428">
        <f>IF($A428="","", $I428 + IFERROR(O428/30*$H428,0))</f>
        <v>0</v>
      </c>
      <c r="R428">
        <f>IF($A428="","", IF(J428&lt;=$F428, "Yes", ""))</f>
        <v>0</v>
      </c>
      <c r="S428">
        <f>IF(R428="Yes", CEILING(MAX($G428, Q428-J428), $G428), 0)</f>
        <v>0</v>
      </c>
      <c r="T428">
        <f>IFERROR(J428/(O428/30),"")</f>
        <v>0</v>
      </c>
    </row>
    <row r="429" spans="10:20">
      <c r="J429">
        <f>IF($A429="","", SUMIFS(Mov_Qty, Mov_Item, $A429))</f>
        <v>0</v>
      </c>
      <c r="K429">
        <f>IF($A429="","", J429 * $E429)</f>
        <v>0</v>
      </c>
      <c r="L429">
        <f>IF($A429="","", SUMIFS(-Mov_Qty, Mov_Item, $A429, Mov_Type, "Consumption", Mov_Date, "&gt;="&amp;$V$2, Mov_Date, "&lt;="&amp;$W$2))</f>
        <v>0</v>
      </c>
      <c r="M429">
        <f>IF($A429="","", SUMIFS(-Mov_Qty, Mov_Item, $A429, Mov_Type, "Consumption", Mov_Date, "&gt;="&amp;$X$2, Mov_Date, "&lt;="&amp;$Y$2))</f>
        <v>0</v>
      </c>
      <c r="N429">
        <f>IF($A429="","", SUMIFS(-Mov_Qty, Mov_Item, $A429, Mov_Type, "Consumption", Mov_Date, "&gt;="&amp;$Z$2, Mov_Date, "&lt;="&amp;$AA$2))</f>
        <v>0</v>
      </c>
      <c r="O429">
        <f>IFERROR(AVERAGE(L429:N429),"")</f>
        <v>0</v>
      </c>
      <c r="P429">
        <f>IF(O429&gt;=Cfg_HiMove, "Yes", "")</f>
        <v>0</v>
      </c>
      <c r="Q429">
        <f>IF($A429="","", $I429 + IFERROR(O429/30*$H429,0))</f>
        <v>0</v>
      </c>
      <c r="R429">
        <f>IF($A429="","", IF(J429&lt;=$F429, "Yes", ""))</f>
        <v>0</v>
      </c>
      <c r="S429">
        <f>IF(R429="Yes", CEILING(MAX($G429, Q429-J429), $G429), 0)</f>
        <v>0</v>
      </c>
      <c r="T429">
        <f>IFERROR(J429/(O429/30),"")</f>
        <v>0</v>
      </c>
    </row>
    <row r="430" spans="10:20">
      <c r="J430">
        <f>IF($A430="","", SUMIFS(Mov_Qty, Mov_Item, $A430))</f>
        <v>0</v>
      </c>
      <c r="K430">
        <f>IF($A430="","", J430 * $E430)</f>
        <v>0</v>
      </c>
      <c r="L430">
        <f>IF($A430="","", SUMIFS(-Mov_Qty, Mov_Item, $A430, Mov_Type, "Consumption", Mov_Date, "&gt;="&amp;$V$2, Mov_Date, "&lt;="&amp;$W$2))</f>
        <v>0</v>
      </c>
      <c r="M430">
        <f>IF($A430="","", SUMIFS(-Mov_Qty, Mov_Item, $A430, Mov_Type, "Consumption", Mov_Date, "&gt;="&amp;$X$2, Mov_Date, "&lt;="&amp;$Y$2))</f>
        <v>0</v>
      </c>
      <c r="N430">
        <f>IF($A430="","", SUMIFS(-Mov_Qty, Mov_Item, $A430, Mov_Type, "Consumption", Mov_Date, "&gt;="&amp;$Z$2, Mov_Date, "&lt;="&amp;$AA$2))</f>
        <v>0</v>
      </c>
      <c r="O430">
        <f>IFERROR(AVERAGE(L430:N430),"")</f>
        <v>0</v>
      </c>
      <c r="P430">
        <f>IF(O430&gt;=Cfg_HiMove, "Yes", "")</f>
        <v>0</v>
      </c>
      <c r="Q430">
        <f>IF($A430="","", $I430 + IFERROR(O430/30*$H430,0))</f>
        <v>0</v>
      </c>
      <c r="R430">
        <f>IF($A430="","", IF(J430&lt;=$F430, "Yes", ""))</f>
        <v>0</v>
      </c>
      <c r="S430">
        <f>IF(R430="Yes", CEILING(MAX($G430, Q430-J430), $G430), 0)</f>
        <v>0</v>
      </c>
      <c r="T430">
        <f>IFERROR(J430/(O430/30),"")</f>
        <v>0</v>
      </c>
    </row>
    <row r="431" spans="10:20">
      <c r="J431">
        <f>IF($A431="","", SUMIFS(Mov_Qty, Mov_Item, $A431))</f>
        <v>0</v>
      </c>
      <c r="K431">
        <f>IF($A431="","", J431 * $E431)</f>
        <v>0</v>
      </c>
      <c r="L431">
        <f>IF($A431="","", SUMIFS(-Mov_Qty, Mov_Item, $A431, Mov_Type, "Consumption", Mov_Date, "&gt;="&amp;$V$2, Mov_Date, "&lt;="&amp;$W$2))</f>
        <v>0</v>
      </c>
      <c r="M431">
        <f>IF($A431="","", SUMIFS(-Mov_Qty, Mov_Item, $A431, Mov_Type, "Consumption", Mov_Date, "&gt;="&amp;$X$2, Mov_Date, "&lt;="&amp;$Y$2))</f>
        <v>0</v>
      </c>
      <c r="N431">
        <f>IF($A431="","", SUMIFS(-Mov_Qty, Mov_Item, $A431, Mov_Type, "Consumption", Mov_Date, "&gt;="&amp;$Z$2, Mov_Date, "&lt;="&amp;$AA$2))</f>
        <v>0</v>
      </c>
      <c r="O431">
        <f>IFERROR(AVERAGE(L431:N431),"")</f>
        <v>0</v>
      </c>
      <c r="P431">
        <f>IF(O431&gt;=Cfg_HiMove, "Yes", "")</f>
        <v>0</v>
      </c>
      <c r="Q431">
        <f>IF($A431="","", $I431 + IFERROR(O431/30*$H431,0))</f>
        <v>0</v>
      </c>
      <c r="R431">
        <f>IF($A431="","", IF(J431&lt;=$F431, "Yes", ""))</f>
        <v>0</v>
      </c>
      <c r="S431">
        <f>IF(R431="Yes", CEILING(MAX($G431, Q431-J431), $G431), 0)</f>
        <v>0</v>
      </c>
      <c r="T431">
        <f>IFERROR(J431/(O431/30),"")</f>
        <v>0</v>
      </c>
    </row>
    <row r="432" spans="10:20">
      <c r="J432">
        <f>IF($A432="","", SUMIFS(Mov_Qty, Mov_Item, $A432))</f>
        <v>0</v>
      </c>
      <c r="K432">
        <f>IF($A432="","", J432 * $E432)</f>
        <v>0</v>
      </c>
      <c r="L432">
        <f>IF($A432="","", SUMIFS(-Mov_Qty, Mov_Item, $A432, Mov_Type, "Consumption", Mov_Date, "&gt;="&amp;$V$2, Mov_Date, "&lt;="&amp;$W$2))</f>
        <v>0</v>
      </c>
      <c r="M432">
        <f>IF($A432="","", SUMIFS(-Mov_Qty, Mov_Item, $A432, Mov_Type, "Consumption", Mov_Date, "&gt;="&amp;$X$2, Mov_Date, "&lt;="&amp;$Y$2))</f>
        <v>0</v>
      </c>
      <c r="N432">
        <f>IF($A432="","", SUMIFS(-Mov_Qty, Mov_Item, $A432, Mov_Type, "Consumption", Mov_Date, "&gt;="&amp;$Z$2, Mov_Date, "&lt;="&amp;$AA$2))</f>
        <v>0</v>
      </c>
      <c r="O432">
        <f>IFERROR(AVERAGE(L432:N432),"")</f>
        <v>0</v>
      </c>
      <c r="P432">
        <f>IF(O432&gt;=Cfg_HiMove, "Yes", "")</f>
        <v>0</v>
      </c>
      <c r="Q432">
        <f>IF($A432="","", $I432 + IFERROR(O432/30*$H432,0))</f>
        <v>0</v>
      </c>
      <c r="R432">
        <f>IF($A432="","", IF(J432&lt;=$F432, "Yes", ""))</f>
        <v>0</v>
      </c>
      <c r="S432">
        <f>IF(R432="Yes", CEILING(MAX($G432, Q432-J432), $G432), 0)</f>
        <v>0</v>
      </c>
      <c r="T432">
        <f>IFERROR(J432/(O432/30),"")</f>
        <v>0</v>
      </c>
    </row>
    <row r="433" spans="10:20">
      <c r="J433">
        <f>IF($A433="","", SUMIFS(Mov_Qty, Mov_Item, $A433))</f>
        <v>0</v>
      </c>
      <c r="K433">
        <f>IF($A433="","", J433 * $E433)</f>
        <v>0</v>
      </c>
      <c r="L433">
        <f>IF($A433="","", SUMIFS(-Mov_Qty, Mov_Item, $A433, Mov_Type, "Consumption", Mov_Date, "&gt;="&amp;$V$2, Mov_Date, "&lt;="&amp;$W$2))</f>
        <v>0</v>
      </c>
      <c r="M433">
        <f>IF($A433="","", SUMIFS(-Mov_Qty, Mov_Item, $A433, Mov_Type, "Consumption", Mov_Date, "&gt;="&amp;$X$2, Mov_Date, "&lt;="&amp;$Y$2))</f>
        <v>0</v>
      </c>
      <c r="N433">
        <f>IF($A433="","", SUMIFS(-Mov_Qty, Mov_Item, $A433, Mov_Type, "Consumption", Mov_Date, "&gt;="&amp;$Z$2, Mov_Date, "&lt;="&amp;$AA$2))</f>
        <v>0</v>
      </c>
      <c r="O433">
        <f>IFERROR(AVERAGE(L433:N433),"")</f>
        <v>0</v>
      </c>
      <c r="P433">
        <f>IF(O433&gt;=Cfg_HiMove, "Yes", "")</f>
        <v>0</v>
      </c>
      <c r="Q433">
        <f>IF($A433="","", $I433 + IFERROR(O433/30*$H433,0))</f>
        <v>0</v>
      </c>
      <c r="R433">
        <f>IF($A433="","", IF(J433&lt;=$F433, "Yes", ""))</f>
        <v>0</v>
      </c>
      <c r="S433">
        <f>IF(R433="Yes", CEILING(MAX($G433, Q433-J433), $G433), 0)</f>
        <v>0</v>
      </c>
      <c r="T433">
        <f>IFERROR(J433/(O433/30),"")</f>
        <v>0</v>
      </c>
    </row>
    <row r="434" spans="10:20">
      <c r="J434">
        <f>IF($A434="","", SUMIFS(Mov_Qty, Mov_Item, $A434))</f>
        <v>0</v>
      </c>
      <c r="K434">
        <f>IF($A434="","", J434 * $E434)</f>
        <v>0</v>
      </c>
      <c r="L434">
        <f>IF($A434="","", SUMIFS(-Mov_Qty, Mov_Item, $A434, Mov_Type, "Consumption", Mov_Date, "&gt;="&amp;$V$2, Mov_Date, "&lt;="&amp;$W$2))</f>
        <v>0</v>
      </c>
      <c r="M434">
        <f>IF($A434="","", SUMIFS(-Mov_Qty, Mov_Item, $A434, Mov_Type, "Consumption", Mov_Date, "&gt;="&amp;$X$2, Mov_Date, "&lt;="&amp;$Y$2))</f>
        <v>0</v>
      </c>
      <c r="N434">
        <f>IF($A434="","", SUMIFS(-Mov_Qty, Mov_Item, $A434, Mov_Type, "Consumption", Mov_Date, "&gt;="&amp;$Z$2, Mov_Date, "&lt;="&amp;$AA$2))</f>
        <v>0</v>
      </c>
      <c r="O434">
        <f>IFERROR(AVERAGE(L434:N434),"")</f>
        <v>0</v>
      </c>
      <c r="P434">
        <f>IF(O434&gt;=Cfg_HiMove, "Yes", "")</f>
        <v>0</v>
      </c>
      <c r="Q434">
        <f>IF($A434="","", $I434 + IFERROR(O434/30*$H434,0))</f>
        <v>0</v>
      </c>
      <c r="R434">
        <f>IF($A434="","", IF(J434&lt;=$F434, "Yes", ""))</f>
        <v>0</v>
      </c>
      <c r="S434">
        <f>IF(R434="Yes", CEILING(MAX($G434, Q434-J434), $G434), 0)</f>
        <v>0</v>
      </c>
      <c r="T434">
        <f>IFERROR(J434/(O434/30),"")</f>
        <v>0</v>
      </c>
    </row>
    <row r="435" spans="10:20">
      <c r="J435">
        <f>IF($A435="","", SUMIFS(Mov_Qty, Mov_Item, $A435))</f>
        <v>0</v>
      </c>
      <c r="K435">
        <f>IF($A435="","", J435 * $E435)</f>
        <v>0</v>
      </c>
      <c r="L435">
        <f>IF($A435="","", SUMIFS(-Mov_Qty, Mov_Item, $A435, Mov_Type, "Consumption", Mov_Date, "&gt;="&amp;$V$2, Mov_Date, "&lt;="&amp;$W$2))</f>
        <v>0</v>
      </c>
      <c r="M435">
        <f>IF($A435="","", SUMIFS(-Mov_Qty, Mov_Item, $A435, Mov_Type, "Consumption", Mov_Date, "&gt;="&amp;$X$2, Mov_Date, "&lt;="&amp;$Y$2))</f>
        <v>0</v>
      </c>
      <c r="N435">
        <f>IF($A435="","", SUMIFS(-Mov_Qty, Mov_Item, $A435, Mov_Type, "Consumption", Mov_Date, "&gt;="&amp;$Z$2, Mov_Date, "&lt;="&amp;$AA$2))</f>
        <v>0</v>
      </c>
      <c r="O435">
        <f>IFERROR(AVERAGE(L435:N435),"")</f>
        <v>0</v>
      </c>
      <c r="P435">
        <f>IF(O435&gt;=Cfg_HiMove, "Yes", "")</f>
        <v>0</v>
      </c>
      <c r="Q435">
        <f>IF($A435="","", $I435 + IFERROR(O435/30*$H435,0))</f>
        <v>0</v>
      </c>
      <c r="R435">
        <f>IF($A435="","", IF(J435&lt;=$F435, "Yes", ""))</f>
        <v>0</v>
      </c>
      <c r="S435">
        <f>IF(R435="Yes", CEILING(MAX($G435, Q435-J435), $G435), 0)</f>
        <v>0</v>
      </c>
      <c r="T435">
        <f>IFERROR(J435/(O435/30),"")</f>
        <v>0</v>
      </c>
    </row>
    <row r="436" spans="10:20">
      <c r="J436">
        <f>IF($A436="","", SUMIFS(Mov_Qty, Mov_Item, $A436))</f>
        <v>0</v>
      </c>
      <c r="K436">
        <f>IF($A436="","", J436 * $E436)</f>
        <v>0</v>
      </c>
      <c r="L436">
        <f>IF($A436="","", SUMIFS(-Mov_Qty, Mov_Item, $A436, Mov_Type, "Consumption", Mov_Date, "&gt;="&amp;$V$2, Mov_Date, "&lt;="&amp;$W$2))</f>
        <v>0</v>
      </c>
      <c r="M436">
        <f>IF($A436="","", SUMIFS(-Mov_Qty, Mov_Item, $A436, Mov_Type, "Consumption", Mov_Date, "&gt;="&amp;$X$2, Mov_Date, "&lt;="&amp;$Y$2))</f>
        <v>0</v>
      </c>
      <c r="N436">
        <f>IF($A436="","", SUMIFS(-Mov_Qty, Mov_Item, $A436, Mov_Type, "Consumption", Mov_Date, "&gt;="&amp;$Z$2, Mov_Date, "&lt;="&amp;$AA$2))</f>
        <v>0</v>
      </c>
      <c r="O436">
        <f>IFERROR(AVERAGE(L436:N436),"")</f>
        <v>0</v>
      </c>
      <c r="P436">
        <f>IF(O436&gt;=Cfg_HiMove, "Yes", "")</f>
        <v>0</v>
      </c>
      <c r="Q436">
        <f>IF($A436="","", $I436 + IFERROR(O436/30*$H436,0))</f>
        <v>0</v>
      </c>
      <c r="R436">
        <f>IF($A436="","", IF(J436&lt;=$F436, "Yes", ""))</f>
        <v>0</v>
      </c>
      <c r="S436">
        <f>IF(R436="Yes", CEILING(MAX($G436, Q436-J436), $G436), 0)</f>
        <v>0</v>
      </c>
      <c r="T436">
        <f>IFERROR(J436/(O436/30),"")</f>
        <v>0</v>
      </c>
    </row>
    <row r="437" spans="10:20">
      <c r="J437">
        <f>IF($A437="","", SUMIFS(Mov_Qty, Mov_Item, $A437))</f>
        <v>0</v>
      </c>
      <c r="K437">
        <f>IF($A437="","", J437 * $E437)</f>
        <v>0</v>
      </c>
      <c r="L437">
        <f>IF($A437="","", SUMIFS(-Mov_Qty, Mov_Item, $A437, Mov_Type, "Consumption", Mov_Date, "&gt;="&amp;$V$2, Mov_Date, "&lt;="&amp;$W$2))</f>
        <v>0</v>
      </c>
      <c r="M437">
        <f>IF($A437="","", SUMIFS(-Mov_Qty, Mov_Item, $A437, Mov_Type, "Consumption", Mov_Date, "&gt;="&amp;$X$2, Mov_Date, "&lt;="&amp;$Y$2))</f>
        <v>0</v>
      </c>
      <c r="N437">
        <f>IF($A437="","", SUMIFS(-Mov_Qty, Mov_Item, $A437, Mov_Type, "Consumption", Mov_Date, "&gt;="&amp;$Z$2, Mov_Date, "&lt;="&amp;$AA$2))</f>
        <v>0</v>
      </c>
      <c r="O437">
        <f>IFERROR(AVERAGE(L437:N437),"")</f>
        <v>0</v>
      </c>
      <c r="P437">
        <f>IF(O437&gt;=Cfg_HiMove, "Yes", "")</f>
        <v>0</v>
      </c>
      <c r="Q437">
        <f>IF($A437="","", $I437 + IFERROR(O437/30*$H437,0))</f>
        <v>0</v>
      </c>
      <c r="R437">
        <f>IF($A437="","", IF(J437&lt;=$F437, "Yes", ""))</f>
        <v>0</v>
      </c>
      <c r="S437">
        <f>IF(R437="Yes", CEILING(MAX($G437, Q437-J437), $G437), 0)</f>
        <v>0</v>
      </c>
      <c r="T437">
        <f>IFERROR(J437/(O437/30),"")</f>
        <v>0</v>
      </c>
    </row>
    <row r="438" spans="10:20">
      <c r="J438">
        <f>IF($A438="","", SUMIFS(Mov_Qty, Mov_Item, $A438))</f>
        <v>0</v>
      </c>
      <c r="K438">
        <f>IF($A438="","", J438 * $E438)</f>
        <v>0</v>
      </c>
      <c r="L438">
        <f>IF($A438="","", SUMIFS(-Mov_Qty, Mov_Item, $A438, Mov_Type, "Consumption", Mov_Date, "&gt;="&amp;$V$2, Mov_Date, "&lt;="&amp;$W$2))</f>
        <v>0</v>
      </c>
      <c r="M438">
        <f>IF($A438="","", SUMIFS(-Mov_Qty, Mov_Item, $A438, Mov_Type, "Consumption", Mov_Date, "&gt;="&amp;$X$2, Mov_Date, "&lt;="&amp;$Y$2))</f>
        <v>0</v>
      </c>
      <c r="N438">
        <f>IF($A438="","", SUMIFS(-Mov_Qty, Mov_Item, $A438, Mov_Type, "Consumption", Mov_Date, "&gt;="&amp;$Z$2, Mov_Date, "&lt;="&amp;$AA$2))</f>
        <v>0</v>
      </c>
      <c r="O438">
        <f>IFERROR(AVERAGE(L438:N438),"")</f>
        <v>0</v>
      </c>
      <c r="P438">
        <f>IF(O438&gt;=Cfg_HiMove, "Yes", "")</f>
        <v>0</v>
      </c>
      <c r="Q438">
        <f>IF($A438="","", $I438 + IFERROR(O438/30*$H438,0))</f>
        <v>0</v>
      </c>
      <c r="R438">
        <f>IF($A438="","", IF(J438&lt;=$F438, "Yes", ""))</f>
        <v>0</v>
      </c>
      <c r="S438">
        <f>IF(R438="Yes", CEILING(MAX($G438, Q438-J438), $G438), 0)</f>
        <v>0</v>
      </c>
      <c r="T438">
        <f>IFERROR(J438/(O438/30),"")</f>
        <v>0</v>
      </c>
    </row>
    <row r="439" spans="10:20">
      <c r="J439">
        <f>IF($A439="","", SUMIFS(Mov_Qty, Mov_Item, $A439))</f>
        <v>0</v>
      </c>
      <c r="K439">
        <f>IF($A439="","", J439 * $E439)</f>
        <v>0</v>
      </c>
      <c r="L439">
        <f>IF($A439="","", SUMIFS(-Mov_Qty, Mov_Item, $A439, Mov_Type, "Consumption", Mov_Date, "&gt;="&amp;$V$2, Mov_Date, "&lt;="&amp;$W$2))</f>
        <v>0</v>
      </c>
      <c r="M439">
        <f>IF($A439="","", SUMIFS(-Mov_Qty, Mov_Item, $A439, Mov_Type, "Consumption", Mov_Date, "&gt;="&amp;$X$2, Mov_Date, "&lt;="&amp;$Y$2))</f>
        <v>0</v>
      </c>
      <c r="N439">
        <f>IF($A439="","", SUMIFS(-Mov_Qty, Mov_Item, $A439, Mov_Type, "Consumption", Mov_Date, "&gt;="&amp;$Z$2, Mov_Date, "&lt;="&amp;$AA$2))</f>
        <v>0</v>
      </c>
      <c r="O439">
        <f>IFERROR(AVERAGE(L439:N439),"")</f>
        <v>0</v>
      </c>
      <c r="P439">
        <f>IF(O439&gt;=Cfg_HiMove, "Yes", "")</f>
        <v>0</v>
      </c>
      <c r="Q439">
        <f>IF($A439="","", $I439 + IFERROR(O439/30*$H439,0))</f>
        <v>0</v>
      </c>
      <c r="R439">
        <f>IF($A439="","", IF(J439&lt;=$F439, "Yes", ""))</f>
        <v>0</v>
      </c>
      <c r="S439">
        <f>IF(R439="Yes", CEILING(MAX($G439, Q439-J439), $G439), 0)</f>
        <v>0</v>
      </c>
      <c r="T439">
        <f>IFERROR(J439/(O439/30),"")</f>
        <v>0</v>
      </c>
    </row>
    <row r="440" spans="10:20">
      <c r="J440">
        <f>IF($A440="","", SUMIFS(Mov_Qty, Mov_Item, $A440))</f>
        <v>0</v>
      </c>
      <c r="K440">
        <f>IF($A440="","", J440 * $E440)</f>
        <v>0</v>
      </c>
      <c r="L440">
        <f>IF($A440="","", SUMIFS(-Mov_Qty, Mov_Item, $A440, Mov_Type, "Consumption", Mov_Date, "&gt;="&amp;$V$2, Mov_Date, "&lt;="&amp;$W$2))</f>
        <v>0</v>
      </c>
      <c r="M440">
        <f>IF($A440="","", SUMIFS(-Mov_Qty, Mov_Item, $A440, Mov_Type, "Consumption", Mov_Date, "&gt;="&amp;$X$2, Mov_Date, "&lt;="&amp;$Y$2))</f>
        <v>0</v>
      </c>
      <c r="N440">
        <f>IF($A440="","", SUMIFS(-Mov_Qty, Mov_Item, $A440, Mov_Type, "Consumption", Mov_Date, "&gt;="&amp;$Z$2, Mov_Date, "&lt;="&amp;$AA$2))</f>
        <v>0</v>
      </c>
      <c r="O440">
        <f>IFERROR(AVERAGE(L440:N440),"")</f>
        <v>0</v>
      </c>
      <c r="P440">
        <f>IF(O440&gt;=Cfg_HiMove, "Yes", "")</f>
        <v>0</v>
      </c>
      <c r="Q440">
        <f>IF($A440="","", $I440 + IFERROR(O440/30*$H440,0))</f>
        <v>0</v>
      </c>
      <c r="R440">
        <f>IF($A440="","", IF(J440&lt;=$F440, "Yes", ""))</f>
        <v>0</v>
      </c>
      <c r="S440">
        <f>IF(R440="Yes", CEILING(MAX($G440, Q440-J440), $G440), 0)</f>
        <v>0</v>
      </c>
      <c r="T440">
        <f>IFERROR(J440/(O440/30),"")</f>
        <v>0</v>
      </c>
    </row>
    <row r="441" spans="10:20">
      <c r="J441">
        <f>IF($A441="","", SUMIFS(Mov_Qty, Mov_Item, $A441))</f>
        <v>0</v>
      </c>
      <c r="K441">
        <f>IF($A441="","", J441 * $E441)</f>
        <v>0</v>
      </c>
      <c r="L441">
        <f>IF($A441="","", SUMIFS(-Mov_Qty, Mov_Item, $A441, Mov_Type, "Consumption", Mov_Date, "&gt;="&amp;$V$2, Mov_Date, "&lt;="&amp;$W$2))</f>
        <v>0</v>
      </c>
      <c r="M441">
        <f>IF($A441="","", SUMIFS(-Mov_Qty, Mov_Item, $A441, Mov_Type, "Consumption", Mov_Date, "&gt;="&amp;$X$2, Mov_Date, "&lt;="&amp;$Y$2))</f>
        <v>0</v>
      </c>
      <c r="N441">
        <f>IF($A441="","", SUMIFS(-Mov_Qty, Mov_Item, $A441, Mov_Type, "Consumption", Mov_Date, "&gt;="&amp;$Z$2, Mov_Date, "&lt;="&amp;$AA$2))</f>
        <v>0</v>
      </c>
      <c r="O441">
        <f>IFERROR(AVERAGE(L441:N441),"")</f>
        <v>0</v>
      </c>
      <c r="P441">
        <f>IF(O441&gt;=Cfg_HiMove, "Yes", "")</f>
        <v>0</v>
      </c>
      <c r="Q441">
        <f>IF($A441="","", $I441 + IFERROR(O441/30*$H441,0))</f>
        <v>0</v>
      </c>
      <c r="R441">
        <f>IF($A441="","", IF(J441&lt;=$F441, "Yes", ""))</f>
        <v>0</v>
      </c>
      <c r="S441">
        <f>IF(R441="Yes", CEILING(MAX($G441, Q441-J441), $G441), 0)</f>
        <v>0</v>
      </c>
      <c r="T441">
        <f>IFERROR(J441/(O441/30),"")</f>
        <v>0</v>
      </c>
    </row>
    <row r="442" spans="10:20">
      <c r="J442">
        <f>IF($A442="","", SUMIFS(Mov_Qty, Mov_Item, $A442))</f>
        <v>0</v>
      </c>
      <c r="K442">
        <f>IF($A442="","", J442 * $E442)</f>
        <v>0</v>
      </c>
      <c r="L442">
        <f>IF($A442="","", SUMIFS(-Mov_Qty, Mov_Item, $A442, Mov_Type, "Consumption", Mov_Date, "&gt;="&amp;$V$2, Mov_Date, "&lt;="&amp;$W$2))</f>
        <v>0</v>
      </c>
      <c r="M442">
        <f>IF($A442="","", SUMIFS(-Mov_Qty, Mov_Item, $A442, Mov_Type, "Consumption", Mov_Date, "&gt;="&amp;$X$2, Mov_Date, "&lt;="&amp;$Y$2))</f>
        <v>0</v>
      </c>
      <c r="N442">
        <f>IF($A442="","", SUMIFS(-Mov_Qty, Mov_Item, $A442, Mov_Type, "Consumption", Mov_Date, "&gt;="&amp;$Z$2, Mov_Date, "&lt;="&amp;$AA$2))</f>
        <v>0</v>
      </c>
      <c r="O442">
        <f>IFERROR(AVERAGE(L442:N442),"")</f>
        <v>0</v>
      </c>
      <c r="P442">
        <f>IF(O442&gt;=Cfg_HiMove, "Yes", "")</f>
        <v>0</v>
      </c>
      <c r="Q442">
        <f>IF($A442="","", $I442 + IFERROR(O442/30*$H442,0))</f>
        <v>0</v>
      </c>
      <c r="R442">
        <f>IF($A442="","", IF(J442&lt;=$F442, "Yes", ""))</f>
        <v>0</v>
      </c>
      <c r="S442">
        <f>IF(R442="Yes", CEILING(MAX($G442, Q442-J442), $G442), 0)</f>
        <v>0</v>
      </c>
      <c r="T442">
        <f>IFERROR(J442/(O442/30),"")</f>
        <v>0</v>
      </c>
    </row>
    <row r="443" spans="10:20">
      <c r="J443">
        <f>IF($A443="","", SUMIFS(Mov_Qty, Mov_Item, $A443))</f>
        <v>0</v>
      </c>
      <c r="K443">
        <f>IF($A443="","", J443 * $E443)</f>
        <v>0</v>
      </c>
      <c r="L443">
        <f>IF($A443="","", SUMIFS(-Mov_Qty, Mov_Item, $A443, Mov_Type, "Consumption", Mov_Date, "&gt;="&amp;$V$2, Mov_Date, "&lt;="&amp;$W$2))</f>
        <v>0</v>
      </c>
      <c r="M443">
        <f>IF($A443="","", SUMIFS(-Mov_Qty, Mov_Item, $A443, Mov_Type, "Consumption", Mov_Date, "&gt;="&amp;$X$2, Mov_Date, "&lt;="&amp;$Y$2))</f>
        <v>0</v>
      </c>
      <c r="N443">
        <f>IF($A443="","", SUMIFS(-Mov_Qty, Mov_Item, $A443, Mov_Type, "Consumption", Mov_Date, "&gt;="&amp;$Z$2, Mov_Date, "&lt;="&amp;$AA$2))</f>
        <v>0</v>
      </c>
      <c r="O443">
        <f>IFERROR(AVERAGE(L443:N443),"")</f>
        <v>0</v>
      </c>
      <c r="P443">
        <f>IF(O443&gt;=Cfg_HiMove, "Yes", "")</f>
        <v>0</v>
      </c>
      <c r="Q443">
        <f>IF($A443="","", $I443 + IFERROR(O443/30*$H443,0))</f>
        <v>0</v>
      </c>
      <c r="R443">
        <f>IF($A443="","", IF(J443&lt;=$F443, "Yes", ""))</f>
        <v>0</v>
      </c>
      <c r="S443">
        <f>IF(R443="Yes", CEILING(MAX($G443, Q443-J443), $G443), 0)</f>
        <v>0</v>
      </c>
      <c r="T443">
        <f>IFERROR(J443/(O443/30),"")</f>
        <v>0</v>
      </c>
    </row>
    <row r="444" spans="10:20">
      <c r="J444">
        <f>IF($A444="","", SUMIFS(Mov_Qty, Mov_Item, $A444))</f>
        <v>0</v>
      </c>
      <c r="K444">
        <f>IF($A444="","", J444 * $E444)</f>
        <v>0</v>
      </c>
      <c r="L444">
        <f>IF($A444="","", SUMIFS(-Mov_Qty, Mov_Item, $A444, Mov_Type, "Consumption", Mov_Date, "&gt;="&amp;$V$2, Mov_Date, "&lt;="&amp;$W$2))</f>
        <v>0</v>
      </c>
      <c r="M444">
        <f>IF($A444="","", SUMIFS(-Mov_Qty, Mov_Item, $A444, Mov_Type, "Consumption", Mov_Date, "&gt;="&amp;$X$2, Mov_Date, "&lt;="&amp;$Y$2))</f>
        <v>0</v>
      </c>
      <c r="N444">
        <f>IF($A444="","", SUMIFS(-Mov_Qty, Mov_Item, $A444, Mov_Type, "Consumption", Mov_Date, "&gt;="&amp;$Z$2, Mov_Date, "&lt;="&amp;$AA$2))</f>
        <v>0</v>
      </c>
      <c r="O444">
        <f>IFERROR(AVERAGE(L444:N444),"")</f>
        <v>0</v>
      </c>
      <c r="P444">
        <f>IF(O444&gt;=Cfg_HiMove, "Yes", "")</f>
        <v>0</v>
      </c>
      <c r="Q444">
        <f>IF($A444="","", $I444 + IFERROR(O444/30*$H444,0))</f>
        <v>0</v>
      </c>
      <c r="R444">
        <f>IF($A444="","", IF(J444&lt;=$F444, "Yes", ""))</f>
        <v>0</v>
      </c>
      <c r="S444">
        <f>IF(R444="Yes", CEILING(MAX($G444, Q444-J444), $G444), 0)</f>
        <v>0</v>
      </c>
      <c r="T444">
        <f>IFERROR(J444/(O444/30),"")</f>
        <v>0</v>
      </c>
    </row>
    <row r="445" spans="10:20">
      <c r="J445">
        <f>IF($A445="","", SUMIFS(Mov_Qty, Mov_Item, $A445))</f>
        <v>0</v>
      </c>
      <c r="K445">
        <f>IF($A445="","", J445 * $E445)</f>
        <v>0</v>
      </c>
      <c r="L445">
        <f>IF($A445="","", SUMIFS(-Mov_Qty, Mov_Item, $A445, Mov_Type, "Consumption", Mov_Date, "&gt;="&amp;$V$2, Mov_Date, "&lt;="&amp;$W$2))</f>
        <v>0</v>
      </c>
      <c r="M445">
        <f>IF($A445="","", SUMIFS(-Mov_Qty, Mov_Item, $A445, Mov_Type, "Consumption", Mov_Date, "&gt;="&amp;$X$2, Mov_Date, "&lt;="&amp;$Y$2))</f>
        <v>0</v>
      </c>
      <c r="N445">
        <f>IF($A445="","", SUMIFS(-Mov_Qty, Mov_Item, $A445, Mov_Type, "Consumption", Mov_Date, "&gt;="&amp;$Z$2, Mov_Date, "&lt;="&amp;$AA$2))</f>
        <v>0</v>
      </c>
      <c r="O445">
        <f>IFERROR(AVERAGE(L445:N445),"")</f>
        <v>0</v>
      </c>
      <c r="P445">
        <f>IF(O445&gt;=Cfg_HiMove, "Yes", "")</f>
        <v>0</v>
      </c>
      <c r="Q445">
        <f>IF($A445="","", $I445 + IFERROR(O445/30*$H445,0))</f>
        <v>0</v>
      </c>
      <c r="R445">
        <f>IF($A445="","", IF(J445&lt;=$F445, "Yes", ""))</f>
        <v>0</v>
      </c>
      <c r="S445">
        <f>IF(R445="Yes", CEILING(MAX($G445, Q445-J445), $G445), 0)</f>
        <v>0</v>
      </c>
      <c r="T445">
        <f>IFERROR(J445/(O445/30),"")</f>
        <v>0</v>
      </c>
    </row>
    <row r="446" spans="10:20">
      <c r="J446">
        <f>IF($A446="","", SUMIFS(Mov_Qty, Mov_Item, $A446))</f>
        <v>0</v>
      </c>
      <c r="K446">
        <f>IF($A446="","", J446 * $E446)</f>
        <v>0</v>
      </c>
      <c r="L446">
        <f>IF($A446="","", SUMIFS(-Mov_Qty, Mov_Item, $A446, Mov_Type, "Consumption", Mov_Date, "&gt;="&amp;$V$2, Mov_Date, "&lt;="&amp;$W$2))</f>
        <v>0</v>
      </c>
      <c r="M446">
        <f>IF($A446="","", SUMIFS(-Mov_Qty, Mov_Item, $A446, Mov_Type, "Consumption", Mov_Date, "&gt;="&amp;$X$2, Mov_Date, "&lt;="&amp;$Y$2))</f>
        <v>0</v>
      </c>
      <c r="N446">
        <f>IF($A446="","", SUMIFS(-Mov_Qty, Mov_Item, $A446, Mov_Type, "Consumption", Mov_Date, "&gt;="&amp;$Z$2, Mov_Date, "&lt;="&amp;$AA$2))</f>
        <v>0</v>
      </c>
      <c r="O446">
        <f>IFERROR(AVERAGE(L446:N446),"")</f>
        <v>0</v>
      </c>
      <c r="P446">
        <f>IF(O446&gt;=Cfg_HiMove, "Yes", "")</f>
        <v>0</v>
      </c>
      <c r="Q446">
        <f>IF($A446="","", $I446 + IFERROR(O446/30*$H446,0))</f>
        <v>0</v>
      </c>
      <c r="R446">
        <f>IF($A446="","", IF(J446&lt;=$F446, "Yes", ""))</f>
        <v>0</v>
      </c>
      <c r="S446">
        <f>IF(R446="Yes", CEILING(MAX($G446, Q446-J446), $G446), 0)</f>
        <v>0</v>
      </c>
      <c r="T446">
        <f>IFERROR(J446/(O446/30),"")</f>
        <v>0</v>
      </c>
    </row>
    <row r="447" spans="10:20">
      <c r="J447">
        <f>IF($A447="","", SUMIFS(Mov_Qty, Mov_Item, $A447))</f>
        <v>0</v>
      </c>
      <c r="K447">
        <f>IF($A447="","", J447 * $E447)</f>
        <v>0</v>
      </c>
      <c r="L447">
        <f>IF($A447="","", SUMIFS(-Mov_Qty, Mov_Item, $A447, Mov_Type, "Consumption", Mov_Date, "&gt;="&amp;$V$2, Mov_Date, "&lt;="&amp;$W$2))</f>
        <v>0</v>
      </c>
      <c r="M447">
        <f>IF($A447="","", SUMIFS(-Mov_Qty, Mov_Item, $A447, Mov_Type, "Consumption", Mov_Date, "&gt;="&amp;$X$2, Mov_Date, "&lt;="&amp;$Y$2))</f>
        <v>0</v>
      </c>
      <c r="N447">
        <f>IF($A447="","", SUMIFS(-Mov_Qty, Mov_Item, $A447, Mov_Type, "Consumption", Mov_Date, "&gt;="&amp;$Z$2, Mov_Date, "&lt;="&amp;$AA$2))</f>
        <v>0</v>
      </c>
      <c r="O447">
        <f>IFERROR(AVERAGE(L447:N447),"")</f>
        <v>0</v>
      </c>
      <c r="P447">
        <f>IF(O447&gt;=Cfg_HiMove, "Yes", "")</f>
        <v>0</v>
      </c>
      <c r="Q447">
        <f>IF($A447="","", $I447 + IFERROR(O447/30*$H447,0))</f>
        <v>0</v>
      </c>
      <c r="R447">
        <f>IF($A447="","", IF(J447&lt;=$F447, "Yes", ""))</f>
        <v>0</v>
      </c>
      <c r="S447">
        <f>IF(R447="Yes", CEILING(MAX($G447, Q447-J447), $G447), 0)</f>
        <v>0</v>
      </c>
      <c r="T447">
        <f>IFERROR(J447/(O447/30),"")</f>
        <v>0</v>
      </c>
    </row>
    <row r="448" spans="10:20">
      <c r="J448">
        <f>IF($A448="","", SUMIFS(Mov_Qty, Mov_Item, $A448))</f>
        <v>0</v>
      </c>
      <c r="K448">
        <f>IF($A448="","", J448 * $E448)</f>
        <v>0</v>
      </c>
      <c r="L448">
        <f>IF($A448="","", SUMIFS(-Mov_Qty, Mov_Item, $A448, Mov_Type, "Consumption", Mov_Date, "&gt;="&amp;$V$2, Mov_Date, "&lt;="&amp;$W$2))</f>
        <v>0</v>
      </c>
      <c r="M448">
        <f>IF($A448="","", SUMIFS(-Mov_Qty, Mov_Item, $A448, Mov_Type, "Consumption", Mov_Date, "&gt;="&amp;$X$2, Mov_Date, "&lt;="&amp;$Y$2))</f>
        <v>0</v>
      </c>
      <c r="N448">
        <f>IF($A448="","", SUMIFS(-Mov_Qty, Mov_Item, $A448, Mov_Type, "Consumption", Mov_Date, "&gt;="&amp;$Z$2, Mov_Date, "&lt;="&amp;$AA$2))</f>
        <v>0</v>
      </c>
      <c r="O448">
        <f>IFERROR(AVERAGE(L448:N448),"")</f>
        <v>0</v>
      </c>
      <c r="P448">
        <f>IF(O448&gt;=Cfg_HiMove, "Yes", "")</f>
        <v>0</v>
      </c>
      <c r="Q448">
        <f>IF($A448="","", $I448 + IFERROR(O448/30*$H448,0))</f>
        <v>0</v>
      </c>
      <c r="R448">
        <f>IF($A448="","", IF(J448&lt;=$F448, "Yes", ""))</f>
        <v>0</v>
      </c>
      <c r="S448">
        <f>IF(R448="Yes", CEILING(MAX($G448, Q448-J448), $G448), 0)</f>
        <v>0</v>
      </c>
      <c r="T448">
        <f>IFERROR(J448/(O448/30),"")</f>
        <v>0</v>
      </c>
    </row>
    <row r="449" spans="10:20">
      <c r="J449">
        <f>IF($A449="","", SUMIFS(Mov_Qty, Mov_Item, $A449))</f>
        <v>0</v>
      </c>
      <c r="K449">
        <f>IF($A449="","", J449 * $E449)</f>
        <v>0</v>
      </c>
      <c r="L449">
        <f>IF($A449="","", SUMIFS(-Mov_Qty, Mov_Item, $A449, Mov_Type, "Consumption", Mov_Date, "&gt;="&amp;$V$2, Mov_Date, "&lt;="&amp;$W$2))</f>
        <v>0</v>
      </c>
      <c r="M449">
        <f>IF($A449="","", SUMIFS(-Mov_Qty, Mov_Item, $A449, Mov_Type, "Consumption", Mov_Date, "&gt;="&amp;$X$2, Mov_Date, "&lt;="&amp;$Y$2))</f>
        <v>0</v>
      </c>
      <c r="N449">
        <f>IF($A449="","", SUMIFS(-Mov_Qty, Mov_Item, $A449, Mov_Type, "Consumption", Mov_Date, "&gt;="&amp;$Z$2, Mov_Date, "&lt;="&amp;$AA$2))</f>
        <v>0</v>
      </c>
      <c r="O449">
        <f>IFERROR(AVERAGE(L449:N449),"")</f>
        <v>0</v>
      </c>
      <c r="P449">
        <f>IF(O449&gt;=Cfg_HiMove, "Yes", "")</f>
        <v>0</v>
      </c>
      <c r="Q449">
        <f>IF($A449="","", $I449 + IFERROR(O449/30*$H449,0))</f>
        <v>0</v>
      </c>
      <c r="R449">
        <f>IF($A449="","", IF(J449&lt;=$F449, "Yes", ""))</f>
        <v>0</v>
      </c>
      <c r="S449">
        <f>IF(R449="Yes", CEILING(MAX($G449, Q449-J449), $G449), 0)</f>
        <v>0</v>
      </c>
      <c r="T449">
        <f>IFERROR(J449/(O449/30),"")</f>
        <v>0</v>
      </c>
    </row>
    <row r="450" spans="10:20">
      <c r="J450">
        <f>IF($A450="","", SUMIFS(Mov_Qty, Mov_Item, $A450))</f>
        <v>0</v>
      </c>
      <c r="K450">
        <f>IF($A450="","", J450 * $E450)</f>
        <v>0</v>
      </c>
      <c r="L450">
        <f>IF($A450="","", SUMIFS(-Mov_Qty, Mov_Item, $A450, Mov_Type, "Consumption", Mov_Date, "&gt;="&amp;$V$2, Mov_Date, "&lt;="&amp;$W$2))</f>
        <v>0</v>
      </c>
      <c r="M450">
        <f>IF($A450="","", SUMIFS(-Mov_Qty, Mov_Item, $A450, Mov_Type, "Consumption", Mov_Date, "&gt;="&amp;$X$2, Mov_Date, "&lt;="&amp;$Y$2))</f>
        <v>0</v>
      </c>
      <c r="N450">
        <f>IF($A450="","", SUMIFS(-Mov_Qty, Mov_Item, $A450, Mov_Type, "Consumption", Mov_Date, "&gt;="&amp;$Z$2, Mov_Date, "&lt;="&amp;$AA$2))</f>
        <v>0</v>
      </c>
      <c r="O450">
        <f>IFERROR(AVERAGE(L450:N450),"")</f>
        <v>0</v>
      </c>
      <c r="P450">
        <f>IF(O450&gt;=Cfg_HiMove, "Yes", "")</f>
        <v>0</v>
      </c>
      <c r="Q450">
        <f>IF($A450="","", $I450 + IFERROR(O450/30*$H450,0))</f>
        <v>0</v>
      </c>
      <c r="R450">
        <f>IF($A450="","", IF(J450&lt;=$F450, "Yes", ""))</f>
        <v>0</v>
      </c>
      <c r="S450">
        <f>IF(R450="Yes", CEILING(MAX($G450, Q450-J450), $G450), 0)</f>
        <v>0</v>
      </c>
      <c r="T450">
        <f>IFERROR(J450/(O450/30),"")</f>
        <v>0</v>
      </c>
    </row>
    <row r="451" spans="10:20">
      <c r="J451">
        <f>IF($A451="","", SUMIFS(Mov_Qty, Mov_Item, $A451))</f>
        <v>0</v>
      </c>
      <c r="K451">
        <f>IF($A451="","", J451 * $E451)</f>
        <v>0</v>
      </c>
      <c r="L451">
        <f>IF($A451="","", SUMIFS(-Mov_Qty, Mov_Item, $A451, Mov_Type, "Consumption", Mov_Date, "&gt;="&amp;$V$2, Mov_Date, "&lt;="&amp;$W$2))</f>
        <v>0</v>
      </c>
      <c r="M451">
        <f>IF($A451="","", SUMIFS(-Mov_Qty, Mov_Item, $A451, Mov_Type, "Consumption", Mov_Date, "&gt;="&amp;$X$2, Mov_Date, "&lt;="&amp;$Y$2))</f>
        <v>0</v>
      </c>
      <c r="N451">
        <f>IF($A451="","", SUMIFS(-Mov_Qty, Mov_Item, $A451, Mov_Type, "Consumption", Mov_Date, "&gt;="&amp;$Z$2, Mov_Date, "&lt;="&amp;$AA$2))</f>
        <v>0</v>
      </c>
      <c r="O451">
        <f>IFERROR(AVERAGE(L451:N451),"")</f>
        <v>0</v>
      </c>
      <c r="P451">
        <f>IF(O451&gt;=Cfg_HiMove, "Yes", "")</f>
        <v>0</v>
      </c>
      <c r="Q451">
        <f>IF($A451="","", $I451 + IFERROR(O451/30*$H451,0))</f>
        <v>0</v>
      </c>
      <c r="R451">
        <f>IF($A451="","", IF(J451&lt;=$F451, "Yes", ""))</f>
        <v>0</v>
      </c>
      <c r="S451">
        <f>IF(R451="Yes", CEILING(MAX($G451, Q451-J451), $G451), 0)</f>
        <v>0</v>
      </c>
      <c r="T451">
        <f>IFERROR(J451/(O451/30),"")</f>
        <v>0</v>
      </c>
    </row>
    <row r="452" spans="10:20">
      <c r="J452">
        <f>IF($A452="","", SUMIFS(Mov_Qty, Mov_Item, $A452))</f>
        <v>0</v>
      </c>
      <c r="K452">
        <f>IF($A452="","", J452 * $E452)</f>
        <v>0</v>
      </c>
      <c r="L452">
        <f>IF($A452="","", SUMIFS(-Mov_Qty, Mov_Item, $A452, Mov_Type, "Consumption", Mov_Date, "&gt;="&amp;$V$2, Mov_Date, "&lt;="&amp;$W$2))</f>
        <v>0</v>
      </c>
      <c r="M452">
        <f>IF($A452="","", SUMIFS(-Mov_Qty, Mov_Item, $A452, Mov_Type, "Consumption", Mov_Date, "&gt;="&amp;$X$2, Mov_Date, "&lt;="&amp;$Y$2))</f>
        <v>0</v>
      </c>
      <c r="N452">
        <f>IF($A452="","", SUMIFS(-Mov_Qty, Mov_Item, $A452, Mov_Type, "Consumption", Mov_Date, "&gt;="&amp;$Z$2, Mov_Date, "&lt;="&amp;$AA$2))</f>
        <v>0</v>
      </c>
      <c r="O452">
        <f>IFERROR(AVERAGE(L452:N452),"")</f>
        <v>0</v>
      </c>
      <c r="P452">
        <f>IF(O452&gt;=Cfg_HiMove, "Yes", "")</f>
        <v>0</v>
      </c>
      <c r="Q452">
        <f>IF($A452="","", $I452 + IFERROR(O452/30*$H452,0))</f>
        <v>0</v>
      </c>
      <c r="R452">
        <f>IF($A452="","", IF(J452&lt;=$F452, "Yes", ""))</f>
        <v>0</v>
      </c>
      <c r="S452">
        <f>IF(R452="Yes", CEILING(MAX($G452, Q452-J452), $G452), 0)</f>
        <v>0</v>
      </c>
      <c r="T452">
        <f>IFERROR(J452/(O452/30),"")</f>
        <v>0</v>
      </c>
    </row>
    <row r="453" spans="10:20">
      <c r="J453">
        <f>IF($A453="","", SUMIFS(Mov_Qty, Mov_Item, $A453))</f>
        <v>0</v>
      </c>
      <c r="K453">
        <f>IF($A453="","", J453 * $E453)</f>
        <v>0</v>
      </c>
      <c r="L453">
        <f>IF($A453="","", SUMIFS(-Mov_Qty, Mov_Item, $A453, Mov_Type, "Consumption", Mov_Date, "&gt;="&amp;$V$2, Mov_Date, "&lt;="&amp;$W$2))</f>
        <v>0</v>
      </c>
      <c r="M453">
        <f>IF($A453="","", SUMIFS(-Mov_Qty, Mov_Item, $A453, Mov_Type, "Consumption", Mov_Date, "&gt;="&amp;$X$2, Mov_Date, "&lt;="&amp;$Y$2))</f>
        <v>0</v>
      </c>
      <c r="N453">
        <f>IF($A453="","", SUMIFS(-Mov_Qty, Mov_Item, $A453, Mov_Type, "Consumption", Mov_Date, "&gt;="&amp;$Z$2, Mov_Date, "&lt;="&amp;$AA$2))</f>
        <v>0</v>
      </c>
      <c r="O453">
        <f>IFERROR(AVERAGE(L453:N453),"")</f>
        <v>0</v>
      </c>
      <c r="P453">
        <f>IF(O453&gt;=Cfg_HiMove, "Yes", "")</f>
        <v>0</v>
      </c>
      <c r="Q453">
        <f>IF($A453="","", $I453 + IFERROR(O453/30*$H453,0))</f>
        <v>0</v>
      </c>
      <c r="R453">
        <f>IF($A453="","", IF(J453&lt;=$F453, "Yes", ""))</f>
        <v>0</v>
      </c>
      <c r="S453">
        <f>IF(R453="Yes", CEILING(MAX($G453, Q453-J453), $G453), 0)</f>
        <v>0</v>
      </c>
      <c r="T453">
        <f>IFERROR(J453/(O453/30),"")</f>
        <v>0</v>
      </c>
    </row>
    <row r="454" spans="10:20">
      <c r="J454">
        <f>IF($A454="","", SUMIFS(Mov_Qty, Mov_Item, $A454))</f>
        <v>0</v>
      </c>
      <c r="K454">
        <f>IF($A454="","", J454 * $E454)</f>
        <v>0</v>
      </c>
      <c r="L454">
        <f>IF($A454="","", SUMIFS(-Mov_Qty, Mov_Item, $A454, Mov_Type, "Consumption", Mov_Date, "&gt;="&amp;$V$2, Mov_Date, "&lt;="&amp;$W$2))</f>
        <v>0</v>
      </c>
      <c r="M454">
        <f>IF($A454="","", SUMIFS(-Mov_Qty, Mov_Item, $A454, Mov_Type, "Consumption", Mov_Date, "&gt;="&amp;$X$2, Mov_Date, "&lt;="&amp;$Y$2))</f>
        <v>0</v>
      </c>
      <c r="N454">
        <f>IF($A454="","", SUMIFS(-Mov_Qty, Mov_Item, $A454, Mov_Type, "Consumption", Mov_Date, "&gt;="&amp;$Z$2, Mov_Date, "&lt;="&amp;$AA$2))</f>
        <v>0</v>
      </c>
      <c r="O454">
        <f>IFERROR(AVERAGE(L454:N454),"")</f>
        <v>0</v>
      </c>
      <c r="P454">
        <f>IF(O454&gt;=Cfg_HiMove, "Yes", "")</f>
        <v>0</v>
      </c>
      <c r="Q454">
        <f>IF($A454="","", $I454 + IFERROR(O454/30*$H454,0))</f>
        <v>0</v>
      </c>
      <c r="R454">
        <f>IF($A454="","", IF(J454&lt;=$F454, "Yes", ""))</f>
        <v>0</v>
      </c>
      <c r="S454">
        <f>IF(R454="Yes", CEILING(MAX($G454, Q454-J454), $G454), 0)</f>
        <v>0</v>
      </c>
      <c r="T454">
        <f>IFERROR(J454/(O454/30),"")</f>
        <v>0</v>
      </c>
    </row>
    <row r="455" spans="10:20">
      <c r="J455">
        <f>IF($A455="","", SUMIFS(Mov_Qty, Mov_Item, $A455))</f>
        <v>0</v>
      </c>
      <c r="K455">
        <f>IF($A455="","", J455 * $E455)</f>
        <v>0</v>
      </c>
      <c r="L455">
        <f>IF($A455="","", SUMIFS(-Mov_Qty, Mov_Item, $A455, Mov_Type, "Consumption", Mov_Date, "&gt;="&amp;$V$2, Mov_Date, "&lt;="&amp;$W$2))</f>
        <v>0</v>
      </c>
      <c r="M455">
        <f>IF($A455="","", SUMIFS(-Mov_Qty, Mov_Item, $A455, Mov_Type, "Consumption", Mov_Date, "&gt;="&amp;$X$2, Mov_Date, "&lt;="&amp;$Y$2))</f>
        <v>0</v>
      </c>
      <c r="N455">
        <f>IF($A455="","", SUMIFS(-Mov_Qty, Mov_Item, $A455, Mov_Type, "Consumption", Mov_Date, "&gt;="&amp;$Z$2, Mov_Date, "&lt;="&amp;$AA$2))</f>
        <v>0</v>
      </c>
      <c r="O455">
        <f>IFERROR(AVERAGE(L455:N455),"")</f>
        <v>0</v>
      </c>
      <c r="P455">
        <f>IF(O455&gt;=Cfg_HiMove, "Yes", "")</f>
        <v>0</v>
      </c>
      <c r="Q455">
        <f>IF($A455="","", $I455 + IFERROR(O455/30*$H455,0))</f>
        <v>0</v>
      </c>
      <c r="R455">
        <f>IF($A455="","", IF(J455&lt;=$F455, "Yes", ""))</f>
        <v>0</v>
      </c>
      <c r="S455">
        <f>IF(R455="Yes", CEILING(MAX($G455, Q455-J455), $G455), 0)</f>
        <v>0</v>
      </c>
      <c r="T455">
        <f>IFERROR(J455/(O455/30),"")</f>
        <v>0</v>
      </c>
    </row>
    <row r="456" spans="10:20">
      <c r="J456">
        <f>IF($A456="","", SUMIFS(Mov_Qty, Mov_Item, $A456))</f>
        <v>0</v>
      </c>
      <c r="K456">
        <f>IF($A456="","", J456 * $E456)</f>
        <v>0</v>
      </c>
      <c r="L456">
        <f>IF($A456="","", SUMIFS(-Mov_Qty, Mov_Item, $A456, Mov_Type, "Consumption", Mov_Date, "&gt;="&amp;$V$2, Mov_Date, "&lt;="&amp;$W$2))</f>
        <v>0</v>
      </c>
      <c r="M456">
        <f>IF($A456="","", SUMIFS(-Mov_Qty, Mov_Item, $A456, Mov_Type, "Consumption", Mov_Date, "&gt;="&amp;$X$2, Mov_Date, "&lt;="&amp;$Y$2))</f>
        <v>0</v>
      </c>
      <c r="N456">
        <f>IF($A456="","", SUMIFS(-Mov_Qty, Mov_Item, $A456, Mov_Type, "Consumption", Mov_Date, "&gt;="&amp;$Z$2, Mov_Date, "&lt;="&amp;$AA$2))</f>
        <v>0</v>
      </c>
      <c r="O456">
        <f>IFERROR(AVERAGE(L456:N456),"")</f>
        <v>0</v>
      </c>
      <c r="P456">
        <f>IF(O456&gt;=Cfg_HiMove, "Yes", "")</f>
        <v>0</v>
      </c>
      <c r="Q456">
        <f>IF($A456="","", $I456 + IFERROR(O456/30*$H456,0))</f>
        <v>0</v>
      </c>
      <c r="R456">
        <f>IF($A456="","", IF(J456&lt;=$F456, "Yes", ""))</f>
        <v>0</v>
      </c>
      <c r="S456">
        <f>IF(R456="Yes", CEILING(MAX($G456, Q456-J456), $G456), 0)</f>
        <v>0</v>
      </c>
      <c r="T456">
        <f>IFERROR(J456/(O456/30),"")</f>
        <v>0</v>
      </c>
    </row>
    <row r="457" spans="10:20">
      <c r="J457">
        <f>IF($A457="","", SUMIFS(Mov_Qty, Mov_Item, $A457))</f>
        <v>0</v>
      </c>
      <c r="K457">
        <f>IF($A457="","", J457 * $E457)</f>
        <v>0</v>
      </c>
      <c r="L457">
        <f>IF($A457="","", SUMIFS(-Mov_Qty, Mov_Item, $A457, Mov_Type, "Consumption", Mov_Date, "&gt;="&amp;$V$2, Mov_Date, "&lt;="&amp;$W$2))</f>
        <v>0</v>
      </c>
      <c r="M457">
        <f>IF($A457="","", SUMIFS(-Mov_Qty, Mov_Item, $A457, Mov_Type, "Consumption", Mov_Date, "&gt;="&amp;$X$2, Mov_Date, "&lt;="&amp;$Y$2))</f>
        <v>0</v>
      </c>
      <c r="N457">
        <f>IF($A457="","", SUMIFS(-Mov_Qty, Mov_Item, $A457, Mov_Type, "Consumption", Mov_Date, "&gt;="&amp;$Z$2, Mov_Date, "&lt;="&amp;$AA$2))</f>
        <v>0</v>
      </c>
      <c r="O457">
        <f>IFERROR(AVERAGE(L457:N457),"")</f>
        <v>0</v>
      </c>
      <c r="P457">
        <f>IF(O457&gt;=Cfg_HiMove, "Yes", "")</f>
        <v>0</v>
      </c>
      <c r="Q457">
        <f>IF($A457="","", $I457 + IFERROR(O457/30*$H457,0))</f>
        <v>0</v>
      </c>
      <c r="R457">
        <f>IF($A457="","", IF(J457&lt;=$F457, "Yes", ""))</f>
        <v>0</v>
      </c>
      <c r="S457">
        <f>IF(R457="Yes", CEILING(MAX($G457, Q457-J457), $G457), 0)</f>
        <v>0</v>
      </c>
      <c r="T457">
        <f>IFERROR(J457/(O457/30),"")</f>
        <v>0</v>
      </c>
    </row>
    <row r="458" spans="10:20">
      <c r="J458">
        <f>IF($A458="","", SUMIFS(Mov_Qty, Mov_Item, $A458))</f>
        <v>0</v>
      </c>
      <c r="K458">
        <f>IF($A458="","", J458 * $E458)</f>
        <v>0</v>
      </c>
      <c r="L458">
        <f>IF($A458="","", SUMIFS(-Mov_Qty, Mov_Item, $A458, Mov_Type, "Consumption", Mov_Date, "&gt;="&amp;$V$2, Mov_Date, "&lt;="&amp;$W$2))</f>
        <v>0</v>
      </c>
      <c r="M458">
        <f>IF($A458="","", SUMIFS(-Mov_Qty, Mov_Item, $A458, Mov_Type, "Consumption", Mov_Date, "&gt;="&amp;$X$2, Mov_Date, "&lt;="&amp;$Y$2))</f>
        <v>0</v>
      </c>
      <c r="N458">
        <f>IF($A458="","", SUMIFS(-Mov_Qty, Mov_Item, $A458, Mov_Type, "Consumption", Mov_Date, "&gt;="&amp;$Z$2, Mov_Date, "&lt;="&amp;$AA$2))</f>
        <v>0</v>
      </c>
      <c r="O458">
        <f>IFERROR(AVERAGE(L458:N458),"")</f>
        <v>0</v>
      </c>
      <c r="P458">
        <f>IF(O458&gt;=Cfg_HiMove, "Yes", "")</f>
        <v>0</v>
      </c>
      <c r="Q458">
        <f>IF($A458="","", $I458 + IFERROR(O458/30*$H458,0))</f>
        <v>0</v>
      </c>
      <c r="R458">
        <f>IF($A458="","", IF(J458&lt;=$F458, "Yes", ""))</f>
        <v>0</v>
      </c>
      <c r="S458">
        <f>IF(R458="Yes", CEILING(MAX($G458, Q458-J458), $G458), 0)</f>
        <v>0</v>
      </c>
      <c r="T458">
        <f>IFERROR(J458/(O458/30),"")</f>
        <v>0</v>
      </c>
    </row>
    <row r="459" spans="10:20">
      <c r="J459">
        <f>IF($A459="","", SUMIFS(Mov_Qty, Mov_Item, $A459))</f>
        <v>0</v>
      </c>
      <c r="K459">
        <f>IF($A459="","", J459 * $E459)</f>
        <v>0</v>
      </c>
      <c r="L459">
        <f>IF($A459="","", SUMIFS(-Mov_Qty, Mov_Item, $A459, Mov_Type, "Consumption", Mov_Date, "&gt;="&amp;$V$2, Mov_Date, "&lt;="&amp;$W$2))</f>
        <v>0</v>
      </c>
      <c r="M459">
        <f>IF($A459="","", SUMIFS(-Mov_Qty, Mov_Item, $A459, Mov_Type, "Consumption", Mov_Date, "&gt;="&amp;$X$2, Mov_Date, "&lt;="&amp;$Y$2))</f>
        <v>0</v>
      </c>
      <c r="N459">
        <f>IF($A459="","", SUMIFS(-Mov_Qty, Mov_Item, $A459, Mov_Type, "Consumption", Mov_Date, "&gt;="&amp;$Z$2, Mov_Date, "&lt;="&amp;$AA$2))</f>
        <v>0</v>
      </c>
      <c r="O459">
        <f>IFERROR(AVERAGE(L459:N459),"")</f>
        <v>0</v>
      </c>
      <c r="P459">
        <f>IF(O459&gt;=Cfg_HiMove, "Yes", "")</f>
        <v>0</v>
      </c>
      <c r="Q459">
        <f>IF($A459="","", $I459 + IFERROR(O459/30*$H459,0))</f>
        <v>0</v>
      </c>
      <c r="R459">
        <f>IF($A459="","", IF(J459&lt;=$F459, "Yes", ""))</f>
        <v>0</v>
      </c>
      <c r="S459">
        <f>IF(R459="Yes", CEILING(MAX($G459, Q459-J459), $G459), 0)</f>
        <v>0</v>
      </c>
      <c r="T459">
        <f>IFERROR(J459/(O459/30),"")</f>
        <v>0</v>
      </c>
    </row>
    <row r="460" spans="10:20">
      <c r="J460">
        <f>IF($A460="","", SUMIFS(Mov_Qty, Mov_Item, $A460))</f>
        <v>0</v>
      </c>
      <c r="K460">
        <f>IF($A460="","", J460 * $E460)</f>
        <v>0</v>
      </c>
      <c r="L460">
        <f>IF($A460="","", SUMIFS(-Mov_Qty, Mov_Item, $A460, Mov_Type, "Consumption", Mov_Date, "&gt;="&amp;$V$2, Mov_Date, "&lt;="&amp;$W$2))</f>
        <v>0</v>
      </c>
      <c r="M460">
        <f>IF($A460="","", SUMIFS(-Mov_Qty, Mov_Item, $A460, Mov_Type, "Consumption", Mov_Date, "&gt;="&amp;$X$2, Mov_Date, "&lt;="&amp;$Y$2))</f>
        <v>0</v>
      </c>
      <c r="N460">
        <f>IF($A460="","", SUMIFS(-Mov_Qty, Mov_Item, $A460, Mov_Type, "Consumption", Mov_Date, "&gt;="&amp;$Z$2, Mov_Date, "&lt;="&amp;$AA$2))</f>
        <v>0</v>
      </c>
      <c r="O460">
        <f>IFERROR(AVERAGE(L460:N460),"")</f>
        <v>0</v>
      </c>
      <c r="P460">
        <f>IF(O460&gt;=Cfg_HiMove, "Yes", "")</f>
        <v>0</v>
      </c>
      <c r="Q460">
        <f>IF($A460="","", $I460 + IFERROR(O460/30*$H460,0))</f>
        <v>0</v>
      </c>
      <c r="R460">
        <f>IF($A460="","", IF(J460&lt;=$F460, "Yes", ""))</f>
        <v>0</v>
      </c>
      <c r="S460">
        <f>IF(R460="Yes", CEILING(MAX($G460, Q460-J460), $G460), 0)</f>
        <v>0</v>
      </c>
      <c r="T460">
        <f>IFERROR(J460/(O460/30),"")</f>
        <v>0</v>
      </c>
    </row>
    <row r="461" spans="10:20">
      <c r="J461">
        <f>IF($A461="","", SUMIFS(Mov_Qty, Mov_Item, $A461))</f>
        <v>0</v>
      </c>
      <c r="K461">
        <f>IF($A461="","", J461 * $E461)</f>
        <v>0</v>
      </c>
      <c r="L461">
        <f>IF($A461="","", SUMIFS(-Mov_Qty, Mov_Item, $A461, Mov_Type, "Consumption", Mov_Date, "&gt;="&amp;$V$2, Mov_Date, "&lt;="&amp;$W$2))</f>
        <v>0</v>
      </c>
      <c r="M461">
        <f>IF($A461="","", SUMIFS(-Mov_Qty, Mov_Item, $A461, Mov_Type, "Consumption", Mov_Date, "&gt;="&amp;$X$2, Mov_Date, "&lt;="&amp;$Y$2))</f>
        <v>0</v>
      </c>
      <c r="N461">
        <f>IF($A461="","", SUMIFS(-Mov_Qty, Mov_Item, $A461, Mov_Type, "Consumption", Mov_Date, "&gt;="&amp;$Z$2, Mov_Date, "&lt;="&amp;$AA$2))</f>
        <v>0</v>
      </c>
      <c r="O461">
        <f>IFERROR(AVERAGE(L461:N461),"")</f>
        <v>0</v>
      </c>
      <c r="P461">
        <f>IF(O461&gt;=Cfg_HiMove, "Yes", "")</f>
        <v>0</v>
      </c>
      <c r="Q461">
        <f>IF($A461="","", $I461 + IFERROR(O461/30*$H461,0))</f>
        <v>0</v>
      </c>
      <c r="R461">
        <f>IF($A461="","", IF(J461&lt;=$F461, "Yes", ""))</f>
        <v>0</v>
      </c>
      <c r="S461">
        <f>IF(R461="Yes", CEILING(MAX($G461, Q461-J461), $G461), 0)</f>
        <v>0</v>
      </c>
      <c r="T461">
        <f>IFERROR(J461/(O461/30),"")</f>
        <v>0</v>
      </c>
    </row>
    <row r="462" spans="10:20">
      <c r="J462">
        <f>IF($A462="","", SUMIFS(Mov_Qty, Mov_Item, $A462))</f>
        <v>0</v>
      </c>
      <c r="K462">
        <f>IF($A462="","", J462 * $E462)</f>
        <v>0</v>
      </c>
      <c r="L462">
        <f>IF($A462="","", SUMIFS(-Mov_Qty, Mov_Item, $A462, Mov_Type, "Consumption", Mov_Date, "&gt;="&amp;$V$2, Mov_Date, "&lt;="&amp;$W$2))</f>
        <v>0</v>
      </c>
      <c r="M462">
        <f>IF($A462="","", SUMIFS(-Mov_Qty, Mov_Item, $A462, Mov_Type, "Consumption", Mov_Date, "&gt;="&amp;$X$2, Mov_Date, "&lt;="&amp;$Y$2))</f>
        <v>0</v>
      </c>
      <c r="N462">
        <f>IF($A462="","", SUMIFS(-Mov_Qty, Mov_Item, $A462, Mov_Type, "Consumption", Mov_Date, "&gt;="&amp;$Z$2, Mov_Date, "&lt;="&amp;$AA$2))</f>
        <v>0</v>
      </c>
      <c r="O462">
        <f>IFERROR(AVERAGE(L462:N462),"")</f>
        <v>0</v>
      </c>
      <c r="P462">
        <f>IF(O462&gt;=Cfg_HiMove, "Yes", "")</f>
        <v>0</v>
      </c>
      <c r="Q462">
        <f>IF($A462="","", $I462 + IFERROR(O462/30*$H462,0))</f>
        <v>0</v>
      </c>
      <c r="R462">
        <f>IF($A462="","", IF(J462&lt;=$F462, "Yes", ""))</f>
        <v>0</v>
      </c>
      <c r="S462">
        <f>IF(R462="Yes", CEILING(MAX($G462, Q462-J462), $G462), 0)</f>
        <v>0</v>
      </c>
      <c r="T462">
        <f>IFERROR(J462/(O462/30),"")</f>
        <v>0</v>
      </c>
    </row>
    <row r="463" spans="10:20">
      <c r="J463">
        <f>IF($A463="","", SUMIFS(Mov_Qty, Mov_Item, $A463))</f>
        <v>0</v>
      </c>
      <c r="K463">
        <f>IF($A463="","", J463 * $E463)</f>
        <v>0</v>
      </c>
      <c r="L463">
        <f>IF($A463="","", SUMIFS(-Mov_Qty, Mov_Item, $A463, Mov_Type, "Consumption", Mov_Date, "&gt;="&amp;$V$2, Mov_Date, "&lt;="&amp;$W$2))</f>
        <v>0</v>
      </c>
      <c r="M463">
        <f>IF($A463="","", SUMIFS(-Mov_Qty, Mov_Item, $A463, Mov_Type, "Consumption", Mov_Date, "&gt;="&amp;$X$2, Mov_Date, "&lt;="&amp;$Y$2))</f>
        <v>0</v>
      </c>
      <c r="N463">
        <f>IF($A463="","", SUMIFS(-Mov_Qty, Mov_Item, $A463, Mov_Type, "Consumption", Mov_Date, "&gt;="&amp;$Z$2, Mov_Date, "&lt;="&amp;$AA$2))</f>
        <v>0</v>
      </c>
      <c r="O463">
        <f>IFERROR(AVERAGE(L463:N463),"")</f>
        <v>0</v>
      </c>
      <c r="P463">
        <f>IF(O463&gt;=Cfg_HiMove, "Yes", "")</f>
        <v>0</v>
      </c>
      <c r="Q463">
        <f>IF($A463="","", $I463 + IFERROR(O463/30*$H463,0))</f>
        <v>0</v>
      </c>
      <c r="R463">
        <f>IF($A463="","", IF(J463&lt;=$F463, "Yes", ""))</f>
        <v>0</v>
      </c>
      <c r="S463">
        <f>IF(R463="Yes", CEILING(MAX($G463, Q463-J463), $G463), 0)</f>
        <v>0</v>
      </c>
      <c r="T463">
        <f>IFERROR(J463/(O463/30),"")</f>
        <v>0</v>
      </c>
    </row>
    <row r="464" spans="10:20">
      <c r="J464">
        <f>IF($A464="","", SUMIFS(Mov_Qty, Mov_Item, $A464))</f>
        <v>0</v>
      </c>
      <c r="K464">
        <f>IF($A464="","", J464 * $E464)</f>
        <v>0</v>
      </c>
      <c r="L464">
        <f>IF($A464="","", SUMIFS(-Mov_Qty, Mov_Item, $A464, Mov_Type, "Consumption", Mov_Date, "&gt;="&amp;$V$2, Mov_Date, "&lt;="&amp;$W$2))</f>
        <v>0</v>
      </c>
      <c r="M464">
        <f>IF($A464="","", SUMIFS(-Mov_Qty, Mov_Item, $A464, Mov_Type, "Consumption", Mov_Date, "&gt;="&amp;$X$2, Mov_Date, "&lt;="&amp;$Y$2))</f>
        <v>0</v>
      </c>
      <c r="N464">
        <f>IF($A464="","", SUMIFS(-Mov_Qty, Mov_Item, $A464, Mov_Type, "Consumption", Mov_Date, "&gt;="&amp;$Z$2, Mov_Date, "&lt;="&amp;$AA$2))</f>
        <v>0</v>
      </c>
      <c r="O464">
        <f>IFERROR(AVERAGE(L464:N464),"")</f>
        <v>0</v>
      </c>
      <c r="P464">
        <f>IF(O464&gt;=Cfg_HiMove, "Yes", "")</f>
        <v>0</v>
      </c>
      <c r="Q464">
        <f>IF($A464="","", $I464 + IFERROR(O464/30*$H464,0))</f>
        <v>0</v>
      </c>
      <c r="R464">
        <f>IF($A464="","", IF(J464&lt;=$F464, "Yes", ""))</f>
        <v>0</v>
      </c>
      <c r="S464">
        <f>IF(R464="Yes", CEILING(MAX($G464, Q464-J464), $G464), 0)</f>
        <v>0</v>
      </c>
      <c r="T464">
        <f>IFERROR(J464/(O464/30),"")</f>
        <v>0</v>
      </c>
    </row>
    <row r="465" spans="10:20">
      <c r="J465">
        <f>IF($A465="","", SUMIFS(Mov_Qty, Mov_Item, $A465))</f>
        <v>0</v>
      </c>
      <c r="K465">
        <f>IF($A465="","", J465 * $E465)</f>
        <v>0</v>
      </c>
      <c r="L465">
        <f>IF($A465="","", SUMIFS(-Mov_Qty, Mov_Item, $A465, Mov_Type, "Consumption", Mov_Date, "&gt;="&amp;$V$2, Mov_Date, "&lt;="&amp;$W$2))</f>
        <v>0</v>
      </c>
      <c r="M465">
        <f>IF($A465="","", SUMIFS(-Mov_Qty, Mov_Item, $A465, Mov_Type, "Consumption", Mov_Date, "&gt;="&amp;$X$2, Mov_Date, "&lt;="&amp;$Y$2))</f>
        <v>0</v>
      </c>
      <c r="N465">
        <f>IF($A465="","", SUMIFS(-Mov_Qty, Mov_Item, $A465, Mov_Type, "Consumption", Mov_Date, "&gt;="&amp;$Z$2, Mov_Date, "&lt;="&amp;$AA$2))</f>
        <v>0</v>
      </c>
      <c r="O465">
        <f>IFERROR(AVERAGE(L465:N465),"")</f>
        <v>0</v>
      </c>
      <c r="P465">
        <f>IF(O465&gt;=Cfg_HiMove, "Yes", "")</f>
        <v>0</v>
      </c>
      <c r="Q465">
        <f>IF($A465="","", $I465 + IFERROR(O465/30*$H465,0))</f>
        <v>0</v>
      </c>
      <c r="R465">
        <f>IF($A465="","", IF(J465&lt;=$F465, "Yes", ""))</f>
        <v>0</v>
      </c>
      <c r="S465">
        <f>IF(R465="Yes", CEILING(MAX($G465, Q465-J465), $G465), 0)</f>
        <v>0</v>
      </c>
      <c r="T465">
        <f>IFERROR(J465/(O465/30),"")</f>
        <v>0</v>
      </c>
    </row>
    <row r="466" spans="10:20">
      <c r="J466">
        <f>IF($A466="","", SUMIFS(Mov_Qty, Mov_Item, $A466))</f>
        <v>0</v>
      </c>
      <c r="K466">
        <f>IF($A466="","", J466 * $E466)</f>
        <v>0</v>
      </c>
      <c r="L466">
        <f>IF($A466="","", SUMIFS(-Mov_Qty, Mov_Item, $A466, Mov_Type, "Consumption", Mov_Date, "&gt;="&amp;$V$2, Mov_Date, "&lt;="&amp;$W$2))</f>
        <v>0</v>
      </c>
      <c r="M466">
        <f>IF($A466="","", SUMIFS(-Mov_Qty, Mov_Item, $A466, Mov_Type, "Consumption", Mov_Date, "&gt;="&amp;$X$2, Mov_Date, "&lt;="&amp;$Y$2))</f>
        <v>0</v>
      </c>
      <c r="N466">
        <f>IF($A466="","", SUMIFS(-Mov_Qty, Mov_Item, $A466, Mov_Type, "Consumption", Mov_Date, "&gt;="&amp;$Z$2, Mov_Date, "&lt;="&amp;$AA$2))</f>
        <v>0</v>
      </c>
      <c r="O466">
        <f>IFERROR(AVERAGE(L466:N466),"")</f>
        <v>0</v>
      </c>
      <c r="P466">
        <f>IF(O466&gt;=Cfg_HiMove, "Yes", "")</f>
        <v>0</v>
      </c>
      <c r="Q466">
        <f>IF($A466="","", $I466 + IFERROR(O466/30*$H466,0))</f>
        <v>0</v>
      </c>
      <c r="R466">
        <f>IF($A466="","", IF(J466&lt;=$F466, "Yes", ""))</f>
        <v>0</v>
      </c>
      <c r="S466">
        <f>IF(R466="Yes", CEILING(MAX($G466, Q466-J466), $G466), 0)</f>
        <v>0</v>
      </c>
      <c r="T466">
        <f>IFERROR(J466/(O466/30),"")</f>
        <v>0</v>
      </c>
    </row>
    <row r="467" spans="10:20">
      <c r="J467">
        <f>IF($A467="","", SUMIFS(Mov_Qty, Mov_Item, $A467))</f>
        <v>0</v>
      </c>
      <c r="K467">
        <f>IF($A467="","", J467 * $E467)</f>
        <v>0</v>
      </c>
      <c r="L467">
        <f>IF($A467="","", SUMIFS(-Mov_Qty, Mov_Item, $A467, Mov_Type, "Consumption", Mov_Date, "&gt;="&amp;$V$2, Mov_Date, "&lt;="&amp;$W$2))</f>
        <v>0</v>
      </c>
      <c r="M467">
        <f>IF($A467="","", SUMIFS(-Mov_Qty, Mov_Item, $A467, Mov_Type, "Consumption", Mov_Date, "&gt;="&amp;$X$2, Mov_Date, "&lt;="&amp;$Y$2))</f>
        <v>0</v>
      </c>
      <c r="N467">
        <f>IF($A467="","", SUMIFS(-Mov_Qty, Mov_Item, $A467, Mov_Type, "Consumption", Mov_Date, "&gt;="&amp;$Z$2, Mov_Date, "&lt;="&amp;$AA$2))</f>
        <v>0</v>
      </c>
      <c r="O467">
        <f>IFERROR(AVERAGE(L467:N467),"")</f>
        <v>0</v>
      </c>
      <c r="P467">
        <f>IF(O467&gt;=Cfg_HiMove, "Yes", "")</f>
        <v>0</v>
      </c>
      <c r="Q467">
        <f>IF($A467="","", $I467 + IFERROR(O467/30*$H467,0))</f>
        <v>0</v>
      </c>
      <c r="R467">
        <f>IF($A467="","", IF(J467&lt;=$F467, "Yes", ""))</f>
        <v>0</v>
      </c>
      <c r="S467">
        <f>IF(R467="Yes", CEILING(MAX($G467, Q467-J467), $G467), 0)</f>
        <v>0</v>
      </c>
      <c r="T467">
        <f>IFERROR(J467/(O467/30),"")</f>
        <v>0</v>
      </c>
    </row>
    <row r="468" spans="10:20">
      <c r="J468">
        <f>IF($A468="","", SUMIFS(Mov_Qty, Mov_Item, $A468))</f>
        <v>0</v>
      </c>
      <c r="K468">
        <f>IF($A468="","", J468 * $E468)</f>
        <v>0</v>
      </c>
      <c r="L468">
        <f>IF($A468="","", SUMIFS(-Mov_Qty, Mov_Item, $A468, Mov_Type, "Consumption", Mov_Date, "&gt;="&amp;$V$2, Mov_Date, "&lt;="&amp;$W$2))</f>
        <v>0</v>
      </c>
      <c r="M468">
        <f>IF($A468="","", SUMIFS(-Mov_Qty, Mov_Item, $A468, Mov_Type, "Consumption", Mov_Date, "&gt;="&amp;$X$2, Mov_Date, "&lt;="&amp;$Y$2))</f>
        <v>0</v>
      </c>
      <c r="N468">
        <f>IF($A468="","", SUMIFS(-Mov_Qty, Mov_Item, $A468, Mov_Type, "Consumption", Mov_Date, "&gt;="&amp;$Z$2, Mov_Date, "&lt;="&amp;$AA$2))</f>
        <v>0</v>
      </c>
      <c r="O468">
        <f>IFERROR(AVERAGE(L468:N468),"")</f>
        <v>0</v>
      </c>
      <c r="P468">
        <f>IF(O468&gt;=Cfg_HiMove, "Yes", "")</f>
        <v>0</v>
      </c>
      <c r="Q468">
        <f>IF($A468="","", $I468 + IFERROR(O468/30*$H468,0))</f>
        <v>0</v>
      </c>
      <c r="R468">
        <f>IF($A468="","", IF(J468&lt;=$F468, "Yes", ""))</f>
        <v>0</v>
      </c>
      <c r="S468">
        <f>IF(R468="Yes", CEILING(MAX($G468, Q468-J468), $G468), 0)</f>
        <v>0</v>
      </c>
      <c r="T468">
        <f>IFERROR(J468/(O468/30),"")</f>
        <v>0</v>
      </c>
    </row>
    <row r="469" spans="10:20">
      <c r="J469">
        <f>IF($A469="","", SUMIFS(Mov_Qty, Mov_Item, $A469))</f>
        <v>0</v>
      </c>
      <c r="K469">
        <f>IF($A469="","", J469 * $E469)</f>
        <v>0</v>
      </c>
      <c r="L469">
        <f>IF($A469="","", SUMIFS(-Mov_Qty, Mov_Item, $A469, Mov_Type, "Consumption", Mov_Date, "&gt;="&amp;$V$2, Mov_Date, "&lt;="&amp;$W$2))</f>
        <v>0</v>
      </c>
      <c r="M469">
        <f>IF($A469="","", SUMIFS(-Mov_Qty, Mov_Item, $A469, Mov_Type, "Consumption", Mov_Date, "&gt;="&amp;$X$2, Mov_Date, "&lt;="&amp;$Y$2))</f>
        <v>0</v>
      </c>
      <c r="N469">
        <f>IF($A469="","", SUMIFS(-Mov_Qty, Mov_Item, $A469, Mov_Type, "Consumption", Mov_Date, "&gt;="&amp;$Z$2, Mov_Date, "&lt;="&amp;$AA$2))</f>
        <v>0</v>
      </c>
      <c r="O469">
        <f>IFERROR(AVERAGE(L469:N469),"")</f>
        <v>0</v>
      </c>
      <c r="P469">
        <f>IF(O469&gt;=Cfg_HiMove, "Yes", "")</f>
        <v>0</v>
      </c>
      <c r="Q469">
        <f>IF($A469="","", $I469 + IFERROR(O469/30*$H469,0))</f>
        <v>0</v>
      </c>
      <c r="R469">
        <f>IF($A469="","", IF(J469&lt;=$F469, "Yes", ""))</f>
        <v>0</v>
      </c>
      <c r="S469">
        <f>IF(R469="Yes", CEILING(MAX($G469, Q469-J469), $G469), 0)</f>
        <v>0</v>
      </c>
      <c r="T469">
        <f>IFERROR(J469/(O469/30),"")</f>
        <v>0</v>
      </c>
    </row>
    <row r="470" spans="10:20">
      <c r="J470">
        <f>IF($A470="","", SUMIFS(Mov_Qty, Mov_Item, $A470))</f>
        <v>0</v>
      </c>
      <c r="K470">
        <f>IF($A470="","", J470 * $E470)</f>
        <v>0</v>
      </c>
      <c r="L470">
        <f>IF($A470="","", SUMIFS(-Mov_Qty, Mov_Item, $A470, Mov_Type, "Consumption", Mov_Date, "&gt;="&amp;$V$2, Mov_Date, "&lt;="&amp;$W$2))</f>
        <v>0</v>
      </c>
      <c r="M470">
        <f>IF($A470="","", SUMIFS(-Mov_Qty, Mov_Item, $A470, Mov_Type, "Consumption", Mov_Date, "&gt;="&amp;$X$2, Mov_Date, "&lt;="&amp;$Y$2))</f>
        <v>0</v>
      </c>
      <c r="N470">
        <f>IF($A470="","", SUMIFS(-Mov_Qty, Mov_Item, $A470, Mov_Type, "Consumption", Mov_Date, "&gt;="&amp;$Z$2, Mov_Date, "&lt;="&amp;$AA$2))</f>
        <v>0</v>
      </c>
      <c r="O470">
        <f>IFERROR(AVERAGE(L470:N470),"")</f>
        <v>0</v>
      </c>
      <c r="P470">
        <f>IF(O470&gt;=Cfg_HiMove, "Yes", "")</f>
        <v>0</v>
      </c>
      <c r="Q470">
        <f>IF($A470="","", $I470 + IFERROR(O470/30*$H470,0))</f>
        <v>0</v>
      </c>
      <c r="R470">
        <f>IF($A470="","", IF(J470&lt;=$F470, "Yes", ""))</f>
        <v>0</v>
      </c>
      <c r="S470">
        <f>IF(R470="Yes", CEILING(MAX($G470, Q470-J470), $G470), 0)</f>
        <v>0</v>
      </c>
      <c r="T470">
        <f>IFERROR(J470/(O470/30),"")</f>
        <v>0</v>
      </c>
    </row>
    <row r="471" spans="10:20">
      <c r="J471">
        <f>IF($A471="","", SUMIFS(Mov_Qty, Mov_Item, $A471))</f>
        <v>0</v>
      </c>
      <c r="K471">
        <f>IF($A471="","", J471 * $E471)</f>
        <v>0</v>
      </c>
      <c r="L471">
        <f>IF($A471="","", SUMIFS(-Mov_Qty, Mov_Item, $A471, Mov_Type, "Consumption", Mov_Date, "&gt;="&amp;$V$2, Mov_Date, "&lt;="&amp;$W$2))</f>
        <v>0</v>
      </c>
      <c r="M471">
        <f>IF($A471="","", SUMIFS(-Mov_Qty, Mov_Item, $A471, Mov_Type, "Consumption", Mov_Date, "&gt;="&amp;$X$2, Mov_Date, "&lt;="&amp;$Y$2))</f>
        <v>0</v>
      </c>
      <c r="N471">
        <f>IF($A471="","", SUMIFS(-Mov_Qty, Mov_Item, $A471, Mov_Type, "Consumption", Mov_Date, "&gt;="&amp;$Z$2, Mov_Date, "&lt;="&amp;$AA$2))</f>
        <v>0</v>
      </c>
      <c r="O471">
        <f>IFERROR(AVERAGE(L471:N471),"")</f>
        <v>0</v>
      </c>
      <c r="P471">
        <f>IF(O471&gt;=Cfg_HiMove, "Yes", "")</f>
        <v>0</v>
      </c>
      <c r="Q471">
        <f>IF($A471="","", $I471 + IFERROR(O471/30*$H471,0))</f>
        <v>0</v>
      </c>
      <c r="R471">
        <f>IF($A471="","", IF(J471&lt;=$F471, "Yes", ""))</f>
        <v>0</v>
      </c>
      <c r="S471">
        <f>IF(R471="Yes", CEILING(MAX($G471, Q471-J471), $G471), 0)</f>
        <v>0</v>
      </c>
      <c r="T471">
        <f>IFERROR(J471/(O471/30),"")</f>
        <v>0</v>
      </c>
    </row>
    <row r="472" spans="10:20">
      <c r="J472">
        <f>IF($A472="","", SUMIFS(Mov_Qty, Mov_Item, $A472))</f>
        <v>0</v>
      </c>
      <c r="K472">
        <f>IF($A472="","", J472 * $E472)</f>
        <v>0</v>
      </c>
      <c r="L472">
        <f>IF($A472="","", SUMIFS(-Mov_Qty, Mov_Item, $A472, Mov_Type, "Consumption", Mov_Date, "&gt;="&amp;$V$2, Mov_Date, "&lt;="&amp;$W$2))</f>
        <v>0</v>
      </c>
      <c r="M472">
        <f>IF($A472="","", SUMIFS(-Mov_Qty, Mov_Item, $A472, Mov_Type, "Consumption", Mov_Date, "&gt;="&amp;$X$2, Mov_Date, "&lt;="&amp;$Y$2))</f>
        <v>0</v>
      </c>
      <c r="N472">
        <f>IF($A472="","", SUMIFS(-Mov_Qty, Mov_Item, $A472, Mov_Type, "Consumption", Mov_Date, "&gt;="&amp;$Z$2, Mov_Date, "&lt;="&amp;$AA$2))</f>
        <v>0</v>
      </c>
      <c r="O472">
        <f>IFERROR(AVERAGE(L472:N472),"")</f>
        <v>0</v>
      </c>
      <c r="P472">
        <f>IF(O472&gt;=Cfg_HiMove, "Yes", "")</f>
        <v>0</v>
      </c>
      <c r="Q472">
        <f>IF($A472="","", $I472 + IFERROR(O472/30*$H472,0))</f>
        <v>0</v>
      </c>
      <c r="R472">
        <f>IF($A472="","", IF(J472&lt;=$F472, "Yes", ""))</f>
        <v>0</v>
      </c>
      <c r="S472">
        <f>IF(R472="Yes", CEILING(MAX($G472, Q472-J472), $G472), 0)</f>
        <v>0</v>
      </c>
      <c r="T472">
        <f>IFERROR(J472/(O472/30),"")</f>
        <v>0</v>
      </c>
    </row>
    <row r="473" spans="10:20">
      <c r="J473">
        <f>IF($A473="","", SUMIFS(Mov_Qty, Mov_Item, $A473))</f>
        <v>0</v>
      </c>
      <c r="K473">
        <f>IF($A473="","", J473 * $E473)</f>
        <v>0</v>
      </c>
      <c r="L473">
        <f>IF($A473="","", SUMIFS(-Mov_Qty, Mov_Item, $A473, Mov_Type, "Consumption", Mov_Date, "&gt;="&amp;$V$2, Mov_Date, "&lt;="&amp;$W$2))</f>
        <v>0</v>
      </c>
      <c r="M473">
        <f>IF($A473="","", SUMIFS(-Mov_Qty, Mov_Item, $A473, Mov_Type, "Consumption", Mov_Date, "&gt;="&amp;$X$2, Mov_Date, "&lt;="&amp;$Y$2))</f>
        <v>0</v>
      </c>
      <c r="N473">
        <f>IF($A473="","", SUMIFS(-Mov_Qty, Mov_Item, $A473, Mov_Type, "Consumption", Mov_Date, "&gt;="&amp;$Z$2, Mov_Date, "&lt;="&amp;$AA$2))</f>
        <v>0</v>
      </c>
      <c r="O473">
        <f>IFERROR(AVERAGE(L473:N473),"")</f>
        <v>0</v>
      </c>
      <c r="P473">
        <f>IF(O473&gt;=Cfg_HiMove, "Yes", "")</f>
        <v>0</v>
      </c>
      <c r="Q473">
        <f>IF($A473="","", $I473 + IFERROR(O473/30*$H473,0))</f>
        <v>0</v>
      </c>
      <c r="R473">
        <f>IF($A473="","", IF(J473&lt;=$F473, "Yes", ""))</f>
        <v>0</v>
      </c>
      <c r="S473">
        <f>IF(R473="Yes", CEILING(MAX($G473, Q473-J473), $G473), 0)</f>
        <v>0</v>
      </c>
      <c r="T473">
        <f>IFERROR(J473/(O473/30),"")</f>
        <v>0</v>
      </c>
    </row>
    <row r="474" spans="10:20">
      <c r="J474">
        <f>IF($A474="","", SUMIFS(Mov_Qty, Mov_Item, $A474))</f>
        <v>0</v>
      </c>
      <c r="K474">
        <f>IF($A474="","", J474 * $E474)</f>
        <v>0</v>
      </c>
      <c r="L474">
        <f>IF($A474="","", SUMIFS(-Mov_Qty, Mov_Item, $A474, Mov_Type, "Consumption", Mov_Date, "&gt;="&amp;$V$2, Mov_Date, "&lt;="&amp;$W$2))</f>
        <v>0</v>
      </c>
      <c r="M474">
        <f>IF($A474="","", SUMIFS(-Mov_Qty, Mov_Item, $A474, Mov_Type, "Consumption", Mov_Date, "&gt;="&amp;$X$2, Mov_Date, "&lt;="&amp;$Y$2))</f>
        <v>0</v>
      </c>
      <c r="N474">
        <f>IF($A474="","", SUMIFS(-Mov_Qty, Mov_Item, $A474, Mov_Type, "Consumption", Mov_Date, "&gt;="&amp;$Z$2, Mov_Date, "&lt;="&amp;$AA$2))</f>
        <v>0</v>
      </c>
      <c r="O474">
        <f>IFERROR(AVERAGE(L474:N474),"")</f>
        <v>0</v>
      </c>
      <c r="P474">
        <f>IF(O474&gt;=Cfg_HiMove, "Yes", "")</f>
        <v>0</v>
      </c>
      <c r="Q474">
        <f>IF($A474="","", $I474 + IFERROR(O474/30*$H474,0))</f>
        <v>0</v>
      </c>
      <c r="R474">
        <f>IF($A474="","", IF(J474&lt;=$F474, "Yes", ""))</f>
        <v>0</v>
      </c>
      <c r="S474">
        <f>IF(R474="Yes", CEILING(MAX($G474, Q474-J474), $G474), 0)</f>
        <v>0</v>
      </c>
      <c r="T474">
        <f>IFERROR(J474/(O474/30),"")</f>
        <v>0</v>
      </c>
    </row>
    <row r="475" spans="10:20">
      <c r="J475">
        <f>IF($A475="","", SUMIFS(Mov_Qty, Mov_Item, $A475))</f>
        <v>0</v>
      </c>
      <c r="K475">
        <f>IF($A475="","", J475 * $E475)</f>
        <v>0</v>
      </c>
      <c r="L475">
        <f>IF($A475="","", SUMIFS(-Mov_Qty, Mov_Item, $A475, Mov_Type, "Consumption", Mov_Date, "&gt;="&amp;$V$2, Mov_Date, "&lt;="&amp;$W$2))</f>
        <v>0</v>
      </c>
      <c r="M475">
        <f>IF($A475="","", SUMIFS(-Mov_Qty, Mov_Item, $A475, Mov_Type, "Consumption", Mov_Date, "&gt;="&amp;$X$2, Mov_Date, "&lt;="&amp;$Y$2))</f>
        <v>0</v>
      </c>
      <c r="N475">
        <f>IF($A475="","", SUMIFS(-Mov_Qty, Mov_Item, $A475, Mov_Type, "Consumption", Mov_Date, "&gt;="&amp;$Z$2, Mov_Date, "&lt;="&amp;$AA$2))</f>
        <v>0</v>
      </c>
      <c r="O475">
        <f>IFERROR(AVERAGE(L475:N475),"")</f>
        <v>0</v>
      </c>
      <c r="P475">
        <f>IF(O475&gt;=Cfg_HiMove, "Yes", "")</f>
        <v>0</v>
      </c>
      <c r="Q475">
        <f>IF($A475="","", $I475 + IFERROR(O475/30*$H475,0))</f>
        <v>0</v>
      </c>
      <c r="R475">
        <f>IF($A475="","", IF(J475&lt;=$F475, "Yes", ""))</f>
        <v>0</v>
      </c>
      <c r="S475">
        <f>IF(R475="Yes", CEILING(MAX($G475, Q475-J475), $G475), 0)</f>
        <v>0</v>
      </c>
      <c r="T475">
        <f>IFERROR(J475/(O475/30),"")</f>
        <v>0</v>
      </c>
    </row>
    <row r="476" spans="10:20">
      <c r="J476">
        <f>IF($A476="","", SUMIFS(Mov_Qty, Mov_Item, $A476))</f>
        <v>0</v>
      </c>
      <c r="K476">
        <f>IF($A476="","", J476 * $E476)</f>
        <v>0</v>
      </c>
      <c r="L476">
        <f>IF($A476="","", SUMIFS(-Mov_Qty, Mov_Item, $A476, Mov_Type, "Consumption", Mov_Date, "&gt;="&amp;$V$2, Mov_Date, "&lt;="&amp;$W$2))</f>
        <v>0</v>
      </c>
      <c r="M476">
        <f>IF($A476="","", SUMIFS(-Mov_Qty, Mov_Item, $A476, Mov_Type, "Consumption", Mov_Date, "&gt;="&amp;$X$2, Mov_Date, "&lt;="&amp;$Y$2))</f>
        <v>0</v>
      </c>
      <c r="N476">
        <f>IF($A476="","", SUMIFS(-Mov_Qty, Mov_Item, $A476, Mov_Type, "Consumption", Mov_Date, "&gt;="&amp;$Z$2, Mov_Date, "&lt;="&amp;$AA$2))</f>
        <v>0</v>
      </c>
      <c r="O476">
        <f>IFERROR(AVERAGE(L476:N476),"")</f>
        <v>0</v>
      </c>
      <c r="P476">
        <f>IF(O476&gt;=Cfg_HiMove, "Yes", "")</f>
        <v>0</v>
      </c>
      <c r="Q476">
        <f>IF($A476="","", $I476 + IFERROR(O476/30*$H476,0))</f>
        <v>0</v>
      </c>
      <c r="R476">
        <f>IF($A476="","", IF(J476&lt;=$F476, "Yes", ""))</f>
        <v>0</v>
      </c>
      <c r="S476">
        <f>IF(R476="Yes", CEILING(MAX($G476, Q476-J476), $G476), 0)</f>
        <v>0</v>
      </c>
      <c r="T476">
        <f>IFERROR(J476/(O476/30),"")</f>
        <v>0</v>
      </c>
    </row>
    <row r="477" spans="10:20">
      <c r="J477">
        <f>IF($A477="","", SUMIFS(Mov_Qty, Mov_Item, $A477))</f>
        <v>0</v>
      </c>
      <c r="K477">
        <f>IF($A477="","", J477 * $E477)</f>
        <v>0</v>
      </c>
      <c r="L477">
        <f>IF($A477="","", SUMIFS(-Mov_Qty, Mov_Item, $A477, Mov_Type, "Consumption", Mov_Date, "&gt;="&amp;$V$2, Mov_Date, "&lt;="&amp;$W$2))</f>
        <v>0</v>
      </c>
      <c r="M477">
        <f>IF($A477="","", SUMIFS(-Mov_Qty, Mov_Item, $A477, Mov_Type, "Consumption", Mov_Date, "&gt;="&amp;$X$2, Mov_Date, "&lt;="&amp;$Y$2))</f>
        <v>0</v>
      </c>
      <c r="N477">
        <f>IF($A477="","", SUMIFS(-Mov_Qty, Mov_Item, $A477, Mov_Type, "Consumption", Mov_Date, "&gt;="&amp;$Z$2, Mov_Date, "&lt;="&amp;$AA$2))</f>
        <v>0</v>
      </c>
      <c r="O477">
        <f>IFERROR(AVERAGE(L477:N477),"")</f>
        <v>0</v>
      </c>
      <c r="P477">
        <f>IF(O477&gt;=Cfg_HiMove, "Yes", "")</f>
        <v>0</v>
      </c>
      <c r="Q477">
        <f>IF($A477="","", $I477 + IFERROR(O477/30*$H477,0))</f>
        <v>0</v>
      </c>
      <c r="R477">
        <f>IF($A477="","", IF(J477&lt;=$F477, "Yes", ""))</f>
        <v>0</v>
      </c>
      <c r="S477">
        <f>IF(R477="Yes", CEILING(MAX($G477, Q477-J477), $G477), 0)</f>
        <v>0</v>
      </c>
      <c r="T477">
        <f>IFERROR(J477/(O477/30),"")</f>
        <v>0</v>
      </c>
    </row>
    <row r="478" spans="10:20">
      <c r="J478">
        <f>IF($A478="","", SUMIFS(Mov_Qty, Mov_Item, $A478))</f>
        <v>0</v>
      </c>
      <c r="K478">
        <f>IF($A478="","", J478 * $E478)</f>
        <v>0</v>
      </c>
      <c r="L478">
        <f>IF($A478="","", SUMIFS(-Mov_Qty, Mov_Item, $A478, Mov_Type, "Consumption", Mov_Date, "&gt;="&amp;$V$2, Mov_Date, "&lt;="&amp;$W$2))</f>
        <v>0</v>
      </c>
      <c r="M478">
        <f>IF($A478="","", SUMIFS(-Mov_Qty, Mov_Item, $A478, Mov_Type, "Consumption", Mov_Date, "&gt;="&amp;$X$2, Mov_Date, "&lt;="&amp;$Y$2))</f>
        <v>0</v>
      </c>
      <c r="N478">
        <f>IF($A478="","", SUMIFS(-Mov_Qty, Mov_Item, $A478, Mov_Type, "Consumption", Mov_Date, "&gt;="&amp;$Z$2, Mov_Date, "&lt;="&amp;$AA$2))</f>
        <v>0</v>
      </c>
      <c r="O478">
        <f>IFERROR(AVERAGE(L478:N478),"")</f>
        <v>0</v>
      </c>
      <c r="P478">
        <f>IF(O478&gt;=Cfg_HiMove, "Yes", "")</f>
        <v>0</v>
      </c>
      <c r="Q478">
        <f>IF($A478="","", $I478 + IFERROR(O478/30*$H478,0))</f>
        <v>0</v>
      </c>
      <c r="R478">
        <f>IF($A478="","", IF(J478&lt;=$F478, "Yes", ""))</f>
        <v>0</v>
      </c>
      <c r="S478">
        <f>IF(R478="Yes", CEILING(MAX($G478, Q478-J478), $G478), 0)</f>
        <v>0</v>
      </c>
      <c r="T478">
        <f>IFERROR(J478/(O478/30),"")</f>
        <v>0</v>
      </c>
    </row>
    <row r="479" spans="10:20">
      <c r="J479">
        <f>IF($A479="","", SUMIFS(Mov_Qty, Mov_Item, $A479))</f>
        <v>0</v>
      </c>
      <c r="K479">
        <f>IF($A479="","", J479 * $E479)</f>
        <v>0</v>
      </c>
      <c r="L479">
        <f>IF($A479="","", SUMIFS(-Mov_Qty, Mov_Item, $A479, Mov_Type, "Consumption", Mov_Date, "&gt;="&amp;$V$2, Mov_Date, "&lt;="&amp;$W$2))</f>
        <v>0</v>
      </c>
      <c r="M479">
        <f>IF($A479="","", SUMIFS(-Mov_Qty, Mov_Item, $A479, Mov_Type, "Consumption", Mov_Date, "&gt;="&amp;$X$2, Mov_Date, "&lt;="&amp;$Y$2))</f>
        <v>0</v>
      </c>
      <c r="N479">
        <f>IF($A479="","", SUMIFS(-Mov_Qty, Mov_Item, $A479, Mov_Type, "Consumption", Mov_Date, "&gt;="&amp;$Z$2, Mov_Date, "&lt;="&amp;$AA$2))</f>
        <v>0</v>
      </c>
      <c r="O479">
        <f>IFERROR(AVERAGE(L479:N479),"")</f>
        <v>0</v>
      </c>
      <c r="P479">
        <f>IF(O479&gt;=Cfg_HiMove, "Yes", "")</f>
        <v>0</v>
      </c>
      <c r="Q479">
        <f>IF($A479="","", $I479 + IFERROR(O479/30*$H479,0))</f>
        <v>0</v>
      </c>
      <c r="R479">
        <f>IF($A479="","", IF(J479&lt;=$F479, "Yes", ""))</f>
        <v>0</v>
      </c>
      <c r="S479">
        <f>IF(R479="Yes", CEILING(MAX($G479, Q479-J479), $G479), 0)</f>
        <v>0</v>
      </c>
      <c r="T479">
        <f>IFERROR(J479/(O479/30),"")</f>
        <v>0</v>
      </c>
    </row>
    <row r="480" spans="10:20">
      <c r="J480">
        <f>IF($A480="","", SUMIFS(Mov_Qty, Mov_Item, $A480))</f>
        <v>0</v>
      </c>
      <c r="K480">
        <f>IF($A480="","", J480 * $E480)</f>
        <v>0</v>
      </c>
      <c r="L480">
        <f>IF($A480="","", SUMIFS(-Mov_Qty, Mov_Item, $A480, Mov_Type, "Consumption", Mov_Date, "&gt;="&amp;$V$2, Mov_Date, "&lt;="&amp;$W$2))</f>
        <v>0</v>
      </c>
      <c r="M480">
        <f>IF($A480="","", SUMIFS(-Mov_Qty, Mov_Item, $A480, Mov_Type, "Consumption", Mov_Date, "&gt;="&amp;$X$2, Mov_Date, "&lt;="&amp;$Y$2))</f>
        <v>0</v>
      </c>
      <c r="N480">
        <f>IF($A480="","", SUMIFS(-Mov_Qty, Mov_Item, $A480, Mov_Type, "Consumption", Mov_Date, "&gt;="&amp;$Z$2, Mov_Date, "&lt;="&amp;$AA$2))</f>
        <v>0</v>
      </c>
      <c r="O480">
        <f>IFERROR(AVERAGE(L480:N480),"")</f>
        <v>0</v>
      </c>
      <c r="P480">
        <f>IF(O480&gt;=Cfg_HiMove, "Yes", "")</f>
        <v>0</v>
      </c>
      <c r="Q480">
        <f>IF($A480="","", $I480 + IFERROR(O480/30*$H480,0))</f>
        <v>0</v>
      </c>
      <c r="R480">
        <f>IF($A480="","", IF(J480&lt;=$F480, "Yes", ""))</f>
        <v>0</v>
      </c>
      <c r="S480">
        <f>IF(R480="Yes", CEILING(MAX($G480, Q480-J480), $G480), 0)</f>
        <v>0</v>
      </c>
      <c r="T480">
        <f>IFERROR(J480/(O480/30),"")</f>
        <v>0</v>
      </c>
    </row>
    <row r="481" spans="10:20">
      <c r="J481">
        <f>IF($A481="","", SUMIFS(Mov_Qty, Mov_Item, $A481))</f>
        <v>0</v>
      </c>
      <c r="K481">
        <f>IF($A481="","", J481 * $E481)</f>
        <v>0</v>
      </c>
      <c r="L481">
        <f>IF($A481="","", SUMIFS(-Mov_Qty, Mov_Item, $A481, Mov_Type, "Consumption", Mov_Date, "&gt;="&amp;$V$2, Mov_Date, "&lt;="&amp;$W$2))</f>
        <v>0</v>
      </c>
      <c r="M481">
        <f>IF($A481="","", SUMIFS(-Mov_Qty, Mov_Item, $A481, Mov_Type, "Consumption", Mov_Date, "&gt;="&amp;$X$2, Mov_Date, "&lt;="&amp;$Y$2))</f>
        <v>0</v>
      </c>
      <c r="N481">
        <f>IF($A481="","", SUMIFS(-Mov_Qty, Mov_Item, $A481, Mov_Type, "Consumption", Mov_Date, "&gt;="&amp;$Z$2, Mov_Date, "&lt;="&amp;$AA$2))</f>
        <v>0</v>
      </c>
      <c r="O481">
        <f>IFERROR(AVERAGE(L481:N481),"")</f>
        <v>0</v>
      </c>
      <c r="P481">
        <f>IF(O481&gt;=Cfg_HiMove, "Yes", "")</f>
        <v>0</v>
      </c>
      <c r="Q481">
        <f>IF($A481="","", $I481 + IFERROR(O481/30*$H481,0))</f>
        <v>0</v>
      </c>
      <c r="R481">
        <f>IF($A481="","", IF(J481&lt;=$F481, "Yes", ""))</f>
        <v>0</v>
      </c>
      <c r="S481">
        <f>IF(R481="Yes", CEILING(MAX($G481, Q481-J481), $G481), 0)</f>
        <v>0</v>
      </c>
      <c r="T481">
        <f>IFERROR(J481/(O481/30),"")</f>
        <v>0</v>
      </c>
    </row>
    <row r="482" spans="10:20">
      <c r="J482">
        <f>IF($A482="","", SUMIFS(Mov_Qty, Mov_Item, $A482))</f>
        <v>0</v>
      </c>
      <c r="K482">
        <f>IF($A482="","", J482 * $E482)</f>
        <v>0</v>
      </c>
      <c r="L482">
        <f>IF($A482="","", SUMIFS(-Mov_Qty, Mov_Item, $A482, Mov_Type, "Consumption", Mov_Date, "&gt;="&amp;$V$2, Mov_Date, "&lt;="&amp;$W$2))</f>
        <v>0</v>
      </c>
      <c r="M482">
        <f>IF($A482="","", SUMIFS(-Mov_Qty, Mov_Item, $A482, Mov_Type, "Consumption", Mov_Date, "&gt;="&amp;$X$2, Mov_Date, "&lt;="&amp;$Y$2))</f>
        <v>0</v>
      </c>
      <c r="N482">
        <f>IF($A482="","", SUMIFS(-Mov_Qty, Mov_Item, $A482, Mov_Type, "Consumption", Mov_Date, "&gt;="&amp;$Z$2, Mov_Date, "&lt;="&amp;$AA$2))</f>
        <v>0</v>
      </c>
      <c r="O482">
        <f>IFERROR(AVERAGE(L482:N482),"")</f>
        <v>0</v>
      </c>
      <c r="P482">
        <f>IF(O482&gt;=Cfg_HiMove, "Yes", "")</f>
        <v>0</v>
      </c>
      <c r="Q482">
        <f>IF($A482="","", $I482 + IFERROR(O482/30*$H482,0))</f>
        <v>0</v>
      </c>
      <c r="R482">
        <f>IF($A482="","", IF(J482&lt;=$F482, "Yes", ""))</f>
        <v>0</v>
      </c>
      <c r="S482">
        <f>IF(R482="Yes", CEILING(MAX($G482, Q482-J482), $G482), 0)</f>
        <v>0</v>
      </c>
      <c r="T482">
        <f>IFERROR(J482/(O482/30),"")</f>
        <v>0</v>
      </c>
    </row>
    <row r="483" spans="10:20">
      <c r="J483">
        <f>IF($A483="","", SUMIFS(Mov_Qty, Mov_Item, $A483))</f>
        <v>0</v>
      </c>
      <c r="K483">
        <f>IF($A483="","", J483 * $E483)</f>
        <v>0</v>
      </c>
      <c r="L483">
        <f>IF($A483="","", SUMIFS(-Mov_Qty, Mov_Item, $A483, Mov_Type, "Consumption", Mov_Date, "&gt;="&amp;$V$2, Mov_Date, "&lt;="&amp;$W$2))</f>
        <v>0</v>
      </c>
      <c r="M483">
        <f>IF($A483="","", SUMIFS(-Mov_Qty, Mov_Item, $A483, Mov_Type, "Consumption", Mov_Date, "&gt;="&amp;$X$2, Mov_Date, "&lt;="&amp;$Y$2))</f>
        <v>0</v>
      </c>
      <c r="N483">
        <f>IF($A483="","", SUMIFS(-Mov_Qty, Mov_Item, $A483, Mov_Type, "Consumption", Mov_Date, "&gt;="&amp;$Z$2, Mov_Date, "&lt;="&amp;$AA$2))</f>
        <v>0</v>
      </c>
      <c r="O483">
        <f>IFERROR(AVERAGE(L483:N483),"")</f>
        <v>0</v>
      </c>
      <c r="P483">
        <f>IF(O483&gt;=Cfg_HiMove, "Yes", "")</f>
        <v>0</v>
      </c>
      <c r="Q483">
        <f>IF($A483="","", $I483 + IFERROR(O483/30*$H483,0))</f>
        <v>0</v>
      </c>
      <c r="R483">
        <f>IF($A483="","", IF(J483&lt;=$F483, "Yes", ""))</f>
        <v>0</v>
      </c>
      <c r="S483">
        <f>IF(R483="Yes", CEILING(MAX($G483, Q483-J483), $G483), 0)</f>
        <v>0</v>
      </c>
      <c r="T483">
        <f>IFERROR(J483/(O483/30),"")</f>
        <v>0</v>
      </c>
    </row>
    <row r="484" spans="10:20">
      <c r="J484">
        <f>IF($A484="","", SUMIFS(Mov_Qty, Mov_Item, $A484))</f>
        <v>0</v>
      </c>
      <c r="K484">
        <f>IF($A484="","", J484 * $E484)</f>
        <v>0</v>
      </c>
      <c r="L484">
        <f>IF($A484="","", SUMIFS(-Mov_Qty, Mov_Item, $A484, Mov_Type, "Consumption", Mov_Date, "&gt;="&amp;$V$2, Mov_Date, "&lt;="&amp;$W$2))</f>
        <v>0</v>
      </c>
      <c r="M484">
        <f>IF($A484="","", SUMIFS(-Mov_Qty, Mov_Item, $A484, Mov_Type, "Consumption", Mov_Date, "&gt;="&amp;$X$2, Mov_Date, "&lt;="&amp;$Y$2))</f>
        <v>0</v>
      </c>
      <c r="N484">
        <f>IF($A484="","", SUMIFS(-Mov_Qty, Mov_Item, $A484, Mov_Type, "Consumption", Mov_Date, "&gt;="&amp;$Z$2, Mov_Date, "&lt;="&amp;$AA$2))</f>
        <v>0</v>
      </c>
      <c r="O484">
        <f>IFERROR(AVERAGE(L484:N484),"")</f>
        <v>0</v>
      </c>
      <c r="P484">
        <f>IF(O484&gt;=Cfg_HiMove, "Yes", "")</f>
        <v>0</v>
      </c>
      <c r="Q484">
        <f>IF($A484="","", $I484 + IFERROR(O484/30*$H484,0))</f>
        <v>0</v>
      </c>
      <c r="R484">
        <f>IF($A484="","", IF(J484&lt;=$F484, "Yes", ""))</f>
        <v>0</v>
      </c>
      <c r="S484">
        <f>IF(R484="Yes", CEILING(MAX($G484, Q484-J484), $G484), 0)</f>
        <v>0</v>
      </c>
      <c r="T484">
        <f>IFERROR(J484/(O484/30),"")</f>
        <v>0</v>
      </c>
    </row>
    <row r="485" spans="10:20">
      <c r="J485">
        <f>IF($A485="","", SUMIFS(Mov_Qty, Mov_Item, $A485))</f>
        <v>0</v>
      </c>
      <c r="K485">
        <f>IF($A485="","", J485 * $E485)</f>
        <v>0</v>
      </c>
      <c r="L485">
        <f>IF($A485="","", SUMIFS(-Mov_Qty, Mov_Item, $A485, Mov_Type, "Consumption", Mov_Date, "&gt;="&amp;$V$2, Mov_Date, "&lt;="&amp;$W$2))</f>
        <v>0</v>
      </c>
      <c r="M485">
        <f>IF($A485="","", SUMIFS(-Mov_Qty, Mov_Item, $A485, Mov_Type, "Consumption", Mov_Date, "&gt;="&amp;$X$2, Mov_Date, "&lt;="&amp;$Y$2))</f>
        <v>0</v>
      </c>
      <c r="N485">
        <f>IF($A485="","", SUMIFS(-Mov_Qty, Mov_Item, $A485, Mov_Type, "Consumption", Mov_Date, "&gt;="&amp;$Z$2, Mov_Date, "&lt;="&amp;$AA$2))</f>
        <v>0</v>
      </c>
      <c r="O485">
        <f>IFERROR(AVERAGE(L485:N485),"")</f>
        <v>0</v>
      </c>
      <c r="P485">
        <f>IF(O485&gt;=Cfg_HiMove, "Yes", "")</f>
        <v>0</v>
      </c>
      <c r="Q485">
        <f>IF($A485="","", $I485 + IFERROR(O485/30*$H485,0))</f>
        <v>0</v>
      </c>
      <c r="R485">
        <f>IF($A485="","", IF(J485&lt;=$F485, "Yes", ""))</f>
        <v>0</v>
      </c>
      <c r="S485">
        <f>IF(R485="Yes", CEILING(MAX($G485, Q485-J485), $G485), 0)</f>
        <v>0</v>
      </c>
      <c r="T485">
        <f>IFERROR(J485/(O485/30),"")</f>
        <v>0</v>
      </c>
    </row>
    <row r="486" spans="10:20">
      <c r="J486">
        <f>IF($A486="","", SUMIFS(Mov_Qty, Mov_Item, $A486))</f>
        <v>0</v>
      </c>
      <c r="K486">
        <f>IF($A486="","", J486 * $E486)</f>
        <v>0</v>
      </c>
      <c r="L486">
        <f>IF($A486="","", SUMIFS(-Mov_Qty, Mov_Item, $A486, Mov_Type, "Consumption", Mov_Date, "&gt;="&amp;$V$2, Mov_Date, "&lt;="&amp;$W$2))</f>
        <v>0</v>
      </c>
      <c r="M486">
        <f>IF($A486="","", SUMIFS(-Mov_Qty, Mov_Item, $A486, Mov_Type, "Consumption", Mov_Date, "&gt;="&amp;$X$2, Mov_Date, "&lt;="&amp;$Y$2))</f>
        <v>0</v>
      </c>
      <c r="N486">
        <f>IF($A486="","", SUMIFS(-Mov_Qty, Mov_Item, $A486, Mov_Type, "Consumption", Mov_Date, "&gt;="&amp;$Z$2, Mov_Date, "&lt;="&amp;$AA$2))</f>
        <v>0</v>
      </c>
      <c r="O486">
        <f>IFERROR(AVERAGE(L486:N486),"")</f>
        <v>0</v>
      </c>
      <c r="P486">
        <f>IF(O486&gt;=Cfg_HiMove, "Yes", "")</f>
        <v>0</v>
      </c>
      <c r="Q486">
        <f>IF($A486="","", $I486 + IFERROR(O486/30*$H486,0))</f>
        <v>0</v>
      </c>
      <c r="R486">
        <f>IF($A486="","", IF(J486&lt;=$F486, "Yes", ""))</f>
        <v>0</v>
      </c>
      <c r="S486">
        <f>IF(R486="Yes", CEILING(MAX($G486, Q486-J486), $G486), 0)</f>
        <v>0</v>
      </c>
      <c r="T486">
        <f>IFERROR(J486/(O486/30),"")</f>
        <v>0</v>
      </c>
    </row>
    <row r="487" spans="10:20">
      <c r="J487">
        <f>IF($A487="","", SUMIFS(Mov_Qty, Mov_Item, $A487))</f>
        <v>0</v>
      </c>
      <c r="K487">
        <f>IF($A487="","", J487 * $E487)</f>
        <v>0</v>
      </c>
      <c r="L487">
        <f>IF($A487="","", SUMIFS(-Mov_Qty, Mov_Item, $A487, Mov_Type, "Consumption", Mov_Date, "&gt;="&amp;$V$2, Mov_Date, "&lt;="&amp;$W$2))</f>
        <v>0</v>
      </c>
      <c r="M487">
        <f>IF($A487="","", SUMIFS(-Mov_Qty, Mov_Item, $A487, Mov_Type, "Consumption", Mov_Date, "&gt;="&amp;$X$2, Mov_Date, "&lt;="&amp;$Y$2))</f>
        <v>0</v>
      </c>
      <c r="N487">
        <f>IF($A487="","", SUMIFS(-Mov_Qty, Mov_Item, $A487, Mov_Type, "Consumption", Mov_Date, "&gt;="&amp;$Z$2, Mov_Date, "&lt;="&amp;$AA$2))</f>
        <v>0</v>
      </c>
      <c r="O487">
        <f>IFERROR(AVERAGE(L487:N487),"")</f>
        <v>0</v>
      </c>
      <c r="P487">
        <f>IF(O487&gt;=Cfg_HiMove, "Yes", "")</f>
        <v>0</v>
      </c>
      <c r="Q487">
        <f>IF($A487="","", $I487 + IFERROR(O487/30*$H487,0))</f>
        <v>0</v>
      </c>
      <c r="R487">
        <f>IF($A487="","", IF(J487&lt;=$F487, "Yes", ""))</f>
        <v>0</v>
      </c>
      <c r="S487">
        <f>IF(R487="Yes", CEILING(MAX($G487, Q487-J487), $G487), 0)</f>
        <v>0</v>
      </c>
      <c r="T487">
        <f>IFERROR(J487/(O487/30),"")</f>
        <v>0</v>
      </c>
    </row>
    <row r="488" spans="10:20">
      <c r="J488">
        <f>IF($A488="","", SUMIFS(Mov_Qty, Mov_Item, $A488))</f>
        <v>0</v>
      </c>
      <c r="K488">
        <f>IF($A488="","", J488 * $E488)</f>
        <v>0</v>
      </c>
      <c r="L488">
        <f>IF($A488="","", SUMIFS(-Mov_Qty, Mov_Item, $A488, Mov_Type, "Consumption", Mov_Date, "&gt;="&amp;$V$2, Mov_Date, "&lt;="&amp;$W$2))</f>
        <v>0</v>
      </c>
      <c r="M488">
        <f>IF($A488="","", SUMIFS(-Mov_Qty, Mov_Item, $A488, Mov_Type, "Consumption", Mov_Date, "&gt;="&amp;$X$2, Mov_Date, "&lt;="&amp;$Y$2))</f>
        <v>0</v>
      </c>
      <c r="N488">
        <f>IF($A488="","", SUMIFS(-Mov_Qty, Mov_Item, $A488, Mov_Type, "Consumption", Mov_Date, "&gt;="&amp;$Z$2, Mov_Date, "&lt;="&amp;$AA$2))</f>
        <v>0</v>
      </c>
      <c r="O488">
        <f>IFERROR(AVERAGE(L488:N488),"")</f>
        <v>0</v>
      </c>
      <c r="P488">
        <f>IF(O488&gt;=Cfg_HiMove, "Yes", "")</f>
        <v>0</v>
      </c>
      <c r="Q488">
        <f>IF($A488="","", $I488 + IFERROR(O488/30*$H488,0))</f>
        <v>0</v>
      </c>
      <c r="R488">
        <f>IF($A488="","", IF(J488&lt;=$F488, "Yes", ""))</f>
        <v>0</v>
      </c>
      <c r="S488">
        <f>IF(R488="Yes", CEILING(MAX($G488, Q488-J488), $G488), 0)</f>
        <v>0</v>
      </c>
      <c r="T488">
        <f>IFERROR(J488/(O488/30),"")</f>
        <v>0</v>
      </c>
    </row>
    <row r="489" spans="10:20">
      <c r="J489">
        <f>IF($A489="","", SUMIFS(Mov_Qty, Mov_Item, $A489))</f>
        <v>0</v>
      </c>
      <c r="K489">
        <f>IF($A489="","", J489 * $E489)</f>
        <v>0</v>
      </c>
      <c r="L489">
        <f>IF($A489="","", SUMIFS(-Mov_Qty, Mov_Item, $A489, Mov_Type, "Consumption", Mov_Date, "&gt;="&amp;$V$2, Mov_Date, "&lt;="&amp;$W$2))</f>
        <v>0</v>
      </c>
      <c r="M489">
        <f>IF($A489="","", SUMIFS(-Mov_Qty, Mov_Item, $A489, Mov_Type, "Consumption", Mov_Date, "&gt;="&amp;$X$2, Mov_Date, "&lt;="&amp;$Y$2))</f>
        <v>0</v>
      </c>
      <c r="N489">
        <f>IF($A489="","", SUMIFS(-Mov_Qty, Mov_Item, $A489, Mov_Type, "Consumption", Mov_Date, "&gt;="&amp;$Z$2, Mov_Date, "&lt;="&amp;$AA$2))</f>
        <v>0</v>
      </c>
      <c r="O489">
        <f>IFERROR(AVERAGE(L489:N489),"")</f>
        <v>0</v>
      </c>
      <c r="P489">
        <f>IF(O489&gt;=Cfg_HiMove, "Yes", "")</f>
        <v>0</v>
      </c>
      <c r="Q489">
        <f>IF($A489="","", $I489 + IFERROR(O489/30*$H489,0))</f>
        <v>0</v>
      </c>
      <c r="R489">
        <f>IF($A489="","", IF(J489&lt;=$F489, "Yes", ""))</f>
        <v>0</v>
      </c>
      <c r="S489">
        <f>IF(R489="Yes", CEILING(MAX($G489, Q489-J489), $G489), 0)</f>
        <v>0</v>
      </c>
      <c r="T489">
        <f>IFERROR(J489/(O489/30),"")</f>
        <v>0</v>
      </c>
    </row>
    <row r="490" spans="10:20">
      <c r="J490">
        <f>IF($A490="","", SUMIFS(Mov_Qty, Mov_Item, $A490))</f>
        <v>0</v>
      </c>
      <c r="K490">
        <f>IF($A490="","", J490 * $E490)</f>
        <v>0</v>
      </c>
      <c r="L490">
        <f>IF($A490="","", SUMIFS(-Mov_Qty, Mov_Item, $A490, Mov_Type, "Consumption", Mov_Date, "&gt;="&amp;$V$2, Mov_Date, "&lt;="&amp;$W$2))</f>
        <v>0</v>
      </c>
      <c r="M490">
        <f>IF($A490="","", SUMIFS(-Mov_Qty, Mov_Item, $A490, Mov_Type, "Consumption", Mov_Date, "&gt;="&amp;$X$2, Mov_Date, "&lt;="&amp;$Y$2))</f>
        <v>0</v>
      </c>
      <c r="N490">
        <f>IF($A490="","", SUMIFS(-Mov_Qty, Mov_Item, $A490, Mov_Type, "Consumption", Mov_Date, "&gt;="&amp;$Z$2, Mov_Date, "&lt;="&amp;$AA$2))</f>
        <v>0</v>
      </c>
      <c r="O490">
        <f>IFERROR(AVERAGE(L490:N490),"")</f>
        <v>0</v>
      </c>
      <c r="P490">
        <f>IF(O490&gt;=Cfg_HiMove, "Yes", "")</f>
        <v>0</v>
      </c>
      <c r="Q490">
        <f>IF($A490="","", $I490 + IFERROR(O490/30*$H490,0))</f>
        <v>0</v>
      </c>
      <c r="R490">
        <f>IF($A490="","", IF(J490&lt;=$F490, "Yes", ""))</f>
        <v>0</v>
      </c>
      <c r="S490">
        <f>IF(R490="Yes", CEILING(MAX($G490, Q490-J490), $G490), 0)</f>
        <v>0</v>
      </c>
      <c r="T490">
        <f>IFERROR(J490/(O490/30),"")</f>
        <v>0</v>
      </c>
    </row>
    <row r="491" spans="10:20">
      <c r="J491">
        <f>IF($A491="","", SUMIFS(Mov_Qty, Mov_Item, $A491))</f>
        <v>0</v>
      </c>
      <c r="K491">
        <f>IF($A491="","", J491 * $E491)</f>
        <v>0</v>
      </c>
      <c r="L491">
        <f>IF($A491="","", SUMIFS(-Mov_Qty, Mov_Item, $A491, Mov_Type, "Consumption", Mov_Date, "&gt;="&amp;$V$2, Mov_Date, "&lt;="&amp;$W$2))</f>
        <v>0</v>
      </c>
      <c r="M491">
        <f>IF($A491="","", SUMIFS(-Mov_Qty, Mov_Item, $A491, Mov_Type, "Consumption", Mov_Date, "&gt;="&amp;$X$2, Mov_Date, "&lt;="&amp;$Y$2))</f>
        <v>0</v>
      </c>
      <c r="N491">
        <f>IF($A491="","", SUMIFS(-Mov_Qty, Mov_Item, $A491, Mov_Type, "Consumption", Mov_Date, "&gt;="&amp;$Z$2, Mov_Date, "&lt;="&amp;$AA$2))</f>
        <v>0</v>
      </c>
      <c r="O491">
        <f>IFERROR(AVERAGE(L491:N491),"")</f>
        <v>0</v>
      </c>
      <c r="P491">
        <f>IF(O491&gt;=Cfg_HiMove, "Yes", "")</f>
        <v>0</v>
      </c>
      <c r="Q491">
        <f>IF($A491="","", $I491 + IFERROR(O491/30*$H491,0))</f>
        <v>0</v>
      </c>
      <c r="R491">
        <f>IF($A491="","", IF(J491&lt;=$F491, "Yes", ""))</f>
        <v>0</v>
      </c>
      <c r="S491">
        <f>IF(R491="Yes", CEILING(MAX($G491, Q491-J491), $G491), 0)</f>
        <v>0</v>
      </c>
      <c r="T491">
        <f>IFERROR(J491/(O491/30),"")</f>
        <v>0</v>
      </c>
    </row>
    <row r="492" spans="10:20">
      <c r="J492">
        <f>IF($A492="","", SUMIFS(Mov_Qty, Mov_Item, $A492))</f>
        <v>0</v>
      </c>
      <c r="K492">
        <f>IF($A492="","", J492 * $E492)</f>
        <v>0</v>
      </c>
      <c r="L492">
        <f>IF($A492="","", SUMIFS(-Mov_Qty, Mov_Item, $A492, Mov_Type, "Consumption", Mov_Date, "&gt;="&amp;$V$2, Mov_Date, "&lt;="&amp;$W$2))</f>
        <v>0</v>
      </c>
      <c r="M492">
        <f>IF($A492="","", SUMIFS(-Mov_Qty, Mov_Item, $A492, Mov_Type, "Consumption", Mov_Date, "&gt;="&amp;$X$2, Mov_Date, "&lt;="&amp;$Y$2))</f>
        <v>0</v>
      </c>
      <c r="N492">
        <f>IF($A492="","", SUMIFS(-Mov_Qty, Mov_Item, $A492, Mov_Type, "Consumption", Mov_Date, "&gt;="&amp;$Z$2, Mov_Date, "&lt;="&amp;$AA$2))</f>
        <v>0</v>
      </c>
      <c r="O492">
        <f>IFERROR(AVERAGE(L492:N492),"")</f>
        <v>0</v>
      </c>
      <c r="P492">
        <f>IF(O492&gt;=Cfg_HiMove, "Yes", "")</f>
        <v>0</v>
      </c>
      <c r="Q492">
        <f>IF($A492="","", $I492 + IFERROR(O492/30*$H492,0))</f>
        <v>0</v>
      </c>
      <c r="R492">
        <f>IF($A492="","", IF(J492&lt;=$F492, "Yes", ""))</f>
        <v>0</v>
      </c>
      <c r="S492">
        <f>IF(R492="Yes", CEILING(MAX($G492, Q492-J492), $G492), 0)</f>
        <v>0</v>
      </c>
      <c r="T492">
        <f>IFERROR(J492/(O492/30),"")</f>
        <v>0</v>
      </c>
    </row>
    <row r="493" spans="10:20">
      <c r="J493">
        <f>IF($A493="","", SUMIFS(Mov_Qty, Mov_Item, $A493))</f>
        <v>0</v>
      </c>
      <c r="K493">
        <f>IF($A493="","", J493 * $E493)</f>
        <v>0</v>
      </c>
      <c r="L493">
        <f>IF($A493="","", SUMIFS(-Mov_Qty, Mov_Item, $A493, Mov_Type, "Consumption", Mov_Date, "&gt;="&amp;$V$2, Mov_Date, "&lt;="&amp;$W$2))</f>
        <v>0</v>
      </c>
      <c r="M493">
        <f>IF($A493="","", SUMIFS(-Mov_Qty, Mov_Item, $A493, Mov_Type, "Consumption", Mov_Date, "&gt;="&amp;$X$2, Mov_Date, "&lt;="&amp;$Y$2))</f>
        <v>0</v>
      </c>
      <c r="N493">
        <f>IF($A493="","", SUMIFS(-Mov_Qty, Mov_Item, $A493, Mov_Type, "Consumption", Mov_Date, "&gt;="&amp;$Z$2, Mov_Date, "&lt;="&amp;$AA$2))</f>
        <v>0</v>
      </c>
      <c r="O493">
        <f>IFERROR(AVERAGE(L493:N493),"")</f>
        <v>0</v>
      </c>
      <c r="P493">
        <f>IF(O493&gt;=Cfg_HiMove, "Yes", "")</f>
        <v>0</v>
      </c>
      <c r="Q493">
        <f>IF($A493="","", $I493 + IFERROR(O493/30*$H493,0))</f>
        <v>0</v>
      </c>
      <c r="R493">
        <f>IF($A493="","", IF(J493&lt;=$F493, "Yes", ""))</f>
        <v>0</v>
      </c>
      <c r="S493">
        <f>IF(R493="Yes", CEILING(MAX($G493, Q493-J493), $G493), 0)</f>
        <v>0</v>
      </c>
      <c r="T493">
        <f>IFERROR(J493/(O493/30),"")</f>
        <v>0</v>
      </c>
    </row>
    <row r="494" spans="10:20">
      <c r="J494">
        <f>IF($A494="","", SUMIFS(Mov_Qty, Mov_Item, $A494))</f>
        <v>0</v>
      </c>
      <c r="K494">
        <f>IF($A494="","", J494 * $E494)</f>
        <v>0</v>
      </c>
      <c r="L494">
        <f>IF($A494="","", SUMIFS(-Mov_Qty, Mov_Item, $A494, Mov_Type, "Consumption", Mov_Date, "&gt;="&amp;$V$2, Mov_Date, "&lt;="&amp;$W$2))</f>
        <v>0</v>
      </c>
      <c r="M494">
        <f>IF($A494="","", SUMIFS(-Mov_Qty, Mov_Item, $A494, Mov_Type, "Consumption", Mov_Date, "&gt;="&amp;$X$2, Mov_Date, "&lt;="&amp;$Y$2))</f>
        <v>0</v>
      </c>
      <c r="N494">
        <f>IF($A494="","", SUMIFS(-Mov_Qty, Mov_Item, $A494, Mov_Type, "Consumption", Mov_Date, "&gt;="&amp;$Z$2, Mov_Date, "&lt;="&amp;$AA$2))</f>
        <v>0</v>
      </c>
      <c r="O494">
        <f>IFERROR(AVERAGE(L494:N494),"")</f>
        <v>0</v>
      </c>
      <c r="P494">
        <f>IF(O494&gt;=Cfg_HiMove, "Yes", "")</f>
        <v>0</v>
      </c>
      <c r="Q494">
        <f>IF($A494="","", $I494 + IFERROR(O494/30*$H494,0))</f>
        <v>0</v>
      </c>
      <c r="R494">
        <f>IF($A494="","", IF(J494&lt;=$F494, "Yes", ""))</f>
        <v>0</v>
      </c>
      <c r="S494">
        <f>IF(R494="Yes", CEILING(MAX($G494, Q494-J494), $G494), 0)</f>
        <v>0</v>
      </c>
      <c r="T494">
        <f>IFERROR(J494/(O494/30),"")</f>
        <v>0</v>
      </c>
    </row>
    <row r="495" spans="10:20">
      <c r="J495">
        <f>IF($A495="","", SUMIFS(Mov_Qty, Mov_Item, $A495))</f>
        <v>0</v>
      </c>
      <c r="K495">
        <f>IF($A495="","", J495 * $E495)</f>
        <v>0</v>
      </c>
      <c r="L495">
        <f>IF($A495="","", SUMIFS(-Mov_Qty, Mov_Item, $A495, Mov_Type, "Consumption", Mov_Date, "&gt;="&amp;$V$2, Mov_Date, "&lt;="&amp;$W$2))</f>
        <v>0</v>
      </c>
      <c r="M495">
        <f>IF($A495="","", SUMIFS(-Mov_Qty, Mov_Item, $A495, Mov_Type, "Consumption", Mov_Date, "&gt;="&amp;$X$2, Mov_Date, "&lt;="&amp;$Y$2))</f>
        <v>0</v>
      </c>
      <c r="N495">
        <f>IF($A495="","", SUMIFS(-Mov_Qty, Mov_Item, $A495, Mov_Type, "Consumption", Mov_Date, "&gt;="&amp;$Z$2, Mov_Date, "&lt;="&amp;$AA$2))</f>
        <v>0</v>
      </c>
      <c r="O495">
        <f>IFERROR(AVERAGE(L495:N495),"")</f>
        <v>0</v>
      </c>
      <c r="P495">
        <f>IF(O495&gt;=Cfg_HiMove, "Yes", "")</f>
        <v>0</v>
      </c>
      <c r="Q495">
        <f>IF($A495="","", $I495 + IFERROR(O495/30*$H495,0))</f>
        <v>0</v>
      </c>
      <c r="R495">
        <f>IF($A495="","", IF(J495&lt;=$F495, "Yes", ""))</f>
        <v>0</v>
      </c>
      <c r="S495">
        <f>IF(R495="Yes", CEILING(MAX($G495, Q495-J495), $G495), 0)</f>
        <v>0</v>
      </c>
      <c r="T495">
        <f>IFERROR(J495/(O495/30),"")</f>
        <v>0</v>
      </c>
    </row>
    <row r="496" spans="10:20">
      <c r="J496">
        <f>IF($A496="","", SUMIFS(Mov_Qty, Mov_Item, $A496))</f>
        <v>0</v>
      </c>
      <c r="K496">
        <f>IF($A496="","", J496 * $E496)</f>
        <v>0</v>
      </c>
      <c r="L496">
        <f>IF($A496="","", SUMIFS(-Mov_Qty, Mov_Item, $A496, Mov_Type, "Consumption", Mov_Date, "&gt;="&amp;$V$2, Mov_Date, "&lt;="&amp;$W$2))</f>
        <v>0</v>
      </c>
      <c r="M496">
        <f>IF($A496="","", SUMIFS(-Mov_Qty, Mov_Item, $A496, Mov_Type, "Consumption", Mov_Date, "&gt;="&amp;$X$2, Mov_Date, "&lt;="&amp;$Y$2))</f>
        <v>0</v>
      </c>
      <c r="N496">
        <f>IF($A496="","", SUMIFS(-Mov_Qty, Mov_Item, $A496, Mov_Type, "Consumption", Mov_Date, "&gt;="&amp;$Z$2, Mov_Date, "&lt;="&amp;$AA$2))</f>
        <v>0</v>
      </c>
      <c r="O496">
        <f>IFERROR(AVERAGE(L496:N496),"")</f>
        <v>0</v>
      </c>
      <c r="P496">
        <f>IF(O496&gt;=Cfg_HiMove, "Yes", "")</f>
        <v>0</v>
      </c>
      <c r="Q496">
        <f>IF($A496="","", $I496 + IFERROR(O496/30*$H496,0))</f>
        <v>0</v>
      </c>
      <c r="R496">
        <f>IF($A496="","", IF(J496&lt;=$F496, "Yes", ""))</f>
        <v>0</v>
      </c>
      <c r="S496">
        <f>IF(R496="Yes", CEILING(MAX($G496, Q496-J496), $G496), 0)</f>
        <v>0</v>
      </c>
      <c r="T496">
        <f>IFERROR(J496/(O496/30),"")</f>
        <v>0</v>
      </c>
    </row>
    <row r="497" spans="10:20">
      <c r="J497">
        <f>IF($A497="","", SUMIFS(Mov_Qty, Mov_Item, $A497))</f>
        <v>0</v>
      </c>
      <c r="K497">
        <f>IF($A497="","", J497 * $E497)</f>
        <v>0</v>
      </c>
      <c r="L497">
        <f>IF($A497="","", SUMIFS(-Mov_Qty, Mov_Item, $A497, Mov_Type, "Consumption", Mov_Date, "&gt;="&amp;$V$2, Mov_Date, "&lt;="&amp;$W$2))</f>
        <v>0</v>
      </c>
      <c r="M497">
        <f>IF($A497="","", SUMIFS(-Mov_Qty, Mov_Item, $A497, Mov_Type, "Consumption", Mov_Date, "&gt;="&amp;$X$2, Mov_Date, "&lt;="&amp;$Y$2))</f>
        <v>0</v>
      </c>
      <c r="N497">
        <f>IF($A497="","", SUMIFS(-Mov_Qty, Mov_Item, $A497, Mov_Type, "Consumption", Mov_Date, "&gt;="&amp;$Z$2, Mov_Date, "&lt;="&amp;$AA$2))</f>
        <v>0</v>
      </c>
      <c r="O497">
        <f>IFERROR(AVERAGE(L497:N497),"")</f>
        <v>0</v>
      </c>
      <c r="P497">
        <f>IF(O497&gt;=Cfg_HiMove, "Yes", "")</f>
        <v>0</v>
      </c>
      <c r="Q497">
        <f>IF($A497="","", $I497 + IFERROR(O497/30*$H497,0))</f>
        <v>0</v>
      </c>
      <c r="R497">
        <f>IF($A497="","", IF(J497&lt;=$F497, "Yes", ""))</f>
        <v>0</v>
      </c>
      <c r="S497">
        <f>IF(R497="Yes", CEILING(MAX($G497, Q497-J497), $G497), 0)</f>
        <v>0</v>
      </c>
      <c r="T497">
        <f>IFERROR(J497/(O497/30),"")</f>
        <v>0</v>
      </c>
    </row>
    <row r="498" spans="10:20">
      <c r="J498">
        <f>IF($A498="","", SUMIFS(Mov_Qty, Mov_Item, $A498))</f>
        <v>0</v>
      </c>
      <c r="K498">
        <f>IF($A498="","", J498 * $E498)</f>
        <v>0</v>
      </c>
      <c r="L498">
        <f>IF($A498="","", SUMIFS(-Mov_Qty, Mov_Item, $A498, Mov_Type, "Consumption", Mov_Date, "&gt;="&amp;$V$2, Mov_Date, "&lt;="&amp;$W$2))</f>
        <v>0</v>
      </c>
      <c r="M498">
        <f>IF($A498="","", SUMIFS(-Mov_Qty, Mov_Item, $A498, Mov_Type, "Consumption", Mov_Date, "&gt;="&amp;$X$2, Mov_Date, "&lt;="&amp;$Y$2))</f>
        <v>0</v>
      </c>
      <c r="N498">
        <f>IF($A498="","", SUMIFS(-Mov_Qty, Mov_Item, $A498, Mov_Type, "Consumption", Mov_Date, "&gt;="&amp;$Z$2, Mov_Date, "&lt;="&amp;$AA$2))</f>
        <v>0</v>
      </c>
      <c r="O498">
        <f>IFERROR(AVERAGE(L498:N498),"")</f>
        <v>0</v>
      </c>
      <c r="P498">
        <f>IF(O498&gt;=Cfg_HiMove, "Yes", "")</f>
        <v>0</v>
      </c>
      <c r="Q498">
        <f>IF($A498="","", $I498 + IFERROR(O498/30*$H498,0))</f>
        <v>0</v>
      </c>
      <c r="R498">
        <f>IF($A498="","", IF(J498&lt;=$F498, "Yes", ""))</f>
        <v>0</v>
      </c>
      <c r="S498">
        <f>IF(R498="Yes", CEILING(MAX($G498, Q498-J498), $G498), 0)</f>
        <v>0</v>
      </c>
      <c r="T498">
        <f>IFERROR(J498/(O498/30),"")</f>
        <v>0</v>
      </c>
    </row>
    <row r="499" spans="10:20">
      <c r="J499">
        <f>IF($A499="","", SUMIFS(Mov_Qty, Mov_Item, $A499))</f>
        <v>0</v>
      </c>
      <c r="K499">
        <f>IF($A499="","", J499 * $E499)</f>
        <v>0</v>
      </c>
      <c r="L499">
        <f>IF($A499="","", SUMIFS(-Mov_Qty, Mov_Item, $A499, Mov_Type, "Consumption", Mov_Date, "&gt;="&amp;$V$2, Mov_Date, "&lt;="&amp;$W$2))</f>
        <v>0</v>
      </c>
      <c r="M499">
        <f>IF($A499="","", SUMIFS(-Mov_Qty, Mov_Item, $A499, Mov_Type, "Consumption", Mov_Date, "&gt;="&amp;$X$2, Mov_Date, "&lt;="&amp;$Y$2))</f>
        <v>0</v>
      </c>
      <c r="N499">
        <f>IF($A499="","", SUMIFS(-Mov_Qty, Mov_Item, $A499, Mov_Type, "Consumption", Mov_Date, "&gt;="&amp;$Z$2, Mov_Date, "&lt;="&amp;$AA$2))</f>
        <v>0</v>
      </c>
      <c r="O499">
        <f>IFERROR(AVERAGE(L499:N499),"")</f>
        <v>0</v>
      </c>
      <c r="P499">
        <f>IF(O499&gt;=Cfg_HiMove, "Yes", "")</f>
        <v>0</v>
      </c>
      <c r="Q499">
        <f>IF($A499="","", $I499 + IFERROR(O499/30*$H499,0))</f>
        <v>0</v>
      </c>
      <c r="R499">
        <f>IF($A499="","", IF(J499&lt;=$F499, "Yes", ""))</f>
        <v>0</v>
      </c>
      <c r="S499">
        <f>IF(R499="Yes", CEILING(MAX($G499, Q499-J499), $G499), 0)</f>
        <v>0</v>
      </c>
      <c r="T499">
        <f>IFERROR(J499/(O499/30),"")</f>
        <v>0</v>
      </c>
    </row>
    <row r="500" spans="10:20">
      <c r="J500">
        <f>IF($A500="","", SUMIFS(Mov_Qty, Mov_Item, $A500))</f>
        <v>0</v>
      </c>
      <c r="K500">
        <f>IF($A500="","", J500 * $E500)</f>
        <v>0</v>
      </c>
      <c r="L500">
        <f>IF($A500="","", SUMIFS(-Mov_Qty, Mov_Item, $A500, Mov_Type, "Consumption", Mov_Date, "&gt;="&amp;$V$2, Mov_Date, "&lt;="&amp;$W$2))</f>
        <v>0</v>
      </c>
      <c r="M500">
        <f>IF($A500="","", SUMIFS(-Mov_Qty, Mov_Item, $A500, Mov_Type, "Consumption", Mov_Date, "&gt;="&amp;$X$2, Mov_Date, "&lt;="&amp;$Y$2))</f>
        <v>0</v>
      </c>
      <c r="N500">
        <f>IF($A500="","", SUMIFS(-Mov_Qty, Mov_Item, $A500, Mov_Type, "Consumption", Mov_Date, "&gt;="&amp;$Z$2, Mov_Date, "&lt;="&amp;$AA$2))</f>
        <v>0</v>
      </c>
      <c r="O500">
        <f>IFERROR(AVERAGE(L500:N500),"")</f>
        <v>0</v>
      </c>
      <c r="P500">
        <f>IF(O500&gt;=Cfg_HiMove, "Yes", "")</f>
        <v>0</v>
      </c>
      <c r="Q500">
        <f>IF($A500="","", $I500 + IFERROR(O500/30*$H500,0))</f>
        <v>0</v>
      </c>
      <c r="R500">
        <f>IF($A500="","", IF(J500&lt;=$F500, "Yes", ""))</f>
        <v>0</v>
      </c>
      <c r="S500">
        <f>IF(R500="Yes", CEILING(MAX($G500, Q500-J500), $G500), 0)</f>
        <v>0</v>
      </c>
      <c r="T500">
        <f>IFERROR(J500/(O500/30),"")</f>
        <v>0</v>
      </c>
    </row>
    <row r="501" spans="10:20">
      <c r="J501">
        <f>IF($A501="","", SUMIFS(Mov_Qty, Mov_Item, $A501))</f>
        <v>0</v>
      </c>
      <c r="K501">
        <f>IF($A501="","", J501 * $E501)</f>
        <v>0</v>
      </c>
      <c r="L501">
        <f>IF($A501="","", SUMIFS(-Mov_Qty, Mov_Item, $A501, Mov_Type, "Consumption", Mov_Date, "&gt;="&amp;$V$2, Mov_Date, "&lt;="&amp;$W$2))</f>
        <v>0</v>
      </c>
      <c r="M501">
        <f>IF($A501="","", SUMIFS(-Mov_Qty, Mov_Item, $A501, Mov_Type, "Consumption", Mov_Date, "&gt;="&amp;$X$2, Mov_Date, "&lt;="&amp;$Y$2))</f>
        <v>0</v>
      </c>
      <c r="N501">
        <f>IF($A501="","", SUMIFS(-Mov_Qty, Mov_Item, $A501, Mov_Type, "Consumption", Mov_Date, "&gt;="&amp;$Z$2, Mov_Date, "&lt;="&amp;$AA$2))</f>
        <v>0</v>
      </c>
      <c r="O501">
        <f>IFERROR(AVERAGE(L501:N501),"")</f>
        <v>0</v>
      </c>
      <c r="P501">
        <f>IF(O501&gt;=Cfg_HiMove, "Yes", "")</f>
        <v>0</v>
      </c>
      <c r="Q501">
        <f>IF($A501="","", $I501 + IFERROR(O501/30*$H501,0))</f>
        <v>0</v>
      </c>
      <c r="R501">
        <f>IF($A501="","", IF(J501&lt;=$F501, "Yes", ""))</f>
        <v>0</v>
      </c>
      <c r="S501">
        <f>IF(R501="Yes", CEILING(MAX($G501, Q501-J501), $G501), 0)</f>
        <v>0</v>
      </c>
      <c r="T501">
        <f>IFERROR(J501/(O501/30),"")</f>
        <v>0</v>
      </c>
    </row>
    <row r="502" spans="10:20">
      <c r="J502">
        <f>IF($A502="","", SUMIFS(Mov_Qty, Mov_Item, $A502))</f>
        <v>0</v>
      </c>
      <c r="K502">
        <f>IF($A502="","", J502 * $E502)</f>
        <v>0</v>
      </c>
      <c r="L502">
        <f>IF($A502="","", SUMIFS(-Mov_Qty, Mov_Item, $A502, Mov_Type, "Consumption", Mov_Date, "&gt;="&amp;$V$2, Mov_Date, "&lt;="&amp;$W$2))</f>
        <v>0</v>
      </c>
      <c r="M502">
        <f>IF($A502="","", SUMIFS(-Mov_Qty, Mov_Item, $A502, Mov_Type, "Consumption", Mov_Date, "&gt;="&amp;$X$2, Mov_Date, "&lt;="&amp;$Y$2))</f>
        <v>0</v>
      </c>
      <c r="N502">
        <f>IF($A502="","", SUMIFS(-Mov_Qty, Mov_Item, $A502, Mov_Type, "Consumption", Mov_Date, "&gt;="&amp;$Z$2, Mov_Date, "&lt;="&amp;$AA$2))</f>
        <v>0</v>
      </c>
      <c r="O502">
        <f>IFERROR(AVERAGE(L502:N502),"")</f>
        <v>0</v>
      </c>
      <c r="P502">
        <f>IF(O502&gt;=Cfg_HiMove, "Yes", "")</f>
        <v>0</v>
      </c>
      <c r="Q502">
        <f>IF($A502="","", $I502 + IFERROR(O502/30*$H502,0))</f>
        <v>0</v>
      </c>
      <c r="R502">
        <f>IF($A502="","", IF(J502&lt;=$F502, "Yes", ""))</f>
        <v>0</v>
      </c>
      <c r="S502">
        <f>IF(R502="Yes", CEILING(MAX($G502, Q502-J502), $G502), 0)</f>
        <v>0</v>
      </c>
      <c r="T502">
        <f>IFERROR(J502/(O502/30),"")</f>
        <v>0</v>
      </c>
    </row>
    <row r="503" spans="10:20">
      <c r="J503">
        <f>IF($A503="","", SUMIFS(Mov_Qty, Mov_Item, $A503))</f>
        <v>0</v>
      </c>
      <c r="K503">
        <f>IF($A503="","", J503 * $E503)</f>
        <v>0</v>
      </c>
      <c r="L503">
        <f>IF($A503="","", SUMIFS(-Mov_Qty, Mov_Item, $A503, Mov_Type, "Consumption", Mov_Date, "&gt;="&amp;$V$2, Mov_Date, "&lt;="&amp;$W$2))</f>
        <v>0</v>
      </c>
      <c r="M503">
        <f>IF($A503="","", SUMIFS(-Mov_Qty, Mov_Item, $A503, Mov_Type, "Consumption", Mov_Date, "&gt;="&amp;$X$2, Mov_Date, "&lt;="&amp;$Y$2))</f>
        <v>0</v>
      </c>
      <c r="N503">
        <f>IF($A503="","", SUMIFS(-Mov_Qty, Mov_Item, $A503, Mov_Type, "Consumption", Mov_Date, "&gt;="&amp;$Z$2, Mov_Date, "&lt;="&amp;$AA$2))</f>
        <v>0</v>
      </c>
      <c r="O503">
        <f>IFERROR(AVERAGE(L503:N503),"")</f>
        <v>0</v>
      </c>
      <c r="P503">
        <f>IF(O503&gt;=Cfg_HiMove, "Yes", "")</f>
        <v>0</v>
      </c>
      <c r="Q503">
        <f>IF($A503="","", $I503 + IFERROR(O503/30*$H503,0))</f>
        <v>0</v>
      </c>
      <c r="R503">
        <f>IF($A503="","", IF(J503&lt;=$F503, "Yes", ""))</f>
        <v>0</v>
      </c>
      <c r="S503">
        <f>IF(R503="Yes", CEILING(MAX($G503, Q503-J503), $G503), 0)</f>
        <v>0</v>
      </c>
      <c r="T503">
        <f>IFERROR(J503/(O503/30),"")</f>
        <v>0</v>
      </c>
    </row>
    <row r="504" spans="10:20">
      <c r="J504">
        <f>IF($A504="","", SUMIFS(Mov_Qty, Mov_Item, $A504))</f>
        <v>0</v>
      </c>
      <c r="K504">
        <f>IF($A504="","", J504 * $E504)</f>
        <v>0</v>
      </c>
      <c r="L504">
        <f>IF($A504="","", SUMIFS(-Mov_Qty, Mov_Item, $A504, Mov_Type, "Consumption", Mov_Date, "&gt;="&amp;$V$2, Mov_Date, "&lt;="&amp;$W$2))</f>
        <v>0</v>
      </c>
      <c r="M504">
        <f>IF($A504="","", SUMIFS(-Mov_Qty, Mov_Item, $A504, Mov_Type, "Consumption", Mov_Date, "&gt;="&amp;$X$2, Mov_Date, "&lt;="&amp;$Y$2))</f>
        <v>0</v>
      </c>
      <c r="N504">
        <f>IF($A504="","", SUMIFS(-Mov_Qty, Mov_Item, $A504, Mov_Type, "Consumption", Mov_Date, "&gt;="&amp;$Z$2, Mov_Date, "&lt;="&amp;$AA$2))</f>
        <v>0</v>
      </c>
      <c r="O504">
        <f>IFERROR(AVERAGE(L504:N504),"")</f>
        <v>0</v>
      </c>
      <c r="P504">
        <f>IF(O504&gt;=Cfg_HiMove, "Yes", "")</f>
        <v>0</v>
      </c>
      <c r="Q504">
        <f>IF($A504="","", $I504 + IFERROR(O504/30*$H504,0))</f>
        <v>0</v>
      </c>
      <c r="R504">
        <f>IF($A504="","", IF(J504&lt;=$F504, "Yes", ""))</f>
        <v>0</v>
      </c>
      <c r="S504">
        <f>IF(R504="Yes", CEILING(MAX($G504, Q504-J504), $G504), 0)</f>
        <v>0</v>
      </c>
      <c r="T504">
        <f>IFERROR(J504/(O504/30),"")</f>
        <v>0</v>
      </c>
    </row>
    <row r="505" spans="10:20">
      <c r="J505">
        <f>IF($A505="","", SUMIFS(Mov_Qty, Mov_Item, $A505))</f>
        <v>0</v>
      </c>
      <c r="K505">
        <f>IF($A505="","", J505 * $E505)</f>
        <v>0</v>
      </c>
      <c r="L505">
        <f>IF($A505="","", SUMIFS(-Mov_Qty, Mov_Item, $A505, Mov_Type, "Consumption", Mov_Date, "&gt;="&amp;$V$2, Mov_Date, "&lt;="&amp;$W$2))</f>
        <v>0</v>
      </c>
      <c r="M505">
        <f>IF($A505="","", SUMIFS(-Mov_Qty, Mov_Item, $A505, Mov_Type, "Consumption", Mov_Date, "&gt;="&amp;$X$2, Mov_Date, "&lt;="&amp;$Y$2))</f>
        <v>0</v>
      </c>
      <c r="N505">
        <f>IF($A505="","", SUMIFS(-Mov_Qty, Mov_Item, $A505, Mov_Type, "Consumption", Mov_Date, "&gt;="&amp;$Z$2, Mov_Date, "&lt;="&amp;$AA$2))</f>
        <v>0</v>
      </c>
      <c r="O505">
        <f>IFERROR(AVERAGE(L505:N505),"")</f>
        <v>0</v>
      </c>
      <c r="P505">
        <f>IF(O505&gt;=Cfg_HiMove, "Yes", "")</f>
        <v>0</v>
      </c>
      <c r="Q505">
        <f>IF($A505="","", $I505 + IFERROR(O505/30*$H505,0))</f>
        <v>0</v>
      </c>
      <c r="R505">
        <f>IF($A505="","", IF(J505&lt;=$F505, "Yes", ""))</f>
        <v>0</v>
      </c>
      <c r="S505">
        <f>IF(R505="Yes", CEILING(MAX($G505, Q505-J505), $G505), 0)</f>
        <v>0</v>
      </c>
      <c r="T505">
        <f>IFERROR(J505/(O505/30),"")</f>
        <v>0</v>
      </c>
    </row>
    <row r="506" spans="10:20">
      <c r="J506">
        <f>IF($A506="","", SUMIFS(Mov_Qty, Mov_Item, $A506))</f>
        <v>0</v>
      </c>
      <c r="K506">
        <f>IF($A506="","", J506 * $E506)</f>
        <v>0</v>
      </c>
      <c r="L506">
        <f>IF($A506="","", SUMIFS(-Mov_Qty, Mov_Item, $A506, Mov_Type, "Consumption", Mov_Date, "&gt;="&amp;$V$2, Mov_Date, "&lt;="&amp;$W$2))</f>
        <v>0</v>
      </c>
      <c r="M506">
        <f>IF($A506="","", SUMIFS(-Mov_Qty, Mov_Item, $A506, Mov_Type, "Consumption", Mov_Date, "&gt;="&amp;$X$2, Mov_Date, "&lt;="&amp;$Y$2))</f>
        <v>0</v>
      </c>
      <c r="N506">
        <f>IF($A506="","", SUMIFS(-Mov_Qty, Mov_Item, $A506, Mov_Type, "Consumption", Mov_Date, "&gt;="&amp;$Z$2, Mov_Date, "&lt;="&amp;$AA$2))</f>
        <v>0</v>
      </c>
      <c r="O506">
        <f>IFERROR(AVERAGE(L506:N506),"")</f>
        <v>0</v>
      </c>
      <c r="P506">
        <f>IF(O506&gt;=Cfg_HiMove, "Yes", "")</f>
        <v>0</v>
      </c>
      <c r="Q506">
        <f>IF($A506="","", $I506 + IFERROR(O506/30*$H506,0))</f>
        <v>0</v>
      </c>
      <c r="R506">
        <f>IF($A506="","", IF(J506&lt;=$F506, "Yes", ""))</f>
        <v>0</v>
      </c>
      <c r="S506">
        <f>IF(R506="Yes", CEILING(MAX($G506, Q506-J506), $G506), 0)</f>
        <v>0</v>
      </c>
      <c r="T506">
        <f>IFERROR(J506/(O506/30),"")</f>
        <v>0</v>
      </c>
    </row>
    <row r="507" spans="10:20">
      <c r="J507">
        <f>IF($A507="","", SUMIFS(Mov_Qty, Mov_Item, $A507))</f>
        <v>0</v>
      </c>
      <c r="K507">
        <f>IF($A507="","", J507 * $E507)</f>
        <v>0</v>
      </c>
      <c r="L507">
        <f>IF($A507="","", SUMIFS(-Mov_Qty, Mov_Item, $A507, Mov_Type, "Consumption", Mov_Date, "&gt;="&amp;$V$2, Mov_Date, "&lt;="&amp;$W$2))</f>
        <v>0</v>
      </c>
      <c r="M507">
        <f>IF($A507="","", SUMIFS(-Mov_Qty, Mov_Item, $A507, Mov_Type, "Consumption", Mov_Date, "&gt;="&amp;$X$2, Mov_Date, "&lt;="&amp;$Y$2))</f>
        <v>0</v>
      </c>
      <c r="N507">
        <f>IF($A507="","", SUMIFS(-Mov_Qty, Mov_Item, $A507, Mov_Type, "Consumption", Mov_Date, "&gt;="&amp;$Z$2, Mov_Date, "&lt;="&amp;$AA$2))</f>
        <v>0</v>
      </c>
      <c r="O507">
        <f>IFERROR(AVERAGE(L507:N507),"")</f>
        <v>0</v>
      </c>
      <c r="P507">
        <f>IF(O507&gt;=Cfg_HiMove, "Yes", "")</f>
        <v>0</v>
      </c>
      <c r="Q507">
        <f>IF($A507="","", $I507 + IFERROR(O507/30*$H507,0))</f>
        <v>0</v>
      </c>
      <c r="R507">
        <f>IF($A507="","", IF(J507&lt;=$F507, "Yes", ""))</f>
        <v>0</v>
      </c>
      <c r="S507">
        <f>IF(R507="Yes", CEILING(MAX($G507, Q507-J507), $G507), 0)</f>
        <v>0</v>
      </c>
      <c r="T507">
        <f>IFERROR(J507/(O507/30),"")</f>
        <v>0</v>
      </c>
    </row>
    <row r="508" spans="10:20">
      <c r="J508">
        <f>IF($A508="","", SUMIFS(Mov_Qty, Mov_Item, $A508))</f>
        <v>0</v>
      </c>
      <c r="K508">
        <f>IF($A508="","", J508 * $E508)</f>
        <v>0</v>
      </c>
      <c r="L508">
        <f>IF($A508="","", SUMIFS(-Mov_Qty, Mov_Item, $A508, Mov_Type, "Consumption", Mov_Date, "&gt;="&amp;$V$2, Mov_Date, "&lt;="&amp;$W$2))</f>
        <v>0</v>
      </c>
      <c r="M508">
        <f>IF($A508="","", SUMIFS(-Mov_Qty, Mov_Item, $A508, Mov_Type, "Consumption", Mov_Date, "&gt;="&amp;$X$2, Mov_Date, "&lt;="&amp;$Y$2))</f>
        <v>0</v>
      </c>
      <c r="N508">
        <f>IF($A508="","", SUMIFS(-Mov_Qty, Mov_Item, $A508, Mov_Type, "Consumption", Mov_Date, "&gt;="&amp;$Z$2, Mov_Date, "&lt;="&amp;$AA$2))</f>
        <v>0</v>
      </c>
      <c r="O508">
        <f>IFERROR(AVERAGE(L508:N508),"")</f>
        <v>0</v>
      </c>
      <c r="P508">
        <f>IF(O508&gt;=Cfg_HiMove, "Yes", "")</f>
        <v>0</v>
      </c>
      <c r="Q508">
        <f>IF($A508="","", $I508 + IFERROR(O508/30*$H508,0))</f>
        <v>0</v>
      </c>
      <c r="R508">
        <f>IF($A508="","", IF(J508&lt;=$F508, "Yes", ""))</f>
        <v>0</v>
      </c>
      <c r="S508">
        <f>IF(R508="Yes", CEILING(MAX($G508, Q508-J508), $G508), 0)</f>
        <v>0</v>
      </c>
      <c r="T508">
        <f>IFERROR(J508/(O508/30),"")</f>
        <v>0</v>
      </c>
    </row>
    <row r="509" spans="10:20">
      <c r="J509">
        <f>IF($A509="","", SUMIFS(Mov_Qty, Mov_Item, $A509))</f>
        <v>0</v>
      </c>
      <c r="K509">
        <f>IF($A509="","", J509 * $E509)</f>
        <v>0</v>
      </c>
      <c r="L509">
        <f>IF($A509="","", SUMIFS(-Mov_Qty, Mov_Item, $A509, Mov_Type, "Consumption", Mov_Date, "&gt;="&amp;$V$2, Mov_Date, "&lt;="&amp;$W$2))</f>
        <v>0</v>
      </c>
      <c r="M509">
        <f>IF($A509="","", SUMIFS(-Mov_Qty, Mov_Item, $A509, Mov_Type, "Consumption", Mov_Date, "&gt;="&amp;$X$2, Mov_Date, "&lt;="&amp;$Y$2))</f>
        <v>0</v>
      </c>
      <c r="N509">
        <f>IF($A509="","", SUMIFS(-Mov_Qty, Mov_Item, $A509, Mov_Type, "Consumption", Mov_Date, "&gt;="&amp;$Z$2, Mov_Date, "&lt;="&amp;$AA$2))</f>
        <v>0</v>
      </c>
      <c r="O509">
        <f>IFERROR(AVERAGE(L509:N509),"")</f>
        <v>0</v>
      </c>
      <c r="P509">
        <f>IF(O509&gt;=Cfg_HiMove, "Yes", "")</f>
        <v>0</v>
      </c>
      <c r="Q509">
        <f>IF($A509="","", $I509 + IFERROR(O509/30*$H509,0))</f>
        <v>0</v>
      </c>
      <c r="R509">
        <f>IF($A509="","", IF(J509&lt;=$F509, "Yes", ""))</f>
        <v>0</v>
      </c>
      <c r="S509">
        <f>IF(R509="Yes", CEILING(MAX($G509, Q509-J509), $G509), 0)</f>
        <v>0</v>
      </c>
      <c r="T509">
        <f>IFERROR(J509/(O509/30),"")</f>
        <v>0</v>
      </c>
    </row>
    <row r="510" spans="10:20">
      <c r="J510">
        <f>IF($A510="","", SUMIFS(Mov_Qty, Mov_Item, $A510))</f>
        <v>0</v>
      </c>
      <c r="K510">
        <f>IF($A510="","", J510 * $E510)</f>
        <v>0</v>
      </c>
      <c r="L510">
        <f>IF($A510="","", SUMIFS(-Mov_Qty, Mov_Item, $A510, Mov_Type, "Consumption", Mov_Date, "&gt;="&amp;$V$2, Mov_Date, "&lt;="&amp;$W$2))</f>
        <v>0</v>
      </c>
      <c r="M510">
        <f>IF($A510="","", SUMIFS(-Mov_Qty, Mov_Item, $A510, Mov_Type, "Consumption", Mov_Date, "&gt;="&amp;$X$2, Mov_Date, "&lt;="&amp;$Y$2))</f>
        <v>0</v>
      </c>
      <c r="N510">
        <f>IF($A510="","", SUMIFS(-Mov_Qty, Mov_Item, $A510, Mov_Type, "Consumption", Mov_Date, "&gt;="&amp;$Z$2, Mov_Date, "&lt;="&amp;$AA$2))</f>
        <v>0</v>
      </c>
      <c r="O510">
        <f>IFERROR(AVERAGE(L510:N510),"")</f>
        <v>0</v>
      </c>
      <c r="P510">
        <f>IF(O510&gt;=Cfg_HiMove, "Yes", "")</f>
        <v>0</v>
      </c>
      <c r="Q510">
        <f>IF($A510="","", $I510 + IFERROR(O510/30*$H510,0))</f>
        <v>0</v>
      </c>
      <c r="R510">
        <f>IF($A510="","", IF(J510&lt;=$F510, "Yes", ""))</f>
        <v>0</v>
      </c>
      <c r="S510">
        <f>IF(R510="Yes", CEILING(MAX($G510, Q510-J510), $G510), 0)</f>
        <v>0</v>
      </c>
      <c r="T510">
        <f>IFERROR(J510/(O510/30),"")</f>
        <v>0</v>
      </c>
    </row>
    <row r="511" spans="10:20">
      <c r="J511">
        <f>IF($A511="","", SUMIFS(Mov_Qty, Mov_Item, $A511))</f>
        <v>0</v>
      </c>
      <c r="K511">
        <f>IF($A511="","", J511 * $E511)</f>
        <v>0</v>
      </c>
      <c r="L511">
        <f>IF($A511="","", SUMIFS(-Mov_Qty, Mov_Item, $A511, Mov_Type, "Consumption", Mov_Date, "&gt;="&amp;$V$2, Mov_Date, "&lt;="&amp;$W$2))</f>
        <v>0</v>
      </c>
      <c r="M511">
        <f>IF($A511="","", SUMIFS(-Mov_Qty, Mov_Item, $A511, Mov_Type, "Consumption", Mov_Date, "&gt;="&amp;$X$2, Mov_Date, "&lt;="&amp;$Y$2))</f>
        <v>0</v>
      </c>
      <c r="N511">
        <f>IF($A511="","", SUMIFS(-Mov_Qty, Mov_Item, $A511, Mov_Type, "Consumption", Mov_Date, "&gt;="&amp;$Z$2, Mov_Date, "&lt;="&amp;$AA$2))</f>
        <v>0</v>
      </c>
      <c r="O511">
        <f>IFERROR(AVERAGE(L511:N511),"")</f>
        <v>0</v>
      </c>
      <c r="P511">
        <f>IF(O511&gt;=Cfg_HiMove, "Yes", "")</f>
        <v>0</v>
      </c>
      <c r="Q511">
        <f>IF($A511="","", $I511 + IFERROR(O511/30*$H511,0))</f>
        <v>0</v>
      </c>
      <c r="R511">
        <f>IF($A511="","", IF(J511&lt;=$F511, "Yes", ""))</f>
        <v>0</v>
      </c>
      <c r="S511">
        <f>IF(R511="Yes", CEILING(MAX($G511, Q511-J511), $G511), 0)</f>
        <v>0</v>
      </c>
      <c r="T511">
        <f>IFERROR(J511/(O511/30),"")</f>
        <v>0</v>
      </c>
    </row>
    <row r="512" spans="10:20">
      <c r="J512">
        <f>IF($A512="","", SUMIFS(Mov_Qty, Mov_Item, $A512))</f>
        <v>0</v>
      </c>
      <c r="K512">
        <f>IF($A512="","", J512 * $E512)</f>
        <v>0</v>
      </c>
      <c r="L512">
        <f>IF($A512="","", SUMIFS(-Mov_Qty, Mov_Item, $A512, Mov_Type, "Consumption", Mov_Date, "&gt;="&amp;$V$2, Mov_Date, "&lt;="&amp;$W$2))</f>
        <v>0</v>
      </c>
      <c r="M512">
        <f>IF($A512="","", SUMIFS(-Mov_Qty, Mov_Item, $A512, Mov_Type, "Consumption", Mov_Date, "&gt;="&amp;$X$2, Mov_Date, "&lt;="&amp;$Y$2))</f>
        <v>0</v>
      </c>
      <c r="N512">
        <f>IF($A512="","", SUMIFS(-Mov_Qty, Mov_Item, $A512, Mov_Type, "Consumption", Mov_Date, "&gt;="&amp;$Z$2, Mov_Date, "&lt;="&amp;$AA$2))</f>
        <v>0</v>
      </c>
      <c r="O512">
        <f>IFERROR(AVERAGE(L512:N512),"")</f>
        <v>0</v>
      </c>
      <c r="P512">
        <f>IF(O512&gt;=Cfg_HiMove, "Yes", "")</f>
        <v>0</v>
      </c>
      <c r="Q512">
        <f>IF($A512="","", $I512 + IFERROR(O512/30*$H512,0))</f>
        <v>0</v>
      </c>
      <c r="R512">
        <f>IF($A512="","", IF(J512&lt;=$F512, "Yes", ""))</f>
        <v>0</v>
      </c>
      <c r="S512">
        <f>IF(R512="Yes", CEILING(MAX($G512, Q512-J512), $G512), 0)</f>
        <v>0</v>
      </c>
      <c r="T512">
        <f>IFERROR(J512/(O512/30),"")</f>
        <v>0</v>
      </c>
    </row>
    <row r="513" spans="10:20">
      <c r="J513">
        <f>IF($A513="","", SUMIFS(Mov_Qty, Mov_Item, $A513))</f>
        <v>0</v>
      </c>
      <c r="K513">
        <f>IF($A513="","", J513 * $E513)</f>
        <v>0</v>
      </c>
      <c r="L513">
        <f>IF($A513="","", SUMIFS(-Mov_Qty, Mov_Item, $A513, Mov_Type, "Consumption", Mov_Date, "&gt;="&amp;$V$2, Mov_Date, "&lt;="&amp;$W$2))</f>
        <v>0</v>
      </c>
      <c r="M513">
        <f>IF($A513="","", SUMIFS(-Mov_Qty, Mov_Item, $A513, Mov_Type, "Consumption", Mov_Date, "&gt;="&amp;$X$2, Mov_Date, "&lt;="&amp;$Y$2))</f>
        <v>0</v>
      </c>
      <c r="N513">
        <f>IF($A513="","", SUMIFS(-Mov_Qty, Mov_Item, $A513, Mov_Type, "Consumption", Mov_Date, "&gt;="&amp;$Z$2, Mov_Date, "&lt;="&amp;$AA$2))</f>
        <v>0</v>
      </c>
      <c r="O513">
        <f>IFERROR(AVERAGE(L513:N513),"")</f>
        <v>0</v>
      </c>
      <c r="P513">
        <f>IF(O513&gt;=Cfg_HiMove, "Yes", "")</f>
        <v>0</v>
      </c>
      <c r="Q513">
        <f>IF($A513="","", $I513 + IFERROR(O513/30*$H513,0))</f>
        <v>0</v>
      </c>
      <c r="R513">
        <f>IF($A513="","", IF(J513&lt;=$F513, "Yes", ""))</f>
        <v>0</v>
      </c>
      <c r="S513">
        <f>IF(R513="Yes", CEILING(MAX($G513, Q513-J513), $G513), 0)</f>
        <v>0</v>
      </c>
      <c r="T513">
        <f>IFERROR(J513/(O513/30),"")</f>
        <v>0</v>
      </c>
    </row>
    <row r="514" spans="10:20">
      <c r="J514">
        <f>IF($A514="","", SUMIFS(Mov_Qty, Mov_Item, $A514))</f>
        <v>0</v>
      </c>
      <c r="K514">
        <f>IF($A514="","", J514 * $E514)</f>
        <v>0</v>
      </c>
      <c r="L514">
        <f>IF($A514="","", SUMIFS(-Mov_Qty, Mov_Item, $A514, Mov_Type, "Consumption", Mov_Date, "&gt;="&amp;$V$2, Mov_Date, "&lt;="&amp;$W$2))</f>
        <v>0</v>
      </c>
      <c r="M514">
        <f>IF($A514="","", SUMIFS(-Mov_Qty, Mov_Item, $A514, Mov_Type, "Consumption", Mov_Date, "&gt;="&amp;$X$2, Mov_Date, "&lt;="&amp;$Y$2))</f>
        <v>0</v>
      </c>
      <c r="N514">
        <f>IF($A514="","", SUMIFS(-Mov_Qty, Mov_Item, $A514, Mov_Type, "Consumption", Mov_Date, "&gt;="&amp;$Z$2, Mov_Date, "&lt;="&amp;$AA$2))</f>
        <v>0</v>
      </c>
      <c r="O514">
        <f>IFERROR(AVERAGE(L514:N514),"")</f>
        <v>0</v>
      </c>
      <c r="P514">
        <f>IF(O514&gt;=Cfg_HiMove, "Yes", "")</f>
        <v>0</v>
      </c>
      <c r="Q514">
        <f>IF($A514="","", $I514 + IFERROR(O514/30*$H514,0))</f>
        <v>0</v>
      </c>
      <c r="R514">
        <f>IF($A514="","", IF(J514&lt;=$F514, "Yes", ""))</f>
        <v>0</v>
      </c>
      <c r="S514">
        <f>IF(R514="Yes", CEILING(MAX($G514, Q514-J514), $G514), 0)</f>
        <v>0</v>
      </c>
      <c r="T514">
        <f>IFERROR(J514/(O514/30),"")</f>
        <v>0</v>
      </c>
    </row>
    <row r="515" spans="10:20">
      <c r="J515">
        <f>IF($A515="","", SUMIFS(Mov_Qty, Mov_Item, $A515))</f>
        <v>0</v>
      </c>
      <c r="K515">
        <f>IF($A515="","", J515 * $E515)</f>
        <v>0</v>
      </c>
      <c r="L515">
        <f>IF($A515="","", SUMIFS(-Mov_Qty, Mov_Item, $A515, Mov_Type, "Consumption", Mov_Date, "&gt;="&amp;$V$2, Mov_Date, "&lt;="&amp;$W$2))</f>
        <v>0</v>
      </c>
      <c r="M515">
        <f>IF($A515="","", SUMIFS(-Mov_Qty, Mov_Item, $A515, Mov_Type, "Consumption", Mov_Date, "&gt;="&amp;$X$2, Mov_Date, "&lt;="&amp;$Y$2))</f>
        <v>0</v>
      </c>
      <c r="N515">
        <f>IF($A515="","", SUMIFS(-Mov_Qty, Mov_Item, $A515, Mov_Type, "Consumption", Mov_Date, "&gt;="&amp;$Z$2, Mov_Date, "&lt;="&amp;$AA$2))</f>
        <v>0</v>
      </c>
      <c r="O515">
        <f>IFERROR(AVERAGE(L515:N515),"")</f>
        <v>0</v>
      </c>
      <c r="P515">
        <f>IF(O515&gt;=Cfg_HiMove, "Yes", "")</f>
        <v>0</v>
      </c>
      <c r="Q515">
        <f>IF($A515="","", $I515 + IFERROR(O515/30*$H515,0))</f>
        <v>0</v>
      </c>
      <c r="R515">
        <f>IF($A515="","", IF(J515&lt;=$F515, "Yes", ""))</f>
        <v>0</v>
      </c>
      <c r="S515">
        <f>IF(R515="Yes", CEILING(MAX($G515, Q515-J515), $G515), 0)</f>
        <v>0</v>
      </c>
      <c r="T515">
        <f>IFERROR(J515/(O515/30),"")</f>
        <v>0</v>
      </c>
    </row>
    <row r="516" spans="10:20">
      <c r="J516">
        <f>IF($A516="","", SUMIFS(Mov_Qty, Mov_Item, $A516))</f>
        <v>0</v>
      </c>
      <c r="K516">
        <f>IF($A516="","", J516 * $E516)</f>
        <v>0</v>
      </c>
      <c r="L516">
        <f>IF($A516="","", SUMIFS(-Mov_Qty, Mov_Item, $A516, Mov_Type, "Consumption", Mov_Date, "&gt;="&amp;$V$2, Mov_Date, "&lt;="&amp;$W$2))</f>
        <v>0</v>
      </c>
      <c r="M516">
        <f>IF($A516="","", SUMIFS(-Mov_Qty, Mov_Item, $A516, Mov_Type, "Consumption", Mov_Date, "&gt;="&amp;$X$2, Mov_Date, "&lt;="&amp;$Y$2))</f>
        <v>0</v>
      </c>
      <c r="N516">
        <f>IF($A516="","", SUMIFS(-Mov_Qty, Mov_Item, $A516, Mov_Type, "Consumption", Mov_Date, "&gt;="&amp;$Z$2, Mov_Date, "&lt;="&amp;$AA$2))</f>
        <v>0</v>
      </c>
      <c r="O516">
        <f>IFERROR(AVERAGE(L516:N516),"")</f>
        <v>0</v>
      </c>
      <c r="P516">
        <f>IF(O516&gt;=Cfg_HiMove, "Yes", "")</f>
        <v>0</v>
      </c>
      <c r="Q516">
        <f>IF($A516="","", $I516 + IFERROR(O516/30*$H516,0))</f>
        <v>0</v>
      </c>
      <c r="R516">
        <f>IF($A516="","", IF(J516&lt;=$F516, "Yes", ""))</f>
        <v>0</v>
      </c>
      <c r="S516">
        <f>IF(R516="Yes", CEILING(MAX($G516, Q516-J516), $G516), 0)</f>
        <v>0</v>
      </c>
      <c r="T516">
        <f>IFERROR(J516/(O516/30),"")</f>
        <v>0</v>
      </c>
    </row>
    <row r="517" spans="10:20">
      <c r="J517">
        <f>IF($A517="","", SUMIFS(Mov_Qty, Mov_Item, $A517))</f>
        <v>0</v>
      </c>
      <c r="K517">
        <f>IF($A517="","", J517 * $E517)</f>
        <v>0</v>
      </c>
      <c r="L517">
        <f>IF($A517="","", SUMIFS(-Mov_Qty, Mov_Item, $A517, Mov_Type, "Consumption", Mov_Date, "&gt;="&amp;$V$2, Mov_Date, "&lt;="&amp;$W$2))</f>
        <v>0</v>
      </c>
      <c r="M517">
        <f>IF($A517="","", SUMIFS(-Mov_Qty, Mov_Item, $A517, Mov_Type, "Consumption", Mov_Date, "&gt;="&amp;$X$2, Mov_Date, "&lt;="&amp;$Y$2))</f>
        <v>0</v>
      </c>
      <c r="N517">
        <f>IF($A517="","", SUMIFS(-Mov_Qty, Mov_Item, $A517, Mov_Type, "Consumption", Mov_Date, "&gt;="&amp;$Z$2, Mov_Date, "&lt;="&amp;$AA$2))</f>
        <v>0</v>
      </c>
      <c r="O517">
        <f>IFERROR(AVERAGE(L517:N517),"")</f>
        <v>0</v>
      </c>
      <c r="P517">
        <f>IF(O517&gt;=Cfg_HiMove, "Yes", "")</f>
        <v>0</v>
      </c>
      <c r="Q517">
        <f>IF($A517="","", $I517 + IFERROR(O517/30*$H517,0))</f>
        <v>0</v>
      </c>
      <c r="R517">
        <f>IF($A517="","", IF(J517&lt;=$F517, "Yes", ""))</f>
        <v>0</v>
      </c>
      <c r="S517">
        <f>IF(R517="Yes", CEILING(MAX($G517, Q517-J517), $G517), 0)</f>
        <v>0</v>
      </c>
      <c r="T517">
        <f>IFERROR(J517/(O517/30),"")</f>
        <v>0</v>
      </c>
    </row>
    <row r="518" spans="10:20">
      <c r="J518">
        <f>IF($A518="","", SUMIFS(Mov_Qty, Mov_Item, $A518))</f>
        <v>0</v>
      </c>
      <c r="K518">
        <f>IF($A518="","", J518 * $E518)</f>
        <v>0</v>
      </c>
      <c r="L518">
        <f>IF($A518="","", SUMIFS(-Mov_Qty, Mov_Item, $A518, Mov_Type, "Consumption", Mov_Date, "&gt;="&amp;$V$2, Mov_Date, "&lt;="&amp;$W$2))</f>
        <v>0</v>
      </c>
      <c r="M518">
        <f>IF($A518="","", SUMIFS(-Mov_Qty, Mov_Item, $A518, Mov_Type, "Consumption", Mov_Date, "&gt;="&amp;$X$2, Mov_Date, "&lt;="&amp;$Y$2))</f>
        <v>0</v>
      </c>
      <c r="N518">
        <f>IF($A518="","", SUMIFS(-Mov_Qty, Mov_Item, $A518, Mov_Type, "Consumption", Mov_Date, "&gt;="&amp;$Z$2, Mov_Date, "&lt;="&amp;$AA$2))</f>
        <v>0</v>
      </c>
      <c r="O518">
        <f>IFERROR(AVERAGE(L518:N518),"")</f>
        <v>0</v>
      </c>
      <c r="P518">
        <f>IF(O518&gt;=Cfg_HiMove, "Yes", "")</f>
        <v>0</v>
      </c>
      <c r="Q518">
        <f>IF($A518="","", $I518 + IFERROR(O518/30*$H518,0))</f>
        <v>0</v>
      </c>
      <c r="R518">
        <f>IF($A518="","", IF(J518&lt;=$F518, "Yes", ""))</f>
        <v>0</v>
      </c>
      <c r="S518">
        <f>IF(R518="Yes", CEILING(MAX($G518, Q518-J518), $G518), 0)</f>
        <v>0</v>
      </c>
      <c r="T518">
        <f>IFERROR(J518/(O518/30),"")</f>
        <v>0</v>
      </c>
    </row>
    <row r="519" spans="10:20">
      <c r="J519">
        <f>IF($A519="","", SUMIFS(Mov_Qty, Mov_Item, $A519))</f>
        <v>0</v>
      </c>
      <c r="K519">
        <f>IF($A519="","", J519 * $E519)</f>
        <v>0</v>
      </c>
      <c r="L519">
        <f>IF($A519="","", SUMIFS(-Mov_Qty, Mov_Item, $A519, Mov_Type, "Consumption", Mov_Date, "&gt;="&amp;$V$2, Mov_Date, "&lt;="&amp;$W$2))</f>
        <v>0</v>
      </c>
      <c r="M519">
        <f>IF($A519="","", SUMIFS(-Mov_Qty, Mov_Item, $A519, Mov_Type, "Consumption", Mov_Date, "&gt;="&amp;$X$2, Mov_Date, "&lt;="&amp;$Y$2))</f>
        <v>0</v>
      </c>
      <c r="N519">
        <f>IF($A519="","", SUMIFS(-Mov_Qty, Mov_Item, $A519, Mov_Type, "Consumption", Mov_Date, "&gt;="&amp;$Z$2, Mov_Date, "&lt;="&amp;$AA$2))</f>
        <v>0</v>
      </c>
      <c r="O519">
        <f>IFERROR(AVERAGE(L519:N519),"")</f>
        <v>0</v>
      </c>
      <c r="P519">
        <f>IF(O519&gt;=Cfg_HiMove, "Yes", "")</f>
        <v>0</v>
      </c>
      <c r="Q519">
        <f>IF($A519="","", $I519 + IFERROR(O519/30*$H519,0))</f>
        <v>0</v>
      </c>
      <c r="R519">
        <f>IF($A519="","", IF(J519&lt;=$F519, "Yes", ""))</f>
        <v>0</v>
      </c>
      <c r="S519">
        <f>IF(R519="Yes", CEILING(MAX($G519, Q519-J519), $G519), 0)</f>
        <v>0</v>
      </c>
      <c r="T519">
        <f>IFERROR(J519/(O519/30),"")</f>
        <v>0</v>
      </c>
    </row>
    <row r="520" spans="10:20">
      <c r="J520">
        <f>IF($A520="","", SUMIFS(Mov_Qty, Mov_Item, $A520))</f>
        <v>0</v>
      </c>
      <c r="K520">
        <f>IF($A520="","", J520 * $E520)</f>
        <v>0</v>
      </c>
      <c r="L520">
        <f>IF($A520="","", SUMIFS(-Mov_Qty, Mov_Item, $A520, Mov_Type, "Consumption", Mov_Date, "&gt;="&amp;$V$2, Mov_Date, "&lt;="&amp;$W$2))</f>
        <v>0</v>
      </c>
      <c r="M520">
        <f>IF($A520="","", SUMIFS(-Mov_Qty, Mov_Item, $A520, Mov_Type, "Consumption", Mov_Date, "&gt;="&amp;$X$2, Mov_Date, "&lt;="&amp;$Y$2))</f>
        <v>0</v>
      </c>
      <c r="N520">
        <f>IF($A520="","", SUMIFS(-Mov_Qty, Mov_Item, $A520, Mov_Type, "Consumption", Mov_Date, "&gt;="&amp;$Z$2, Mov_Date, "&lt;="&amp;$AA$2))</f>
        <v>0</v>
      </c>
      <c r="O520">
        <f>IFERROR(AVERAGE(L520:N520),"")</f>
        <v>0</v>
      </c>
      <c r="P520">
        <f>IF(O520&gt;=Cfg_HiMove, "Yes", "")</f>
        <v>0</v>
      </c>
      <c r="Q520">
        <f>IF($A520="","", $I520 + IFERROR(O520/30*$H520,0))</f>
        <v>0</v>
      </c>
      <c r="R520">
        <f>IF($A520="","", IF(J520&lt;=$F520, "Yes", ""))</f>
        <v>0</v>
      </c>
      <c r="S520">
        <f>IF(R520="Yes", CEILING(MAX($G520, Q520-J520), $G520), 0)</f>
        <v>0</v>
      </c>
      <c r="T520">
        <f>IFERROR(J520/(O520/30),"")</f>
        <v>0</v>
      </c>
    </row>
    <row r="521" spans="10:20">
      <c r="J521">
        <f>IF($A521="","", SUMIFS(Mov_Qty, Mov_Item, $A521))</f>
        <v>0</v>
      </c>
      <c r="K521">
        <f>IF($A521="","", J521 * $E521)</f>
        <v>0</v>
      </c>
      <c r="L521">
        <f>IF($A521="","", SUMIFS(-Mov_Qty, Mov_Item, $A521, Mov_Type, "Consumption", Mov_Date, "&gt;="&amp;$V$2, Mov_Date, "&lt;="&amp;$W$2))</f>
        <v>0</v>
      </c>
      <c r="M521">
        <f>IF($A521="","", SUMIFS(-Mov_Qty, Mov_Item, $A521, Mov_Type, "Consumption", Mov_Date, "&gt;="&amp;$X$2, Mov_Date, "&lt;="&amp;$Y$2))</f>
        <v>0</v>
      </c>
      <c r="N521">
        <f>IF($A521="","", SUMIFS(-Mov_Qty, Mov_Item, $A521, Mov_Type, "Consumption", Mov_Date, "&gt;="&amp;$Z$2, Mov_Date, "&lt;="&amp;$AA$2))</f>
        <v>0</v>
      </c>
      <c r="O521">
        <f>IFERROR(AVERAGE(L521:N521),"")</f>
        <v>0</v>
      </c>
      <c r="P521">
        <f>IF(O521&gt;=Cfg_HiMove, "Yes", "")</f>
        <v>0</v>
      </c>
      <c r="Q521">
        <f>IF($A521="","", $I521 + IFERROR(O521/30*$H521,0))</f>
        <v>0</v>
      </c>
      <c r="R521">
        <f>IF($A521="","", IF(J521&lt;=$F521, "Yes", ""))</f>
        <v>0</v>
      </c>
      <c r="S521">
        <f>IF(R521="Yes", CEILING(MAX($G521, Q521-J521), $G521), 0)</f>
        <v>0</v>
      </c>
      <c r="T521">
        <f>IFERROR(J521/(O521/30),"")</f>
        <v>0</v>
      </c>
    </row>
    <row r="522" spans="10:20">
      <c r="J522">
        <f>IF($A522="","", SUMIFS(Mov_Qty, Mov_Item, $A522))</f>
        <v>0</v>
      </c>
      <c r="K522">
        <f>IF($A522="","", J522 * $E522)</f>
        <v>0</v>
      </c>
      <c r="L522">
        <f>IF($A522="","", SUMIFS(-Mov_Qty, Mov_Item, $A522, Mov_Type, "Consumption", Mov_Date, "&gt;="&amp;$V$2, Mov_Date, "&lt;="&amp;$W$2))</f>
        <v>0</v>
      </c>
      <c r="M522">
        <f>IF($A522="","", SUMIFS(-Mov_Qty, Mov_Item, $A522, Mov_Type, "Consumption", Mov_Date, "&gt;="&amp;$X$2, Mov_Date, "&lt;="&amp;$Y$2))</f>
        <v>0</v>
      </c>
      <c r="N522">
        <f>IF($A522="","", SUMIFS(-Mov_Qty, Mov_Item, $A522, Mov_Type, "Consumption", Mov_Date, "&gt;="&amp;$Z$2, Mov_Date, "&lt;="&amp;$AA$2))</f>
        <v>0</v>
      </c>
      <c r="O522">
        <f>IFERROR(AVERAGE(L522:N522),"")</f>
        <v>0</v>
      </c>
      <c r="P522">
        <f>IF(O522&gt;=Cfg_HiMove, "Yes", "")</f>
        <v>0</v>
      </c>
      <c r="Q522">
        <f>IF($A522="","", $I522 + IFERROR(O522/30*$H522,0))</f>
        <v>0</v>
      </c>
      <c r="R522">
        <f>IF($A522="","", IF(J522&lt;=$F522, "Yes", ""))</f>
        <v>0</v>
      </c>
      <c r="S522">
        <f>IF(R522="Yes", CEILING(MAX($G522, Q522-J522), $G522), 0)</f>
        <v>0</v>
      </c>
      <c r="T522">
        <f>IFERROR(J522/(O522/30),"")</f>
        <v>0</v>
      </c>
    </row>
    <row r="523" spans="10:20">
      <c r="J523">
        <f>IF($A523="","", SUMIFS(Mov_Qty, Mov_Item, $A523))</f>
        <v>0</v>
      </c>
      <c r="K523">
        <f>IF($A523="","", J523 * $E523)</f>
        <v>0</v>
      </c>
      <c r="L523">
        <f>IF($A523="","", SUMIFS(-Mov_Qty, Mov_Item, $A523, Mov_Type, "Consumption", Mov_Date, "&gt;="&amp;$V$2, Mov_Date, "&lt;="&amp;$W$2))</f>
        <v>0</v>
      </c>
      <c r="M523">
        <f>IF($A523="","", SUMIFS(-Mov_Qty, Mov_Item, $A523, Mov_Type, "Consumption", Mov_Date, "&gt;="&amp;$X$2, Mov_Date, "&lt;="&amp;$Y$2))</f>
        <v>0</v>
      </c>
      <c r="N523">
        <f>IF($A523="","", SUMIFS(-Mov_Qty, Mov_Item, $A523, Mov_Type, "Consumption", Mov_Date, "&gt;="&amp;$Z$2, Mov_Date, "&lt;="&amp;$AA$2))</f>
        <v>0</v>
      </c>
      <c r="O523">
        <f>IFERROR(AVERAGE(L523:N523),"")</f>
        <v>0</v>
      </c>
      <c r="P523">
        <f>IF(O523&gt;=Cfg_HiMove, "Yes", "")</f>
        <v>0</v>
      </c>
      <c r="Q523">
        <f>IF($A523="","", $I523 + IFERROR(O523/30*$H523,0))</f>
        <v>0</v>
      </c>
      <c r="R523">
        <f>IF($A523="","", IF(J523&lt;=$F523, "Yes", ""))</f>
        <v>0</v>
      </c>
      <c r="S523">
        <f>IF(R523="Yes", CEILING(MAX($G523, Q523-J523), $G523), 0)</f>
        <v>0</v>
      </c>
      <c r="T523">
        <f>IFERROR(J523/(O523/30),"")</f>
        <v>0</v>
      </c>
    </row>
    <row r="524" spans="10:20">
      <c r="J524">
        <f>IF($A524="","", SUMIFS(Mov_Qty, Mov_Item, $A524))</f>
        <v>0</v>
      </c>
      <c r="K524">
        <f>IF($A524="","", J524 * $E524)</f>
        <v>0</v>
      </c>
      <c r="L524">
        <f>IF($A524="","", SUMIFS(-Mov_Qty, Mov_Item, $A524, Mov_Type, "Consumption", Mov_Date, "&gt;="&amp;$V$2, Mov_Date, "&lt;="&amp;$W$2))</f>
        <v>0</v>
      </c>
      <c r="M524">
        <f>IF($A524="","", SUMIFS(-Mov_Qty, Mov_Item, $A524, Mov_Type, "Consumption", Mov_Date, "&gt;="&amp;$X$2, Mov_Date, "&lt;="&amp;$Y$2))</f>
        <v>0</v>
      </c>
      <c r="N524">
        <f>IF($A524="","", SUMIFS(-Mov_Qty, Mov_Item, $A524, Mov_Type, "Consumption", Mov_Date, "&gt;="&amp;$Z$2, Mov_Date, "&lt;="&amp;$AA$2))</f>
        <v>0</v>
      </c>
      <c r="O524">
        <f>IFERROR(AVERAGE(L524:N524),"")</f>
        <v>0</v>
      </c>
      <c r="P524">
        <f>IF(O524&gt;=Cfg_HiMove, "Yes", "")</f>
        <v>0</v>
      </c>
      <c r="Q524">
        <f>IF($A524="","", $I524 + IFERROR(O524/30*$H524,0))</f>
        <v>0</v>
      </c>
      <c r="R524">
        <f>IF($A524="","", IF(J524&lt;=$F524, "Yes", ""))</f>
        <v>0</v>
      </c>
      <c r="S524">
        <f>IF(R524="Yes", CEILING(MAX($G524, Q524-J524), $G524), 0)</f>
        <v>0</v>
      </c>
      <c r="T524">
        <f>IFERROR(J524/(O524/30),"")</f>
        <v>0</v>
      </c>
    </row>
    <row r="525" spans="10:20">
      <c r="J525">
        <f>IF($A525="","", SUMIFS(Mov_Qty, Mov_Item, $A525))</f>
        <v>0</v>
      </c>
      <c r="K525">
        <f>IF($A525="","", J525 * $E525)</f>
        <v>0</v>
      </c>
      <c r="L525">
        <f>IF($A525="","", SUMIFS(-Mov_Qty, Mov_Item, $A525, Mov_Type, "Consumption", Mov_Date, "&gt;="&amp;$V$2, Mov_Date, "&lt;="&amp;$W$2))</f>
        <v>0</v>
      </c>
      <c r="M525">
        <f>IF($A525="","", SUMIFS(-Mov_Qty, Mov_Item, $A525, Mov_Type, "Consumption", Mov_Date, "&gt;="&amp;$X$2, Mov_Date, "&lt;="&amp;$Y$2))</f>
        <v>0</v>
      </c>
      <c r="N525">
        <f>IF($A525="","", SUMIFS(-Mov_Qty, Mov_Item, $A525, Mov_Type, "Consumption", Mov_Date, "&gt;="&amp;$Z$2, Mov_Date, "&lt;="&amp;$AA$2))</f>
        <v>0</v>
      </c>
      <c r="O525">
        <f>IFERROR(AVERAGE(L525:N525),"")</f>
        <v>0</v>
      </c>
      <c r="P525">
        <f>IF(O525&gt;=Cfg_HiMove, "Yes", "")</f>
        <v>0</v>
      </c>
      <c r="Q525">
        <f>IF($A525="","", $I525 + IFERROR(O525/30*$H525,0))</f>
        <v>0</v>
      </c>
      <c r="R525">
        <f>IF($A525="","", IF(J525&lt;=$F525, "Yes", ""))</f>
        <v>0</v>
      </c>
      <c r="S525">
        <f>IF(R525="Yes", CEILING(MAX($G525, Q525-J525), $G525), 0)</f>
        <v>0</v>
      </c>
      <c r="T525">
        <f>IFERROR(J525/(O525/30),"")</f>
        <v>0</v>
      </c>
    </row>
    <row r="526" spans="10:20">
      <c r="J526">
        <f>IF($A526="","", SUMIFS(Mov_Qty, Mov_Item, $A526))</f>
        <v>0</v>
      </c>
      <c r="K526">
        <f>IF($A526="","", J526 * $E526)</f>
        <v>0</v>
      </c>
      <c r="L526">
        <f>IF($A526="","", SUMIFS(-Mov_Qty, Mov_Item, $A526, Mov_Type, "Consumption", Mov_Date, "&gt;="&amp;$V$2, Mov_Date, "&lt;="&amp;$W$2))</f>
        <v>0</v>
      </c>
      <c r="M526">
        <f>IF($A526="","", SUMIFS(-Mov_Qty, Mov_Item, $A526, Mov_Type, "Consumption", Mov_Date, "&gt;="&amp;$X$2, Mov_Date, "&lt;="&amp;$Y$2))</f>
        <v>0</v>
      </c>
      <c r="N526">
        <f>IF($A526="","", SUMIFS(-Mov_Qty, Mov_Item, $A526, Mov_Type, "Consumption", Mov_Date, "&gt;="&amp;$Z$2, Mov_Date, "&lt;="&amp;$AA$2))</f>
        <v>0</v>
      </c>
      <c r="O526">
        <f>IFERROR(AVERAGE(L526:N526),"")</f>
        <v>0</v>
      </c>
      <c r="P526">
        <f>IF(O526&gt;=Cfg_HiMove, "Yes", "")</f>
        <v>0</v>
      </c>
      <c r="Q526">
        <f>IF($A526="","", $I526 + IFERROR(O526/30*$H526,0))</f>
        <v>0</v>
      </c>
      <c r="R526">
        <f>IF($A526="","", IF(J526&lt;=$F526, "Yes", ""))</f>
        <v>0</v>
      </c>
      <c r="S526">
        <f>IF(R526="Yes", CEILING(MAX($G526, Q526-J526), $G526), 0)</f>
        <v>0</v>
      </c>
      <c r="T526">
        <f>IFERROR(J526/(O526/30),"")</f>
        <v>0</v>
      </c>
    </row>
    <row r="527" spans="10:20">
      <c r="J527">
        <f>IF($A527="","", SUMIFS(Mov_Qty, Mov_Item, $A527))</f>
        <v>0</v>
      </c>
      <c r="K527">
        <f>IF($A527="","", J527 * $E527)</f>
        <v>0</v>
      </c>
      <c r="L527">
        <f>IF($A527="","", SUMIFS(-Mov_Qty, Mov_Item, $A527, Mov_Type, "Consumption", Mov_Date, "&gt;="&amp;$V$2, Mov_Date, "&lt;="&amp;$W$2))</f>
        <v>0</v>
      </c>
      <c r="M527">
        <f>IF($A527="","", SUMIFS(-Mov_Qty, Mov_Item, $A527, Mov_Type, "Consumption", Mov_Date, "&gt;="&amp;$X$2, Mov_Date, "&lt;="&amp;$Y$2))</f>
        <v>0</v>
      </c>
      <c r="N527">
        <f>IF($A527="","", SUMIFS(-Mov_Qty, Mov_Item, $A527, Mov_Type, "Consumption", Mov_Date, "&gt;="&amp;$Z$2, Mov_Date, "&lt;="&amp;$AA$2))</f>
        <v>0</v>
      </c>
      <c r="O527">
        <f>IFERROR(AVERAGE(L527:N527),"")</f>
        <v>0</v>
      </c>
      <c r="P527">
        <f>IF(O527&gt;=Cfg_HiMove, "Yes", "")</f>
        <v>0</v>
      </c>
      <c r="Q527">
        <f>IF($A527="","", $I527 + IFERROR(O527/30*$H527,0))</f>
        <v>0</v>
      </c>
      <c r="R527">
        <f>IF($A527="","", IF(J527&lt;=$F527, "Yes", ""))</f>
        <v>0</v>
      </c>
      <c r="S527">
        <f>IF(R527="Yes", CEILING(MAX($G527, Q527-J527), $G527), 0)</f>
        <v>0</v>
      </c>
      <c r="T527">
        <f>IFERROR(J527/(O527/30),"")</f>
        <v>0</v>
      </c>
    </row>
    <row r="528" spans="10:20">
      <c r="J528">
        <f>IF($A528="","", SUMIFS(Mov_Qty, Mov_Item, $A528))</f>
        <v>0</v>
      </c>
      <c r="K528">
        <f>IF($A528="","", J528 * $E528)</f>
        <v>0</v>
      </c>
      <c r="L528">
        <f>IF($A528="","", SUMIFS(-Mov_Qty, Mov_Item, $A528, Mov_Type, "Consumption", Mov_Date, "&gt;="&amp;$V$2, Mov_Date, "&lt;="&amp;$W$2))</f>
        <v>0</v>
      </c>
      <c r="M528">
        <f>IF($A528="","", SUMIFS(-Mov_Qty, Mov_Item, $A528, Mov_Type, "Consumption", Mov_Date, "&gt;="&amp;$X$2, Mov_Date, "&lt;="&amp;$Y$2))</f>
        <v>0</v>
      </c>
      <c r="N528">
        <f>IF($A528="","", SUMIFS(-Mov_Qty, Mov_Item, $A528, Mov_Type, "Consumption", Mov_Date, "&gt;="&amp;$Z$2, Mov_Date, "&lt;="&amp;$AA$2))</f>
        <v>0</v>
      </c>
      <c r="O528">
        <f>IFERROR(AVERAGE(L528:N528),"")</f>
        <v>0</v>
      </c>
      <c r="P528">
        <f>IF(O528&gt;=Cfg_HiMove, "Yes", "")</f>
        <v>0</v>
      </c>
      <c r="Q528">
        <f>IF($A528="","", $I528 + IFERROR(O528/30*$H528,0))</f>
        <v>0</v>
      </c>
      <c r="R528">
        <f>IF($A528="","", IF(J528&lt;=$F528, "Yes", ""))</f>
        <v>0</v>
      </c>
      <c r="S528">
        <f>IF(R528="Yes", CEILING(MAX($G528, Q528-J528), $G528), 0)</f>
        <v>0</v>
      </c>
      <c r="T528">
        <f>IFERROR(J528/(O528/30),"")</f>
        <v>0</v>
      </c>
    </row>
    <row r="529" spans="10:20">
      <c r="J529">
        <f>IF($A529="","", SUMIFS(Mov_Qty, Mov_Item, $A529))</f>
        <v>0</v>
      </c>
      <c r="K529">
        <f>IF($A529="","", J529 * $E529)</f>
        <v>0</v>
      </c>
      <c r="L529">
        <f>IF($A529="","", SUMIFS(-Mov_Qty, Mov_Item, $A529, Mov_Type, "Consumption", Mov_Date, "&gt;="&amp;$V$2, Mov_Date, "&lt;="&amp;$W$2))</f>
        <v>0</v>
      </c>
      <c r="M529">
        <f>IF($A529="","", SUMIFS(-Mov_Qty, Mov_Item, $A529, Mov_Type, "Consumption", Mov_Date, "&gt;="&amp;$X$2, Mov_Date, "&lt;="&amp;$Y$2))</f>
        <v>0</v>
      </c>
      <c r="N529">
        <f>IF($A529="","", SUMIFS(-Mov_Qty, Mov_Item, $A529, Mov_Type, "Consumption", Mov_Date, "&gt;="&amp;$Z$2, Mov_Date, "&lt;="&amp;$AA$2))</f>
        <v>0</v>
      </c>
      <c r="O529">
        <f>IFERROR(AVERAGE(L529:N529),"")</f>
        <v>0</v>
      </c>
      <c r="P529">
        <f>IF(O529&gt;=Cfg_HiMove, "Yes", "")</f>
        <v>0</v>
      </c>
      <c r="Q529">
        <f>IF($A529="","", $I529 + IFERROR(O529/30*$H529,0))</f>
        <v>0</v>
      </c>
      <c r="R529">
        <f>IF($A529="","", IF(J529&lt;=$F529, "Yes", ""))</f>
        <v>0</v>
      </c>
      <c r="S529">
        <f>IF(R529="Yes", CEILING(MAX($G529, Q529-J529), $G529), 0)</f>
        <v>0</v>
      </c>
      <c r="T529">
        <f>IFERROR(J529/(O529/30),"")</f>
        <v>0</v>
      </c>
    </row>
    <row r="530" spans="10:20">
      <c r="J530">
        <f>IF($A530="","", SUMIFS(Mov_Qty, Mov_Item, $A530))</f>
        <v>0</v>
      </c>
      <c r="K530">
        <f>IF($A530="","", J530 * $E530)</f>
        <v>0</v>
      </c>
      <c r="L530">
        <f>IF($A530="","", SUMIFS(-Mov_Qty, Mov_Item, $A530, Mov_Type, "Consumption", Mov_Date, "&gt;="&amp;$V$2, Mov_Date, "&lt;="&amp;$W$2))</f>
        <v>0</v>
      </c>
      <c r="M530">
        <f>IF($A530="","", SUMIFS(-Mov_Qty, Mov_Item, $A530, Mov_Type, "Consumption", Mov_Date, "&gt;="&amp;$X$2, Mov_Date, "&lt;="&amp;$Y$2))</f>
        <v>0</v>
      </c>
      <c r="N530">
        <f>IF($A530="","", SUMIFS(-Mov_Qty, Mov_Item, $A530, Mov_Type, "Consumption", Mov_Date, "&gt;="&amp;$Z$2, Mov_Date, "&lt;="&amp;$AA$2))</f>
        <v>0</v>
      </c>
      <c r="O530">
        <f>IFERROR(AVERAGE(L530:N530),"")</f>
        <v>0</v>
      </c>
      <c r="P530">
        <f>IF(O530&gt;=Cfg_HiMove, "Yes", "")</f>
        <v>0</v>
      </c>
      <c r="Q530">
        <f>IF($A530="","", $I530 + IFERROR(O530/30*$H530,0))</f>
        <v>0</v>
      </c>
      <c r="R530">
        <f>IF($A530="","", IF(J530&lt;=$F530, "Yes", ""))</f>
        <v>0</v>
      </c>
      <c r="S530">
        <f>IF(R530="Yes", CEILING(MAX($G530, Q530-J530), $G530), 0)</f>
        <v>0</v>
      </c>
      <c r="T530">
        <f>IFERROR(J530/(O530/30),"")</f>
        <v>0</v>
      </c>
    </row>
    <row r="531" spans="10:20">
      <c r="J531">
        <f>IF($A531="","", SUMIFS(Mov_Qty, Mov_Item, $A531))</f>
        <v>0</v>
      </c>
      <c r="K531">
        <f>IF($A531="","", J531 * $E531)</f>
        <v>0</v>
      </c>
      <c r="L531">
        <f>IF($A531="","", SUMIFS(-Mov_Qty, Mov_Item, $A531, Mov_Type, "Consumption", Mov_Date, "&gt;="&amp;$V$2, Mov_Date, "&lt;="&amp;$W$2))</f>
        <v>0</v>
      </c>
      <c r="M531">
        <f>IF($A531="","", SUMIFS(-Mov_Qty, Mov_Item, $A531, Mov_Type, "Consumption", Mov_Date, "&gt;="&amp;$X$2, Mov_Date, "&lt;="&amp;$Y$2))</f>
        <v>0</v>
      </c>
      <c r="N531">
        <f>IF($A531="","", SUMIFS(-Mov_Qty, Mov_Item, $A531, Mov_Type, "Consumption", Mov_Date, "&gt;="&amp;$Z$2, Mov_Date, "&lt;="&amp;$AA$2))</f>
        <v>0</v>
      </c>
      <c r="O531">
        <f>IFERROR(AVERAGE(L531:N531),"")</f>
        <v>0</v>
      </c>
      <c r="P531">
        <f>IF(O531&gt;=Cfg_HiMove, "Yes", "")</f>
        <v>0</v>
      </c>
      <c r="Q531">
        <f>IF($A531="","", $I531 + IFERROR(O531/30*$H531,0))</f>
        <v>0</v>
      </c>
      <c r="R531">
        <f>IF($A531="","", IF(J531&lt;=$F531, "Yes", ""))</f>
        <v>0</v>
      </c>
      <c r="S531">
        <f>IF(R531="Yes", CEILING(MAX($G531, Q531-J531), $G531), 0)</f>
        <v>0</v>
      </c>
      <c r="T531">
        <f>IFERROR(J531/(O531/30),"")</f>
        <v>0</v>
      </c>
    </row>
    <row r="532" spans="10:20">
      <c r="J532">
        <f>IF($A532="","", SUMIFS(Mov_Qty, Mov_Item, $A532))</f>
        <v>0</v>
      </c>
      <c r="K532">
        <f>IF($A532="","", J532 * $E532)</f>
        <v>0</v>
      </c>
      <c r="L532">
        <f>IF($A532="","", SUMIFS(-Mov_Qty, Mov_Item, $A532, Mov_Type, "Consumption", Mov_Date, "&gt;="&amp;$V$2, Mov_Date, "&lt;="&amp;$W$2))</f>
        <v>0</v>
      </c>
      <c r="M532">
        <f>IF($A532="","", SUMIFS(-Mov_Qty, Mov_Item, $A532, Mov_Type, "Consumption", Mov_Date, "&gt;="&amp;$X$2, Mov_Date, "&lt;="&amp;$Y$2))</f>
        <v>0</v>
      </c>
      <c r="N532">
        <f>IF($A532="","", SUMIFS(-Mov_Qty, Mov_Item, $A532, Mov_Type, "Consumption", Mov_Date, "&gt;="&amp;$Z$2, Mov_Date, "&lt;="&amp;$AA$2))</f>
        <v>0</v>
      </c>
      <c r="O532">
        <f>IFERROR(AVERAGE(L532:N532),"")</f>
        <v>0</v>
      </c>
      <c r="P532">
        <f>IF(O532&gt;=Cfg_HiMove, "Yes", "")</f>
        <v>0</v>
      </c>
      <c r="Q532">
        <f>IF($A532="","", $I532 + IFERROR(O532/30*$H532,0))</f>
        <v>0</v>
      </c>
      <c r="R532">
        <f>IF($A532="","", IF(J532&lt;=$F532, "Yes", ""))</f>
        <v>0</v>
      </c>
      <c r="S532">
        <f>IF(R532="Yes", CEILING(MAX($G532, Q532-J532), $G532), 0)</f>
        <v>0</v>
      </c>
      <c r="T532">
        <f>IFERROR(J532/(O532/30),"")</f>
        <v>0</v>
      </c>
    </row>
    <row r="533" spans="10:20">
      <c r="J533">
        <f>IF($A533="","", SUMIFS(Mov_Qty, Mov_Item, $A533))</f>
        <v>0</v>
      </c>
      <c r="K533">
        <f>IF($A533="","", J533 * $E533)</f>
        <v>0</v>
      </c>
      <c r="L533">
        <f>IF($A533="","", SUMIFS(-Mov_Qty, Mov_Item, $A533, Mov_Type, "Consumption", Mov_Date, "&gt;="&amp;$V$2, Mov_Date, "&lt;="&amp;$W$2))</f>
        <v>0</v>
      </c>
      <c r="M533">
        <f>IF($A533="","", SUMIFS(-Mov_Qty, Mov_Item, $A533, Mov_Type, "Consumption", Mov_Date, "&gt;="&amp;$X$2, Mov_Date, "&lt;="&amp;$Y$2))</f>
        <v>0</v>
      </c>
      <c r="N533">
        <f>IF($A533="","", SUMIFS(-Mov_Qty, Mov_Item, $A533, Mov_Type, "Consumption", Mov_Date, "&gt;="&amp;$Z$2, Mov_Date, "&lt;="&amp;$AA$2))</f>
        <v>0</v>
      </c>
      <c r="O533">
        <f>IFERROR(AVERAGE(L533:N533),"")</f>
        <v>0</v>
      </c>
      <c r="P533">
        <f>IF(O533&gt;=Cfg_HiMove, "Yes", "")</f>
        <v>0</v>
      </c>
      <c r="Q533">
        <f>IF($A533="","", $I533 + IFERROR(O533/30*$H533,0))</f>
        <v>0</v>
      </c>
      <c r="R533">
        <f>IF($A533="","", IF(J533&lt;=$F533, "Yes", ""))</f>
        <v>0</v>
      </c>
      <c r="S533">
        <f>IF(R533="Yes", CEILING(MAX($G533, Q533-J533), $G533), 0)</f>
        <v>0</v>
      </c>
      <c r="T533">
        <f>IFERROR(J533/(O533/30),"")</f>
        <v>0</v>
      </c>
    </row>
    <row r="534" spans="10:20">
      <c r="J534">
        <f>IF($A534="","", SUMIFS(Mov_Qty, Mov_Item, $A534))</f>
        <v>0</v>
      </c>
      <c r="K534">
        <f>IF($A534="","", J534 * $E534)</f>
        <v>0</v>
      </c>
      <c r="L534">
        <f>IF($A534="","", SUMIFS(-Mov_Qty, Mov_Item, $A534, Mov_Type, "Consumption", Mov_Date, "&gt;="&amp;$V$2, Mov_Date, "&lt;="&amp;$W$2))</f>
        <v>0</v>
      </c>
      <c r="M534">
        <f>IF($A534="","", SUMIFS(-Mov_Qty, Mov_Item, $A534, Mov_Type, "Consumption", Mov_Date, "&gt;="&amp;$X$2, Mov_Date, "&lt;="&amp;$Y$2))</f>
        <v>0</v>
      </c>
      <c r="N534">
        <f>IF($A534="","", SUMIFS(-Mov_Qty, Mov_Item, $A534, Mov_Type, "Consumption", Mov_Date, "&gt;="&amp;$Z$2, Mov_Date, "&lt;="&amp;$AA$2))</f>
        <v>0</v>
      </c>
      <c r="O534">
        <f>IFERROR(AVERAGE(L534:N534),"")</f>
        <v>0</v>
      </c>
      <c r="P534">
        <f>IF(O534&gt;=Cfg_HiMove, "Yes", "")</f>
        <v>0</v>
      </c>
      <c r="Q534">
        <f>IF($A534="","", $I534 + IFERROR(O534/30*$H534,0))</f>
        <v>0</v>
      </c>
      <c r="R534">
        <f>IF($A534="","", IF(J534&lt;=$F534, "Yes", ""))</f>
        <v>0</v>
      </c>
      <c r="S534">
        <f>IF(R534="Yes", CEILING(MAX($G534, Q534-J534), $G534), 0)</f>
        <v>0</v>
      </c>
      <c r="T534">
        <f>IFERROR(J534/(O534/30),"")</f>
        <v>0</v>
      </c>
    </row>
    <row r="535" spans="10:20">
      <c r="J535">
        <f>IF($A535="","", SUMIFS(Mov_Qty, Mov_Item, $A535))</f>
        <v>0</v>
      </c>
      <c r="K535">
        <f>IF($A535="","", J535 * $E535)</f>
        <v>0</v>
      </c>
      <c r="L535">
        <f>IF($A535="","", SUMIFS(-Mov_Qty, Mov_Item, $A535, Mov_Type, "Consumption", Mov_Date, "&gt;="&amp;$V$2, Mov_Date, "&lt;="&amp;$W$2))</f>
        <v>0</v>
      </c>
      <c r="M535">
        <f>IF($A535="","", SUMIFS(-Mov_Qty, Mov_Item, $A535, Mov_Type, "Consumption", Mov_Date, "&gt;="&amp;$X$2, Mov_Date, "&lt;="&amp;$Y$2))</f>
        <v>0</v>
      </c>
      <c r="N535">
        <f>IF($A535="","", SUMIFS(-Mov_Qty, Mov_Item, $A535, Mov_Type, "Consumption", Mov_Date, "&gt;="&amp;$Z$2, Mov_Date, "&lt;="&amp;$AA$2))</f>
        <v>0</v>
      </c>
      <c r="O535">
        <f>IFERROR(AVERAGE(L535:N535),"")</f>
        <v>0</v>
      </c>
      <c r="P535">
        <f>IF(O535&gt;=Cfg_HiMove, "Yes", "")</f>
        <v>0</v>
      </c>
      <c r="Q535">
        <f>IF($A535="","", $I535 + IFERROR(O535/30*$H535,0))</f>
        <v>0</v>
      </c>
      <c r="R535">
        <f>IF($A535="","", IF(J535&lt;=$F535, "Yes", ""))</f>
        <v>0</v>
      </c>
      <c r="S535">
        <f>IF(R535="Yes", CEILING(MAX($G535, Q535-J535), $G535), 0)</f>
        <v>0</v>
      </c>
      <c r="T535">
        <f>IFERROR(J535/(O535/30),"")</f>
        <v>0</v>
      </c>
    </row>
    <row r="536" spans="10:20">
      <c r="J536">
        <f>IF($A536="","", SUMIFS(Mov_Qty, Mov_Item, $A536))</f>
        <v>0</v>
      </c>
      <c r="K536">
        <f>IF($A536="","", J536 * $E536)</f>
        <v>0</v>
      </c>
      <c r="L536">
        <f>IF($A536="","", SUMIFS(-Mov_Qty, Mov_Item, $A536, Mov_Type, "Consumption", Mov_Date, "&gt;="&amp;$V$2, Mov_Date, "&lt;="&amp;$W$2))</f>
        <v>0</v>
      </c>
      <c r="M536">
        <f>IF($A536="","", SUMIFS(-Mov_Qty, Mov_Item, $A536, Mov_Type, "Consumption", Mov_Date, "&gt;="&amp;$X$2, Mov_Date, "&lt;="&amp;$Y$2))</f>
        <v>0</v>
      </c>
      <c r="N536">
        <f>IF($A536="","", SUMIFS(-Mov_Qty, Mov_Item, $A536, Mov_Type, "Consumption", Mov_Date, "&gt;="&amp;$Z$2, Mov_Date, "&lt;="&amp;$AA$2))</f>
        <v>0</v>
      </c>
      <c r="O536">
        <f>IFERROR(AVERAGE(L536:N536),"")</f>
        <v>0</v>
      </c>
      <c r="P536">
        <f>IF(O536&gt;=Cfg_HiMove, "Yes", "")</f>
        <v>0</v>
      </c>
      <c r="Q536">
        <f>IF($A536="","", $I536 + IFERROR(O536/30*$H536,0))</f>
        <v>0</v>
      </c>
      <c r="R536">
        <f>IF($A536="","", IF(J536&lt;=$F536, "Yes", ""))</f>
        <v>0</v>
      </c>
      <c r="S536">
        <f>IF(R536="Yes", CEILING(MAX($G536, Q536-J536), $G536), 0)</f>
        <v>0</v>
      </c>
      <c r="T536">
        <f>IFERROR(J536/(O536/30),"")</f>
        <v>0</v>
      </c>
    </row>
    <row r="537" spans="10:20">
      <c r="J537">
        <f>IF($A537="","", SUMIFS(Mov_Qty, Mov_Item, $A537))</f>
        <v>0</v>
      </c>
      <c r="K537">
        <f>IF($A537="","", J537 * $E537)</f>
        <v>0</v>
      </c>
      <c r="L537">
        <f>IF($A537="","", SUMIFS(-Mov_Qty, Mov_Item, $A537, Mov_Type, "Consumption", Mov_Date, "&gt;="&amp;$V$2, Mov_Date, "&lt;="&amp;$W$2))</f>
        <v>0</v>
      </c>
      <c r="M537">
        <f>IF($A537="","", SUMIFS(-Mov_Qty, Mov_Item, $A537, Mov_Type, "Consumption", Mov_Date, "&gt;="&amp;$X$2, Mov_Date, "&lt;="&amp;$Y$2))</f>
        <v>0</v>
      </c>
      <c r="N537">
        <f>IF($A537="","", SUMIFS(-Mov_Qty, Mov_Item, $A537, Mov_Type, "Consumption", Mov_Date, "&gt;="&amp;$Z$2, Mov_Date, "&lt;="&amp;$AA$2))</f>
        <v>0</v>
      </c>
      <c r="O537">
        <f>IFERROR(AVERAGE(L537:N537),"")</f>
        <v>0</v>
      </c>
      <c r="P537">
        <f>IF(O537&gt;=Cfg_HiMove, "Yes", "")</f>
        <v>0</v>
      </c>
      <c r="Q537">
        <f>IF($A537="","", $I537 + IFERROR(O537/30*$H537,0))</f>
        <v>0</v>
      </c>
      <c r="R537">
        <f>IF($A537="","", IF(J537&lt;=$F537, "Yes", ""))</f>
        <v>0</v>
      </c>
      <c r="S537">
        <f>IF(R537="Yes", CEILING(MAX($G537, Q537-J537), $G537), 0)</f>
        <v>0</v>
      </c>
      <c r="T537">
        <f>IFERROR(J537/(O537/30),"")</f>
        <v>0</v>
      </c>
    </row>
    <row r="538" spans="10:20">
      <c r="J538">
        <f>IF($A538="","", SUMIFS(Mov_Qty, Mov_Item, $A538))</f>
        <v>0</v>
      </c>
      <c r="K538">
        <f>IF($A538="","", J538 * $E538)</f>
        <v>0</v>
      </c>
      <c r="L538">
        <f>IF($A538="","", SUMIFS(-Mov_Qty, Mov_Item, $A538, Mov_Type, "Consumption", Mov_Date, "&gt;="&amp;$V$2, Mov_Date, "&lt;="&amp;$W$2))</f>
        <v>0</v>
      </c>
      <c r="M538">
        <f>IF($A538="","", SUMIFS(-Mov_Qty, Mov_Item, $A538, Mov_Type, "Consumption", Mov_Date, "&gt;="&amp;$X$2, Mov_Date, "&lt;="&amp;$Y$2))</f>
        <v>0</v>
      </c>
      <c r="N538">
        <f>IF($A538="","", SUMIFS(-Mov_Qty, Mov_Item, $A538, Mov_Type, "Consumption", Mov_Date, "&gt;="&amp;$Z$2, Mov_Date, "&lt;="&amp;$AA$2))</f>
        <v>0</v>
      </c>
      <c r="O538">
        <f>IFERROR(AVERAGE(L538:N538),"")</f>
        <v>0</v>
      </c>
      <c r="P538">
        <f>IF(O538&gt;=Cfg_HiMove, "Yes", "")</f>
        <v>0</v>
      </c>
      <c r="Q538">
        <f>IF($A538="","", $I538 + IFERROR(O538/30*$H538,0))</f>
        <v>0</v>
      </c>
      <c r="R538">
        <f>IF($A538="","", IF(J538&lt;=$F538, "Yes", ""))</f>
        <v>0</v>
      </c>
      <c r="S538">
        <f>IF(R538="Yes", CEILING(MAX($G538, Q538-J538), $G538), 0)</f>
        <v>0</v>
      </c>
      <c r="T538">
        <f>IFERROR(J538/(O538/30),"")</f>
        <v>0</v>
      </c>
    </row>
    <row r="539" spans="10:20">
      <c r="J539">
        <f>IF($A539="","", SUMIFS(Mov_Qty, Mov_Item, $A539))</f>
        <v>0</v>
      </c>
      <c r="K539">
        <f>IF($A539="","", J539 * $E539)</f>
        <v>0</v>
      </c>
      <c r="L539">
        <f>IF($A539="","", SUMIFS(-Mov_Qty, Mov_Item, $A539, Mov_Type, "Consumption", Mov_Date, "&gt;="&amp;$V$2, Mov_Date, "&lt;="&amp;$W$2))</f>
        <v>0</v>
      </c>
      <c r="M539">
        <f>IF($A539="","", SUMIFS(-Mov_Qty, Mov_Item, $A539, Mov_Type, "Consumption", Mov_Date, "&gt;="&amp;$X$2, Mov_Date, "&lt;="&amp;$Y$2))</f>
        <v>0</v>
      </c>
      <c r="N539">
        <f>IF($A539="","", SUMIFS(-Mov_Qty, Mov_Item, $A539, Mov_Type, "Consumption", Mov_Date, "&gt;="&amp;$Z$2, Mov_Date, "&lt;="&amp;$AA$2))</f>
        <v>0</v>
      </c>
      <c r="O539">
        <f>IFERROR(AVERAGE(L539:N539),"")</f>
        <v>0</v>
      </c>
      <c r="P539">
        <f>IF(O539&gt;=Cfg_HiMove, "Yes", "")</f>
        <v>0</v>
      </c>
      <c r="Q539">
        <f>IF($A539="","", $I539 + IFERROR(O539/30*$H539,0))</f>
        <v>0</v>
      </c>
      <c r="R539">
        <f>IF($A539="","", IF(J539&lt;=$F539, "Yes", ""))</f>
        <v>0</v>
      </c>
      <c r="S539">
        <f>IF(R539="Yes", CEILING(MAX($G539, Q539-J539), $G539), 0)</f>
        <v>0</v>
      </c>
      <c r="T539">
        <f>IFERROR(J539/(O539/30),"")</f>
        <v>0</v>
      </c>
    </row>
    <row r="540" spans="10:20">
      <c r="J540">
        <f>IF($A540="","", SUMIFS(Mov_Qty, Mov_Item, $A540))</f>
        <v>0</v>
      </c>
      <c r="K540">
        <f>IF($A540="","", J540 * $E540)</f>
        <v>0</v>
      </c>
      <c r="L540">
        <f>IF($A540="","", SUMIFS(-Mov_Qty, Mov_Item, $A540, Mov_Type, "Consumption", Mov_Date, "&gt;="&amp;$V$2, Mov_Date, "&lt;="&amp;$W$2))</f>
        <v>0</v>
      </c>
      <c r="M540">
        <f>IF($A540="","", SUMIFS(-Mov_Qty, Mov_Item, $A540, Mov_Type, "Consumption", Mov_Date, "&gt;="&amp;$X$2, Mov_Date, "&lt;="&amp;$Y$2))</f>
        <v>0</v>
      </c>
      <c r="N540">
        <f>IF($A540="","", SUMIFS(-Mov_Qty, Mov_Item, $A540, Mov_Type, "Consumption", Mov_Date, "&gt;="&amp;$Z$2, Mov_Date, "&lt;="&amp;$AA$2))</f>
        <v>0</v>
      </c>
      <c r="O540">
        <f>IFERROR(AVERAGE(L540:N540),"")</f>
        <v>0</v>
      </c>
      <c r="P540">
        <f>IF(O540&gt;=Cfg_HiMove, "Yes", "")</f>
        <v>0</v>
      </c>
      <c r="Q540">
        <f>IF($A540="","", $I540 + IFERROR(O540/30*$H540,0))</f>
        <v>0</v>
      </c>
      <c r="R540">
        <f>IF($A540="","", IF(J540&lt;=$F540, "Yes", ""))</f>
        <v>0</v>
      </c>
      <c r="S540">
        <f>IF(R540="Yes", CEILING(MAX($G540, Q540-J540), $G540), 0)</f>
        <v>0</v>
      </c>
      <c r="T540">
        <f>IFERROR(J540/(O540/30),"")</f>
        <v>0</v>
      </c>
    </row>
    <row r="541" spans="10:20">
      <c r="J541">
        <f>IF($A541="","", SUMIFS(Mov_Qty, Mov_Item, $A541))</f>
        <v>0</v>
      </c>
      <c r="K541">
        <f>IF($A541="","", J541 * $E541)</f>
        <v>0</v>
      </c>
      <c r="L541">
        <f>IF($A541="","", SUMIFS(-Mov_Qty, Mov_Item, $A541, Mov_Type, "Consumption", Mov_Date, "&gt;="&amp;$V$2, Mov_Date, "&lt;="&amp;$W$2))</f>
        <v>0</v>
      </c>
      <c r="M541">
        <f>IF($A541="","", SUMIFS(-Mov_Qty, Mov_Item, $A541, Mov_Type, "Consumption", Mov_Date, "&gt;="&amp;$X$2, Mov_Date, "&lt;="&amp;$Y$2))</f>
        <v>0</v>
      </c>
      <c r="N541">
        <f>IF($A541="","", SUMIFS(-Mov_Qty, Mov_Item, $A541, Mov_Type, "Consumption", Mov_Date, "&gt;="&amp;$Z$2, Mov_Date, "&lt;="&amp;$AA$2))</f>
        <v>0</v>
      </c>
      <c r="O541">
        <f>IFERROR(AVERAGE(L541:N541),"")</f>
        <v>0</v>
      </c>
      <c r="P541">
        <f>IF(O541&gt;=Cfg_HiMove, "Yes", "")</f>
        <v>0</v>
      </c>
      <c r="Q541">
        <f>IF($A541="","", $I541 + IFERROR(O541/30*$H541,0))</f>
        <v>0</v>
      </c>
      <c r="R541">
        <f>IF($A541="","", IF(J541&lt;=$F541, "Yes", ""))</f>
        <v>0</v>
      </c>
      <c r="S541">
        <f>IF(R541="Yes", CEILING(MAX($G541, Q541-J541), $G541), 0)</f>
        <v>0</v>
      </c>
      <c r="T541">
        <f>IFERROR(J541/(O541/30),"")</f>
        <v>0</v>
      </c>
    </row>
    <row r="542" spans="10:20">
      <c r="J542">
        <f>IF($A542="","", SUMIFS(Mov_Qty, Mov_Item, $A542))</f>
        <v>0</v>
      </c>
      <c r="K542">
        <f>IF($A542="","", J542 * $E542)</f>
        <v>0</v>
      </c>
      <c r="L542">
        <f>IF($A542="","", SUMIFS(-Mov_Qty, Mov_Item, $A542, Mov_Type, "Consumption", Mov_Date, "&gt;="&amp;$V$2, Mov_Date, "&lt;="&amp;$W$2))</f>
        <v>0</v>
      </c>
      <c r="M542">
        <f>IF($A542="","", SUMIFS(-Mov_Qty, Mov_Item, $A542, Mov_Type, "Consumption", Mov_Date, "&gt;="&amp;$X$2, Mov_Date, "&lt;="&amp;$Y$2))</f>
        <v>0</v>
      </c>
      <c r="N542">
        <f>IF($A542="","", SUMIFS(-Mov_Qty, Mov_Item, $A542, Mov_Type, "Consumption", Mov_Date, "&gt;="&amp;$Z$2, Mov_Date, "&lt;="&amp;$AA$2))</f>
        <v>0</v>
      </c>
      <c r="O542">
        <f>IFERROR(AVERAGE(L542:N542),"")</f>
        <v>0</v>
      </c>
      <c r="P542">
        <f>IF(O542&gt;=Cfg_HiMove, "Yes", "")</f>
        <v>0</v>
      </c>
      <c r="Q542">
        <f>IF($A542="","", $I542 + IFERROR(O542/30*$H542,0))</f>
        <v>0</v>
      </c>
      <c r="R542">
        <f>IF($A542="","", IF(J542&lt;=$F542, "Yes", ""))</f>
        <v>0</v>
      </c>
      <c r="S542">
        <f>IF(R542="Yes", CEILING(MAX($G542, Q542-J542), $G542), 0)</f>
        <v>0</v>
      </c>
      <c r="T542">
        <f>IFERROR(J542/(O542/30),"")</f>
        <v>0</v>
      </c>
    </row>
    <row r="543" spans="10:20">
      <c r="J543">
        <f>IF($A543="","", SUMIFS(Mov_Qty, Mov_Item, $A543))</f>
        <v>0</v>
      </c>
      <c r="K543">
        <f>IF($A543="","", J543 * $E543)</f>
        <v>0</v>
      </c>
      <c r="L543">
        <f>IF($A543="","", SUMIFS(-Mov_Qty, Mov_Item, $A543, Mov_Type, "Consumption", Mov_Date, "&gt;="&amp;$V$2, Mov_Date, "&lt;="&amp;$W$2))</f>
        <v>0</v>
      </c>
      <c r="M543">
        <f>IF($A543="","", SUMIFS(-Mov_Qty, Mov_Item, $A543, Mov_Type, "Consumption", Mov_Date, "&gt;="&amp;$X$2, Mov_Date, "&lt;="&amp;$Y$2))</f>
        <v>0</v>
      </c>
      <c r="N543">
        <f>IF($A543="","", SUMIFS(-Mov_Qty, Mov_Item, $A543, Mov_Type, "Consumption", Mov_Date, "&gt;="&amp;$Z$2, Mov_Date, "&lt;="&amp;$AA$2))</f>
        <v>0</v>
      </c>
      <c r="O543">
        <f>IFERROR(AVERAGE(L543:N543),"")</f>
        <v>0</v>
      </c>
      <c r="P543">
        <f>IF(O543&gt;=Cfg_HiMove, "Yes", "")</f>
        <v>0</v>
      </c>
      <c r="Q543">
        <f>IF($A543="","", $I543 + IFERROR(O543/30*$H543,0))</f>
        <v>0</v>
      </c>
      <c r="R543">
        <f>IF($A543="","", IF(J543&lt;=$F543, "Yes", ""))</f>
        <v>0</v>
      </c>
      <c r="S543">
        <f>IF(R543="Yes", CEILING(MAX($G543, Q543-J543), $G543), 0)</f>
        <v>0</v>
      </c>
      <c r="T543">
        <f>IFERROR(J543/(O543/30),"")</f>
        <v>0</v>
      </c>
    </row>
    <row r="544" spans="10:20">
      <c r="J544">
        <f>IF($A544="","", SUMIFS(Mov_Qty, Mov_Item, $A544))</f>
        <v>0</v>
      </c>
      <c r="K544">
        <f>IF($A544="","", J544 * $E544)</f>
        <v>0</v>
      </c>
      <c r="L544">
        <f>IF($A544="","", SUMIFS(-Mov_Qty, Mov_Item, $A544, Mov_Type, "Consumption", Mov_Date, "&gt;="&amp;$V$2, Mov_Date, "&lt;="&amp;$W$2))</f>
        <v>0</v>
      </c>
      <c r="M544">
        <f>IF($A544="","", SUMIFS(-Mov_Qty, Mov_Item, $A544, Mov_Type, "Consumption", Mov_Date, "&gt;="&amp;$X$2, Mov_Date, "&lt;="&amp;$Y$2))</f>
        <v>0</v>
      </c>
      <c r="N544">
        <f>IF($A544="","", SUMIFS(-Mov_Qty, Mov_Item, $A544, Mov_Type, "Consumption", Mov_Date, "&gt;="&amp;$Z$2, Mov_Date, "&lt;="&amp;$AA$2))</f>
        <v>0</v>
      </c>
      <c r="O544">
        <f>IFERROR(AVERAGE(L544:N544),"")</f>
        <v>0</v>
      </c>
      <c r="P544">
        <f>IF(O544&gt;=Cfg_HiMove, "Yes", "")</f>
        <v>0</v>
      </c>
      <c r="Q544">
        <f>IF($A544="","", $I544 + IFERROR(O544/30*$H544,0))</f>
        <v>0</v>
      </c>
      <c r="R544">
        <f>IF($A544="","", IF(J544&lt;=$F544, "Yes", ""))</f>
        <v>0</v>
      </c>
      <c r="S544">
        <f>IF(R544="Yes", CEILING(MAX($G544, Q544-J544), $G544), 0)</f>
        <v>0</v>
      </c>
      <c r="T544">
        <f>IFERROR(J544/(O544/30),"")</f>
        <v>0</v>
      </c>
    </row>
    <row r="545" spans="10:20">
      <c r="J545">
        <f>IF($A545="","", SUMIFS(Mov_Qty, Mov_Item, $A545))</f>
        <v>0</v>
      </c>
      <c r="K545">
        <f>IF($A545="","", J545 * $E545)</f>
        <v>0</v>
      </c>
      <c r="L545">
        <f>IF($A545="","", SUMIFS(-Mov_Qty, Mov_Item, $A545, Mov_Type, "Consumption", Mov_Date, "&gt;="&amp;$V$2, Mov_Date, "&lt;="&amp;$W$2))</f>
        <v>0</v>
      </c>
      <c r="M545">
        <f>IF($A545="","", SUMIFS(-Mov_Qty, Mov_Item, $A545, Mov_Type, "Consumption", Mov_Date, "&gt;="&amp;$X$2, Mov_Date, "&lt;="&amp;$Y$2))</f>
        <v>0</v>
      </c>
      <c r="N545">
        <f>IF($A545="","", SUMIFS(-Mov_Qty, Mov_Item, $A545, Mov_Type, "Consumption", Mov_Date, "&gt;="&amp;$Z$2, Mov_Date, "&lt;="&amp;$AA$2))</f>
        <v>0</v>
      </c>
      <c r="O545">
        <f>IFERROR(AVERAGE(L545:N545),"")</f>
        <v>0</v>
      </c>
      <c r="P545">
        <f>IF(O545&gt;=Cfg_HiMove, "Yes", "")</f>
        <v>0</v>
      </c>
      <c r="Q545">
        <f>IF($A545="","", $I545 + IFERROR(O545/30*$H545,0))</f>
        <v>0</v>
      </c>
      <c r="R545">
        <f>IF($A545="","", IF(J545&lt;=$F545, "Yes", ""))</f>
        <v>0</v>
      </c>
      <c r="S545">
        <f>IF(R545="Yes", CEILING(MAX($G545, Q545-J545), $G545), 0)</f>
        <v>0</v>
      </c>
      <c r="T545">
        <f>IFERROR(J545/(O545/30),"")</f>
        <v>0</v>
      </c>
    </row>
    <row r="546" spans="10:20">
      <c r="J546">
        <f>IF($A546="","", SUMIFS(Mov_Qty, Mov_Item, $A546))</f>
        <v>0</v>
      </c>
      <c r="K546">
        <f>IF($A546="","", J546 * $E546)</f>
        <v>0</v>
      </c>
      <c r="L546">
        <f>IF($A546="","", SUMIFS(-Mov_Qty, Mov_Item, $A546, Mov_Type, "Consumption", Mov_Date, "&gt;="&amp;$V$2, Mov_Date, "&lt;="&amp;$W$2))</f>
        <v>0</v>
      </c>
      <c r="M546">
        <f>IF($A546="","", SUMIFS(-Mov_Qty, Mov_Item, $A546, Mov_Type, "Consumption", Mov_Date, "&gt;="&amp;$X$2, Mov_Date, "&lt;="&amp;$Y$2))</f>
        <v>0</v>
      </c>
      <c r="N546">
        <f>IF($A546="","", SUMIFS(-Mov_Qty, Mov_Item, $A546, Mov_Type, "Consumption", Mov_Date, "&gt;="&amp;$Z$2, Mov_Date, "&lt;="&amp;$AA$2))</f>
        <v>0</v>
      </c>
      <c r="O546">
        <f>IFERROR(AVERAGE(L546:N546),"")</f>
        <v>0</v>
      </c>
      <c r="P546">
        <f>IF(O546&gt;=Cfg_HiMove, "Yes", "")</f>
        <v>0</v>
      </c>
      <c r="Q546">
        <f>IF($A546="","", $I546 + IFERROR(O546/30*$H546,0))</f>
        <v>0</v>
      </c>
      <c r="R546">
        <f>IF($A546="","", IF(J546&lt;=$F546, "Yes", ""))</f>
        <v>0</v>
      </c>
      <c r="S546">
        <f>IF(R546="Yes", CEILING(MAX($G546, Q546-J546), $G546), 0)</f>
        <v>0</v>
      </c>
      <c r="T546">
        <f>IFERROR(J546/(O546/30),"")</f>
        <v>0</v>
      </c>
    </row>
    <row r="547" spans="10:20">
      <c r="J547">
        <f>IF($A547="","", SUMIFS(Mov_Qty, Mov_Item, $A547))</f>
        <v>0</v>
      </c>
      <c r="K547">
        <f>IF($A547="","", J547 * $E547)</f>
        <v>0</v>
      </c>
      <c r="L547">
        <f>IF($A547="","", SUMIFS(-Mov_Qty, Mov_Item, $A547, Mov_Type, "Consumption", Mov_Date, "&gt;="&amp;$V$2, Mov_Date, "&lt;="&amp;$W$2))</f>
        <v>0</v>
      </c>
      <c r="M547">
        <f>IF($A547="","", SUMIFS(-Mov_Qty, Mov_Item, $A547, Mov_Type, "Consumption", Mov_Date, "&gt;="&amp;$X$2, Mov_Date, "&lt;="&amp;$Y$2))</f>
        <v>0</v>
      </c>
      <c r="N547">
        <f>IF($A547="","", SUMIFS(-Mov_Qty, Mov_Item, $A547, Mov_Type, "Consumption", Mov_Date, "&gt;="&amp;$Z$2, Mov_Date, "&lt;="&amp;$AA$2))</f>
        <v>0</v>
      </c>
      <c r="O547">
        <f>IFERROR(AVERAGE(L547:N547),"")</f>
        <v>0</v>
      </c>
      <c r="P547">
        <f>IF(O547&gt;=Cfg_HiMove, "Yes", "")</f>
        <v>0</v>
      </c>
      <c r="Q547">
        <f>IF($A547="","", $I547 + IFERROR(O547/30*$H547,0))</f>
        <v>0</v>
      </c>
      <c r="R547">
        <f>IF($A547="","", IF(J547&lt;=$F547, "Yes", ""))</f>
        <v>0</v>
      </c>
      <c r="S547">
        <f>IF(R547="Yes", CEILING(MAX($G547, Q547-J547), $G547), 0)</f>
        <v>0</v>
      </c>
      <c r="T547">
        <f>IFERROR(J547/(O547/30),"")</f>
        <v>0</v>
      </c>
    </row>
    <row r="548" spans="10:20">
      <c r="J548">
        <f>IF($A548="","", SUMIFS(Mov_Qty, Mov_Item, $A548))</f>
        <v>0</v>
      </c>
      <c r="K548">
        <f>IF($A548="","", J548 * $E548)</f>
        <v>0</v>
      </c>
      <c r="L548">
        <f>IF($A548="","", SUMIFS(-Mov_Qty, Mov_Item, $A548, Mov_Type, "Consumption", Mov_Date, "&gt;="&amp;$V$2, Mov_Date, "&lt;="&amp;$W$2))</f>
        <v>0</v>
      </c>
      <c r="M548">
        <f>IF($A548="","", SUMIFS(-Mov_Qty, Mov_Item, $A548, Mov_Type, "Consumption", Mov_Date, "&gt;="&amp;$X$2, Mov_Date, "&lt;="&amp;$Y$2))</f>
        <v>0</v>
      </c>
      <c r="N548">
        <f>IF($A548="","", SUMIFS(-Mov_Qty, Mov_Item, $A548, Mov_Type, "Consumption", Mov_Date, "&gt;="&amp;$Z$2, Mov_Date, "&lt;="&amp;$AA$2))</f>
        <v>0</v>
      </c>
      <c r="O548">
        <f>IFERROR(AVERAGE(L548:N548),"")</f>
        <v>0</v>
      </c>
      <c r="P548">
        <f>IF(O548&gt;=Cfg_HiMove, "Yes", "")</f>
        <v>0</v>
      </c>
      <c r="Q548">
        <f>IF($A548="","", $I548 + IFERROR(O548/30*$H548,0))</f>
        <v>0</v>
      </c>
      <c r="R548">
        <f>IF($A548="","", IF(J548&lt;=$F548, "Yes", ""))</f>
        <v>0</v>
      </c>
      <c r="S548">
        <f>IF(R548="Yes", CEILING(MAX($G548, Q548-J548), $G548), 0)</f>
        <v>0</v>
      </c>
      <c r="T548">
        <f>IFERROR(J548/(O548/30),"")</f>
        <v>0</v>
      </c>
    </row>
    <row r="549" spans="10:20">
      <c r="J549">
        <f>IF($A549="","", SUMIFS(Mov_Qty, Mov_Item, $A549))</f>
        <v>0</v>
      </c>
      <c r="K549">
        <f>IF($A549="","", J549 * $E549)</f>
        <v>0</v>
      </c>
      <c r="L549">
        <f>IF($A549="","", SUMIFS(-Mov_Qty, Mov_Item, $A549, Mov_Type, "Consumption", Mov_Date, "&gt;="&amp;$V$2, Mov_Date, "&lt;="&amp;$W$2))</f>
        <v>0</v>
      </c>
      <c r="M549">
        <f>IF($A549="","", SUMIFS(-Mov_Qty, Mov_Item, $A549, Mov_Type, "Consumption", Mov_Date, "&gt;="&amp;$X$2, Mov_Date, "&lt;="&amp;$Y$2))</f>
        <v>0</v>
      </c>
      <c r="N549">
        <f>IF($A549="","", SUMIFS(-Mov_Qty, Mov_Item, $A549, Mov_Type, "Consumption", Mov_Date, "&gt;="&amp;$Z$2, Mov_Date, "&lt;="&amp;$AA$2))</f>
        <v>0</v>
      </c>
      <c r="O549">
        <f>IFERROR(AVERAGE(L549:N549),"")</f>
        <v>0</v>
      </c>
      <c r="P549">
        <f>IF(O549&gt;=Cfg_HiMove, "Yes", "")</f>
        <v>0</v>
      </c>
      <c r="Q549">
        <f>IF($A549="","", $I549 + IFERROR(O549/30*$H549,0))</f>
        <v>0</v>
      </c>
      <c r="R549">
        <f>IF($A549="","", IF(J549&lt;=$F549, "Yes", ""))</f>
        <v>0</v>
      </c>
      <c r="S549">
        <f>IF(R549="Yes", CEILING(MAX($G549, Q549-J549), $G549), 0)</f>
        <v>0</v>
      </c>
      <c r="T549">
        <f>IFERROR(J549/(O549/30),"")</f>
        <v>0</v>
      </c>
    </row>
    <row r="550" spans="10:20">
      <c r="J550">
        <f>IF($A550="","", SUMIFS(Mov_Qty, Mov_Item, $A550))</f>
        <v>0</v>
      </c>
      <c r="K550">
        <f>IF($A550="","", J550 * $E550)</f>
        <v>0</v>
      </c>
      <c r="L550">
        <f>IF($A550="","", SUMIFS(-Mov_Qty, Mov_Item, $A550, Mov_Type, "Consumption", Mov_Date, "&gt;="&amp;$V$2, Mov_Date, "&lt;="&amp;$W$2))</f>
        <v>0</v>
      </c>
      <c r="M550">
        <f>IF($A550="","", SUMIFS(-Mov_Qty, Mov_Item, $A550, Mov_Type, "Consumption", Mov_Date, "&gt;="&amp;$X$2, Mov_Date, "&lt;="&amp;$Y$2))</f>
        <v>0</v>
      </c>
      <c r="N550">
        <f>IF($A550="","", SUMIFS(-Mov_Qty, Mov_Item, $A550, Mov_Type, "Consumption", Mov_Date, "&gt;="&amp;$Z$2, Mov_Date, "&lt;="&amp;$AA$2))</f>
        <v>0</v>
      </c>
      <c r="O550">
        <f>IFERROR(AVERAGE(L550:N550),"")</f>
        <v>0</v>
      </c>
      <c r="P550">
        <f>IF(O550&gt;=Cfg_HiMove, "Yes", "")</f>
        <v>0</v>
      </c>
      <c r="Q550">
        <f>IF($A550="","", $I550 + IFERROR(O550/30*$H550,0))</f>
        <v>0</v>
      </c>
      <c r="R550">
        <f>IF($A550="","", IF(J550&lt;=$F550, "Yes", ""))</f>
        <v>0</v>
      </c>
      <c r="S550">
        <f>IF(R550="Yes", CEILING(MAX($G550, Q550-J550), $G550), 0)</f>
        <v>0</v>
      </c>
      <c r="T550">
        <f>IFERROR(J550/(O550/30),"")</f>
        <v>0</v>
      </c>
    </row>
    <row r="551" spans="10:20">
      <c r="J551">
        <f>IF($A551="","", SUMIFS(Mov_Qty, Mov_Item, $A551))</f>
        <v>0</v>
      </c>
      <c r="K551">
        <f>IF($A551="","", J551 * $E551)</f>
        <v>0</v>
      </c>
      <c r="L551">
        <f>IF($A551="","", SUMIFS(-Mov_Qty, Mov_Item, $A551, Mov_Type, "Consumption", Mov_Date, "&gt;="&amp;$V$2, Mov_Date, "&lt;="&amp;$W$2))</f>
        <v>0</v>
      </c>
      <c r="M551">
        <f>IF($A551="","", SUMIFS(-Mov_Qty, Mov_Item, $A551, Mov_Type, "Consumption", Mov_Date, "&gt;="&amp;$X$2, Mov_Date, "&lt;="&amp;$Y$2))</f>
        <v>0</v>
      </c>
      <c r="N551">
        <f>IF($A551="","", SUMIFS(-Mov_Qty, Mov_Item, $A551, Mov_Type, "Consumption", Mov_Date, "&gt;="&amp;$Z$2, Mov_Date, "&lt;="&amp;$AA$2))</f>
        <v>0</v>
      </c>
      <c r="O551">
        <f>IFERROR(AVERAGE(L551:N551),"")</f>
        <v>0</v>
      </c>
      <c r="P551">
        <f>IF(O551&gt;=Cfg_HiMove, "Yes", "")</f>
        <v>0</v>
      </c>
      <c r="Q551">
        <f>IF($A551="","", $I551 + IFERROR(O551/30*$H551,0))</f>
        <v>0</v>
      </c>
      <c r="R551">
        <f>IF($A551="","", IF(J551&lt;=$F551, "Yes", ""))</f>
        <v>0</v>
      </c>
      <c r="S551">
        <f>IF(R551="Yes", CEILING(MAX($G551, Q551-J551), $G551), 0)</f>
        <v>0</v>
      </c>
      <c r="T551">
        <f>IFERROR(J551/(O551/30),"")</f>
        <v>0</v>
      </c>
    </row>
    <row r="552" spans="10:20">
      <c r="J552">
        <f>IF($A552="","", SUMIFS(Mov_Qty, Mov_Item, $A552))</f>
        <v>0</v>
      </c>
      <c r="K552">
        <f>IF($A552="","", J552 * $E552)</f>
        <v>0</v>
      </c>
      <c r="L552">
        <f>IF($A552="","", SUMIFS(-Mov_Qty, Mov_Item, $A552, Mov_Type, "Consumption", Mov_Date, "&gt;="&amp;$V$2, Mov_Date, "&lt;="&amp;$W$2))</f>
        <v>0</v>
      </c>
      <c r="M552">
        <f>IF($A552="","", SUMIFS(-Mov_Qty, Mov_Item, $A552, Mov_Type, "Consumption", Mov_Date, "&gt;="&amp;$X$2, Mov_Date, "&lt;="&amp;$Y$2))</f>
        <v>0</v>
      </c>
      <c r="N552">
        <f>IF($A552="","", SUMIFS(-Mov_Qty, Mov_Item, $A552, Mov_Type, "Consumption", Mov_Date, "&gt;="&amp;$Z$2, Mov_Date, "&lt;="&amp;$AA$2))</f>
        <v>0</v>
      </c>
      <c r="O552">
        <f>IFERROR(AVERAGE(L552:N552),"")</f>
        <v>0</v>
      </c>
      <c r="P552">
        <f>IF(O552&gt;=Cfg_HiMove, "Yes", "")</f>
        <v>0</v>
      </c>
      <c r="Q552">
        <f>IF($A552="","", $I552 + IFERROR(O552/30*$H552,0))</f>
        <v>0</v>
      </c>
      <c r="R552">
        <f>IF($A552="","", IF(J552&lt;=$F552, "Yes", ""))</f>
        <v>0</v>
      </c>
      <c r="S552">
        <f>IF(R552="Yes", CEILING(MAX($G552, Q552-J552), $G552), 0)</f>
        <v>0</v>
      </c>
      <c r="T552">
        <f>IFERROR(J552/(O552/30),"")</f>
        <v>0</v>
      </c>
    </row>
    <row r="553" spans="10:20">
      <c r="J553">
        <f>IF($A553="","", SUMIFS(Mov_Qty, Mov_Item, $A553))</f>
        <v>0</v>
      </c>
      <c r="K553">
        <f>IF($A553="","", J553 * $E553)</f>
        <v>0</v>
      </c>
      <c r="L553">
        <f>IF($A553="","", SUMIFS(-Mov_Qty, Mov_Item, $A553, Mov_Type, "Consumption", Mov_Date, "&gt;="&amp;$V$2, Mov_Date, "&lt;="&amp;$W$2))</f>
        <v>0</v>
      </c>
      <c r="M553">
        <f>IF($A553="","", SUMIFS(-Mov_Qty, Mov_Item, $A553, Mov_Type, "Consumption", Mov_Date, "&gt;="&amp;$X$2, Mov_Date, "&lt;="&amp;$Y$2))</f>
        <v>0</v>
      </c>
      <c r="N553">
        <f>IF($A553="","", SUMIFS(-Mov_Qty, Mov_Item, $A553, Mov_Type, "Consumption", Mov_Date, "&gt;="&amp;$Z$2, Mov_Date, "&lt;="&amp;$AA$2))</f>
        <v>0</v>
      </c>
      <c r="O553">
        <f>IFERROR(AVERAGE(L553:N553),"")</f>
        <v>0</v>
      </c>
      <c r="P553">
        <f>IF(O553&gt;=Cfg_HiMove, "Yes", "")</f>
        <v>0</v>
      </c>
      <c r="Q553">
        <f>IF($A553="","", $I553 + IFERROR(O553/30*$H553,0))</f>
        <v>0</v>
      </c>
      <c r="R553">
        <f>IF($A553="","", IF(J553&lt;=$F553, "Yes", ""))</f>
        <v>0</v>
      </c>
      <c r="S553">
        <f>IF(R553="Yes", CEILING(MAX($G553, Q553-J553), $G553), 0)</f>
        <v>0</v>
      </c>
      <c r="T553">
        <f>IFERROR(J553/(O553/30),"")</f>
        <v>0</v>
      </c>
    </row>
    <row r="554" spans="10:20">
      <c r="J554">
        <f>IF($A554="","", SUMIFS(Mov_Qty, Mov_Item, $A554))</f>
        <v>0</v>
      </c>
      <c r="K554">
        <f>IF($A554="","", J554 * $E554)</f>
        <v>0</v>
      </c>
      <c r="L554">
        <f>IF($A554="","", SUMIFS(-Mov_Qty, Mov_Item, $A554, Mov_Type, "Consumption", Mov_Date, "&gt;="&amp;$V$2, Mov_Date, "&lt;="&amp;$W$2))</f>
        <v>0</v>
      </c>
      <c r="M554">
        <f>IF($A554="","", SUMIFS(-Mov_Qty, Mov_Item, $A554, Mov_Type, "Consumption", Mov_Date, "&gt;="&amp;$X$2, Mov_Date, "&lt;="&amp;$Y$2))</f>
        <v>0</v>
      </c>
      <c r="N554">
        <f>IF($A554="","", SUMIFS(-Mov_Qty, Mov_Item, $A554, Mov_Type, "Consumption", Mov_Date, "&gt;="&amp;$Z$2, Mov_Date, "&lt;="&amp;$AA$2))</f>
        <v>0</v>
      </c>
      <c r="O554">
        <f>IFERROR(AVERAGE(L554:N554),"")</f>
        <v>0</v>
      </c>
      <c r="P554">
        <f>IF(O554&gt;=Cfg_HiMove, "Yes", "")</f>
        <v>0</v>
      </c>
      <c r="Q554">
        <f>IF($A554="","", $I554 + IFERROR(O554/30*$H554,0))</f>
        <v>0</v>
      </c>
      <c r="R554">
        <f>IF($A554="","", IF(J554&lt;=$F554, "Yes", ""))</f>
        <v>0</v>
      </c>
      <c r="S554">
        <f>IF(R554="Yes", CEILING(MAX($G554, Q554-J554), $G554), 0)</f>
        <v>0</v>
      </c>
      <c r="T554">
        <f>IFERROR(J554/(O554/30),"")</f>
        <v>0</v>
      </c>
    </row>
    <row r="555" spans="10:20">
      <c r="J555">
        <f>IF($A555="","", SUMIFS(Mov_Qty, Mov_Item, $A555))</f>
        <v>0</v>
      </c>
      <c r="K555">
        <f>IF($A555="","", J555 * $E555)</f>
        <v>0</v>
      </c>
      <c r="L555">
        <f>IF($A555="","", SUMIFS(-Mov_Qty, Mov_Item, $A555, Mov_Type, "Consumption", Mov_Date, "&gt;="&amp;$V$2, Mov_Date, "&lt;="&amp;$W$2))</f>
        <v>0</v>
      </c>
      <c r="M555">
        <f>IF($A555="","", SUMIFS(-Mov_Qty, Mov_Item, $A555, Mov_Type, "Consumption", Mov_Date, "&gt;="&amp;$X$2, Mov_Date, "&lt;="&amp;$Y$2))</f>
        <v>0</v>
      </c>
      <c r="N555">
        <f>IF($A555="","", SUMIFS(-Mov_Qty, Mov_Item, $A555, Mov_Type, "Consumption", Mov_Date, "&gt;="&amp;$Z$2, Mov_Date, "&lt;="&amp;$AA$2))</f>
        <v>0</v>
      </c>
      <c r="O555">
        <f>IFERROR(AVERAGE(L555:N555),"")</f>
        <v>0</v>
      </c>
      <c r="P555">
        <f>IF(O555&gt;=Cfg_HiMove, "Yes", "")</f>
        <v>0</v>
      </c>
      <c r="Q555">
        <f>IF($A555="","", $I555 + IFERROR(O555/30*$H555,0))</f>
        <v>0</v>
      </c>
      <c r="R555">
        <f>IF($A555="","", IF(J555&lt;=$F555, "Yes", ""))</f>
        <v>0</v>
      </c>
      <c r="S555">
        <f>IF(R555="Yes", CEILING(MAX($G555, Q555-J555), $G555), 0)</f>
        <v>0</v>
      </c>
      <c r="T555">
        <f>IFERROR(J555/(O555/30),"")</f>
        <v>0</v>
      </c>
    </row>
    <row r="556" spans="10:20">
      <c r="J556">
        <f>IF($A556="","", SUMIFS(Mov_Qty, Mov_Item, $A556))</f>
        <v>0</v>
      </c>
      <c r="K556">
        <f>IF($A556="","", J556 * $E556)</f>
        <v>0</v>
      </c>
      <c r="L556">
        <f>IF($A556="","", SUMIFS(-Mov_Qty, Mov_Item, $A556, Mov_Type, "Consumption", Mov_Date, "&gt;="&amp;$V$2, Mov_Date, "&lt;="&amp;$W$2))</f>
        <v>0</v>
      </c>
      <c r="M556">
        <f>IF($A556="","", SUMIFS(-Mov_Qty, Mov_Item, $A556, Mov_Type, "Consumption", Mov_Date, "&gt;="&amp;$X$2, Mov_Date, "&lt;="&amp;$Y$2))</f>
        <v>0</v>
      </c>
      <c r="N556">
        <f>IF($A556="","", SUMIFS(-Mov_Qty, Mov_Item, $A556, Mov_Type, "Consumption", Mov_Date, "&gt;="&amp;$Z$2, Mov_Date, "&lt;="&amp;$AA$2))</f>
        <v>0</v>
      </c>
      <c r="O556">
        <f>IFERROR(AVERAGE(L556:N556),"")</f>
        <v>0</v>
      </c>
      <c r="P556">
        <f>IF(O556&gt;=Cfg_HiMove, "Yes", "")</f>
        <v>0</v>
      </c>
      <c r="Q556">
        <f>IF($A556="","", $I556 + IFERROR(O556/30*$H556,0))</f>
        <v>0</v>
      </c>
      <c r="R556">
        <f>IF($A556="","", IF(J556&lt;=$F556, "Yes", ""))</f>
        <v>0</v>
      </c>
      <c r="S556">
        <f>IF(R556="Yes", CEILING(MAX($G556, Q556-J556), $G556), 0)</f>
        <v>0</v>
      </c>
      <c r="T556">
        <f>IFERROR(J556/(O556/30),"")</f>
        <v>0</v>
      </c>
    </row>
    <row r="557" spans="10:20">
      <c r="J557">
        <f>IF($A557="","", SUMIFS(Mov_Qty, Mov_Item, $A557))</f>
        <v>0</v>
      </c>
      <c r="K557">
        <f>IF($A557="","", J557 * $E557)</f>
        <v>0</v>
      </c>
      <c r="L557">
        <f>IF($A557="","", SUMIFS(-Mov_Qty, Mov_Item, $A557, Mov_Type, "Consumption", Mov_Date, "&gt;="&amp;$V$2, Mov_Date, "&lt;="&amp;$W$2))</f>
        <v>0</v>
      </c>
      <c r="M557">
        <f>IF($A557="","", SUMIFS(-Mov_Qty, Mov_Item, $A557, Mov_Type, "Consumption", Mov_Date, "&gt;="&amp;$X$2, Mov_Date, "&lt;="&amp;$Y$2))</f>
        <v>0</v>
      </c>
      <c r="N557">
        <f>IF($A557="","", SUMIFS(-Mov_Qty, Mov_Item, $A557, Mov_Type, "Consumption", Mov_Date, "&gt;="&amp;$Z$2, Mov_Date, "&lt;="&amp;$AA$2))</f>
        <v>0</v>
      </c>
      <c r="O557">
        <f>IFERROR(AVERAGE(L557:N557),"")</f>
        <v>0</v>
      </c>
      <c r="P557">
        <f>IF(O557&gt;=Cfg_HiMove, "Yes", "")</f>
        <v>0</v>
      </c>
      <c r="Q557">
        <f>IF($A557="","", $I557 + IFERROR(O557/30*$H557,0))</f>
        <v>0</v>
      </c>
      <c r="R557">
        <f>IF($A557="","", IF(J557&lt;=$F557, "Yes", ""))</f>
        <v>0</v>
      </c>
      <c r="S557">
        <f>IF(R557="Yes", CEILING(MAX($G557, Q557-J557), $G557), 0)</f>
        <v>0</v>
      </c>
      <c r="T557">
        <f>IFERROR(J557/(O557/30),"")</f>
        <v>0</v>
      </c>
    </row>
    <row r="558" spans="10:20">
      <c r="J558">
        <f>IF($A558="","", SUMIFS(Mov_Qty, Mov_Item, $A558))</f>
        <v>0</v>
      </c>
      <c r="K558">
        <f>IF($A558="","", J558 * $E558)</f>
        <v>0</v>
      </c>
      <c r="L558">
        <f>IF($A558="","", SUMIFS(-Mov_Qty, Mov_Item, $A558, Mov_Type, "Consumption", Mov_Date, "&gt;="&amp;$V$2, Mov_Date, "&lt;="&amp;$W$2))</f>
        <v>0</v>
      </c>
      <c r="M558">
        <f>IF($A558="","", SUMIFS(-Mov_Qty, Mov_Item, $A558, Mov_Type, "Consumption", Mov_Date, "&gt;="&amp;$X$2, Mov_Date, "&lt;="&amp;$Y$2))</f>
        <v>0</v>
      </c>
      <c r="N558">
        <f>IF($A558="","", SUMIFS(-Mov_Qty, Mov_Item, $A558, Mov_Type, "Consumption", Mov_Date, "&gt;="&amp;$Z$2, Mov_Date, "&lt;="&amp;$AA$2))</f>
        <v>0</v>
      </c>
      <c r="O558">
        <f>IFERROR(AVERAGE(L558:N558),"")</f>
        <v>0</v>
      </c>
      <c r="P558">
        <f>IF(O558&gt;=Cfg_HiMove, "Yes", "")</f>
        <v>0</v>
      </c>
      <c r="Q558">
        <f>IF($A558="","", $I558 + IFERROR(O558/30*$H558,0))</f>
        <v>0</v>
      </c>
      <c r="R558">
        <f>IF($A558="","", IF(J558&lt;=$F558, "Yes", ""))</f>
        <v>0</v>
      </c>
      <c r="S558">
        <f>IF(R558="Yes", CEILING(MAX($G558, Q558-J558), $G558), 0)</f>
        <v>0</v>
      </c>
      <c r="T558">
        <f>IFERROR(J558/(O558/30),"")</f>
        <v>0</v>
      </c>
    </row>
    <row r="559" spans="10:20">
      <c r="J559">
        <f>IF($A559="","", SUMIFS(Mov_Qty, Mov_Item, $A559))</f>
        <v>0</v>
      </c>
      <c r="K559">
        <f>IF($A559="","", J559 * $E559)</f>
        <v>0</v>
      </c>
      <c r="L559">
        <f>IF($A559="","", SUMIFS(-Mov_Qty, Mov_Item, $A559, Mov_Type, "Consumption", Mov_Date, "&gt;="&amp;$V$2, Mov_Date, "&lt;="&amp;$W$2))</f>
        <v>0</v>
      </c>
      <c r="M559">
        <f>IF($A559="","", SUMIFS(-Mov_Qty, Mov_Item, $A559, Mov_Type, "Consumption", Mov_Date, "&gt;="&amp;$X$2, Mov_Date, "&lt;="&amp;$Y$2))</f>
        <v>0</v>
      </c>
      <c r="N559">
        <f>IF($A559="","", SUMIFS(-Mov_Qty, Mov_Item, $A559, Mov_Type, "Consumption", Mov_Date, "&gt;="&amp;$Z$2, Mov_Date, "&lt;="&amp;$AA$2))</f>
        <v>0</v>
      </c>
      <c r="O559">
        <f>IFERROR(AVERAGE(L559:N559),"")</f>
        <v>0</v>
      </c>
      <c r="P559">
        <f>IF(O559&gt;=Cfg_HiMove, "Yes", "")</f>
        <v>0</v>
      </c>
      <c r="Q559">
        <f>IF($A559="","", $I559 + IFERROR(O559/30*$H559,0))</f>
        <v>0</v>
      </c>
      <c r="R559">
        <f>IF($A559="","", IF(J559&lt;=$F559, "Yes", ""))</f>
        <v>0</v>
      </c>
      <c r="S559">
        <f>IF(R559="Yes", CEILING(MAX($G559, Q559-J559), $G559), 0)</f>
        <v>0</v>
      </c>
      <c r="T559">
        <f>IFERROR(J559/(O559/30),"")</f>
        <v>0</v>
      </c>
    </row>
    <row r="560" spans="10:20">
      <c r="J560">
        <f>IF($A560="","", SUMIFS(Mov_Qty, Mov_Item, $A560))</f>
        <v>0</v>
      </c>
      <c r="K560">
        <f>IF($A560="","", J560 * $E560)</f>
        <v>0</v>
      </c>
      <c r="L560">
        <f>IF($A560="","", SUMIFS(-Mov_Qty, Mov_Item, $A560, Mov_Type, "Consumption", Mov_Date, "&gt;="&amp;$V$2, Mov_Date, "&lt;="&amp;$W$2))</f>
        <v>0</v>
      </c>
      <c r="M560">
        <f>IF($A560="","", SUMIFS(-Mov_Qty, Mov_Item, $A560, Mov_Type, "Consumption", Mov_Date, "&gt;="&amp;$X$2, Mov_Date, "&lt;="&amp;$Y$2))</f>
        <v>0</v>
      </c>
      <c r="N560">
        <f>IF($A560="","", SUMIFS(-Mov_Qty, Mov_Item, $A560, Mov_Type, "Consumption", Mov_Date, "&gt;="&amp;$Z$2, Mov_Date, "&lt;="&amp;$AA$2))</f>
        <v>0</v>
      </c>
      <c r="O560">
        <f>IFERROR(AVERAGE(L560:N560),"")</f>
        <v>0</v>
      </c>
      <c r="P560">
        <f>IF(O560&gt;=Cfg_HiMove, "Yes", "")</f>
        <v>0</v>
      </c>
      <c r="Q560">
        <f>IF($A560="","", $I560 + IFERROR(O560/30*$H560,0))</f>
        <v>0</v>
      </c>
      <c r="R560">
        <f>IF($A560="","", IF(J560&lt;=$F560, "Yes", ""))</f>
        <v>0</v>
      </c>
      <c r="S560">
        <f>IF(R560="Yes", CEILING(MAX($G560, Q560-J560), $G560), 0)</f>
        <v>0</v>
      </c>
      <c r="T560">
        <f>IFERROR(J560/(O560/30),"")</f>
        <v>0</v>
      </c>
    </row>
    <row r="561" spans="10:20">
      <c r="J561">
        <f>IF($A561="","", SUMIFS(Mov_Qty, Mov_Item, $A561))</f>
        <v>0</v>
      </c>
      <c r="K561">
        <f>IF($A561="","", J561 * $E561)</f>
        <v>0</v>
      </c>
      <c r="L561">
        <f>IF($A561="","", SUMIFS(-Mov_Qty, Mov_Item, $A561, Mov_Type, "Consumption", Mov_Date, "&gt;="&amp;$V$2, Mov_Date, "&lt;="&amp;$W$2))</f>
        <v>0</v>
      </c>
      <c r="M561">
        <f>IF($A561="","", SUMIFS(-Mov_Qty, Mov_Item, $A561, Mov_Type, "Consumption", Mov_Date, "&gt;="&amp;$X$2, Mov_Date, "&lt;="&amp;$Y$2))</f>
        <v>0</v>
      </c>
      <c r="N561">
        <f>IF($A561="","", SUMIFS(-Mov_Qty, Mov_Item, $A561, Mov_Type, "Consumption", Mov_Date, "&gt;="&amp;$Z$2, Mov_Date, "&lt;="&amp;$AA$2))</f>
        <v>0</v>
      </c>
      <c r="O561">
        <f>IFERROR(AVERAGE(L561:N561),"")</f>
        <v>0</v>
      </c>
      <c r="P561">
        <f>IF(O561&gt;=Cfg_HiMove, "Yes", "")</f>
        <v>0</v>
      </c>
      <c r="Q561">
        <f>IF($A561="","", $I561 + IFERROR(O561/30*$H561,0))</f>
        <v>0</v>
      </c>
      <c r="R561">
        <f>IF($A561="","", IF(J561&lt;=$F561, "Yes", ""))</f>
        <v>0</v>
      </c>
      <c r="S561">
        <f>IF(R561="Yes", CEILING(MAX($G561, Q561-J561), $G561), 0)</f>
        <v>0</v>
      </c>
      <c r="T561">
        <f>IFERROR(J561/(O561/30),"")</f>
        <v>0</v>
      </c>
    </row>
    <row r="562" spans="10:20">
      <c r="J562">
        <f>IF($A562="","", SUMIFS(Mov_Qty, Mov_Item, $A562))</f>
        <v>0</v>
      </c>
      <c r="K562">
        <f>IF($A562="","", J562 * $E562)</f>
        <v>0</v>
      </c>
      <c r="L562">
        <f>IF($A562="","", SUMIFS(-Mov_Qty, Mov_Item, $A562, Mov_Type, "Consumption", Mov_Date, "&gt;="&amp;$V$2, Mov_Date, "&lt;="&amp;$W$2))</f>
        <v>0</v>
      </c>
      <c r="M562">
        <f>IF($A562="","", SUMIFS(-Mov_Qty, Mov_Item, $A562, Mov_Type, "Consumption", Mov_Date, "&gt;="&amp;$X$2, Mov_Date, "&lt;="&amp;$Y$2))</f>
        <v>0</v>
      </c>
      <c r="N562">
        <f>IF($A562="","", SUMIFS(-Mov_Qty, Mov_Item, $A562, Mov_Type, "Consumption", Mov_Date, "&gt;="&amp;$Z$2, Mov_Date, "&lt;="&amp;$AA$2))</f>
        <v>0</v>
      </c>
      <c r="O562">
        <f>IFERROR(AVERAGE(L562:N562),"")</f>
        <v>0</v>
      </c>
      <c r="P562">
        <f>IF(O562&gt;=Cfg_HiMove, "Yes", "")</f>
        <v>0</v>
      </c>
      <c r="Q562">
        <f>IF($A562="","", $I562 + IFERROR(O562/30*$H562,0))</f>
        <v>0</v>
      </c>
      <c r="R562">
        <f>IF($A562="","", IF(J562&lt;=$F562, "Yes", ""))</f>
        <v>0</v>
      </c>
      <c r="S562">
        <f>IF(R562="Yes", CEILING(MAX($G562, Q562-J562), $G562), 0)</f>
        <v>0</v>
      </c>
      <c r="T562">
        <f>IFERROR(J562/(O562/30),"")</f>
        <v>0</v>
      </c>
    </row>
    <row r="563" spans="10:20">
      <c r="J563">
        <f>IF($A563="","", SUMIFS(Mov_Qty, Mov_Item, $A563))</f>
        <v>0</v>
      </c>
      <c r="K563">
        <f>IF($A563="","", J563 * $E563)</f>
        <v>0</v>
      </c>
      <c r="L563">
        <f>IF($A563="","", SUMIFS(-Mov_Qty, Mov_Item, $A563, Mov_Type, "Consumption", Mov_Date, "&gt;="&amp;$V$2, Mov_Date, "&lt;="&amp;$W$2))</f>
        <v>0</v>
      </c>
      <c r="M563">
        <f>IF($A563="","", SUMIFS(-Mov_Qty, Mov_Item, $A563, Mov_Type, "Consumption", Mov_Date, "&gt;="&amp;$X$2, Mov_Date, "&lt;="&amp;$Y$2))</f>
        <v>0</v>
      </c>
      <c r="N563">
        <f>IF($A563="","", SUMIFS(-Mov_Qty, Mov_Item, $A563, Mov_Type, "Consumption", Mov_Date, "&gt;="&amp;$Z$2, Mov_Date, "&lt;="&amp;$AA$2))</f>
        <v>0</v>
      </c>
      <c r="O563">
        <f>IFERROR(AVERAGE(L563:N563),"")</f>
        <v>0</v>
      </c>
      <c r="P563">
        <f>IF(O563&gt;=Cfg_HiMove, "Yes", "")</f>
        <v>0</v>
      </c>
      <c r="Q563">
        <f>IF($A563="","", $I563 + IFERROR(O563/30*$H563,0))</f>
        <v>0</v>
      </c>
      <c r="R563">
        <f>IF($A563="","", IF(J563&lt;=$F563, "Yes", ""))</f>
        <v>0</v>
      </c>
      <c r="S563">
        <f>IF(R563="Yes", CEILING(MAX($G563, Q563-J563), $G563), 0)</f>
        <v>0</v>
      </c>
      <c r="T563">
        <f>IFERROR(J563/(O563/30),"")</f>
        <v>0</v>
      </c>
    </row>
    <row r="564" spans="10:20">
      <c r="J564">
        <f>IF($A564="","", SUMIFS(Mov_Qty, Mov_Item, $A564))</f>
        <v>0</v>
      </c>
      <c r="K564">
        <f>IF($A564="","", J564 * $E564)</f>
        <v>0</v>
      </c>
      <c r="L564">
        <f>IF($A564="","", SUMIFS(-Mov_Qty, Mov_Item, $A564, Mov_Type, "Consumption", Mov_Date, "&gt;="&amp;$V$2, Mov_Date, "&lt;="&amp;$W$2))</f>
        <v>0</v>
      </c>
      <c r="M564">
        <f>IF($A564="","", SUMIFS(-Mov_Qty, Mov_Item, $A564, Mov_Type, "Consumption", Mov_Date, "&gt;="&amp;$X$2, Mov_Date, "&lt;="&amp;$Y$2))</f>
        <v>0</v>
      </c>
      <c r="N564">
        <f>IF($A564="","", SUMIFS(-Mov_Qty, Mov_Item, $A564, Mov_Type, "Consumption", Mov_Date, "&gt;="&amp;$Z$2, Mov_Date, "&lt;="&amp;$AA$2))</f>
        <v>0</v>
      </c>
      <c r="O564">
        <f>IFERROR(AVERAGE(L564:N564),"")</f>
        <v>0</v>
      </c>
      <c r="P564">
        <f>IF(O564&gt;=Cfg_HiMove, "Yes", "")</f>
        <v>0</v>
      </c>
      <c r="Q564">
        <f>IF($A564="","", $I564 + IFERROR(O564/30*$H564,0))</f>
        <v>0</v>
      </c>
      <c r="R564">
        <f>IF($A564="","", IF(J564&lt;=$F564, "Yes", ""))</f>
        <v>0</v>
      </c>
      <c r="S564">
        <f>IF(R564="Yes", CEILING(MAX($G564, Q564-J564), $G564), 0)</f>
        <v>0</v>
      </c>
      <c r="T564">
        <f>IFERROR(J564/(O564/30),"")</f>
        <v>0</v>
      </c>
    </row>
    <row r="565" spans="10:20">
      <c r="J565">
        <f>IF($A565="","", SUMIFS(Mov_Qty, Mov_Item, $A565))</f>
        <v>0</v>
      </c>
      <c r="K565">
        <f>IF($A565="","", J565 * $E565)</f>
        <v>0</v>
      </c>
      <c r="L565">
        <f>IF($A565="","", SUMIFS(-Mov_Qty, Mov_Item, $A565, Mov_Type, "Consumption", Mov_Date, "&gt;="&amp;$V$2, Mov_Date, "&lt;="&amp;$W$2))</f>
        <v>0</v>
      </c>
      <c r="M565">
        <f>IF($A565="","", SUMIFS(-Mov_Qty, Mov_Item, $A565, Mov_Type, "Consumption", Mov_Date, "&gt;="&amp;$X$2, Mov_Date, "&lt;="&amp;$Y$2))</f>
        <v>0</v>
      </c>
      <c r="N565">
        <f>IF($A565="","", SUMIFS(-Mov_Qty, Mov_Item, $A565, Mov_Type, "Consumption", Mov_Date, "&gt;="&amp;$Z$2, Mov_Date, "&lt;="&amp;$AA$2))</f>
        <v>0</v>
      </c>
      <c r="O565">
        <f>IFERROR(AVERAGE(L565:N565),"")</f>
        <v>0</v>
      </c>
      <c r="P565">
        <f>IF(O565&gt;=Cfg_HiMove, "Yes", "")</f>
        <v>0</v>
      </c>
      <c r="Q565">
        <f>IF($A565="","", $I565 + IFERROR(O565/30*$H565,0))</f>
        <v>0</v>
      </c>
      <c r="R565">
        <f>IF($A565="","", IF(J565&lt;=$F565, "Yes", ""))</f>
        <v>0</v>
      </c>
      <c r="S565">
        <f>IF(R565="Yes", CEILING(MAX($G565, Q565-J565), $G565), 0)</f>
        <v>0</v>
      </c>
      <c r="T565">
        <f>IFERROR(J565/(O565/30),"")</f>
        <v>0</v>
      </c>
    </row>
    <row r="566" spans="10:20">
      <c r="J566">
        <f>IF($A566="","", SUMIFS(Mov_Qty, Mov_Item, $A566))</f>
        <v>0</v>
      </c>
      <c r="K566">
        <f>IF($A566="","", J566 * $E566)</f>
        <v>0</v>
      </c>
      <c r="L566">
        <f>IF($A566="","", SUMIFS(-Mov_Qty, Mov_Item, $A566, Mov_Type, "Consumption", Mov_Date, "&gt;="&amp;$V$2, Mov_Date, "&lt;="&amp;$W$2))</f>
        <v>0</v>
      </c>
      <c r="M566">
        <f>IF($A566="","", SUMIFS(-Mov_Qty, Mov_Item, $A566, Mov_Type, "Consumption", Mov_Date, "&gt;="&amp;$X$2, Mov_Date, "&lt;="&amp;$Y$2))</f>
        <v>0</v>
      </c>
      <c r="N566">
        <f>IF($A566="","", SUMIFS(-Mov_Qty, Mov_Item, $A566, Mov_Type, "Consumption", Mov_Date, "&gt;="&amp;$Z$2, Mov_Date, "&lt;="&amp;$AA$2))</f>
        <v>0</v>
      </c>
      <c r="O566">
        <f>IFERROR(AVERAGE(L566:N566),"")</f>
        <v>0</v>
      </c>
      <c r="P566">
        <f>IF(O566&gt;=Cfg_HiMove, "Yes", "")</f>
        <v>0</v>
      </c>
      <c r="Q566">
        <f>IF($A566="","", $I566 + IFERROR(O566/30*$H566,0))</f>
        <v>0</v>
      </c>
      <c r="R566">
        <f>IF($A566="","", IF(J566&lt;=$F566, "Yes", ""))</f>
        <v>0</v>
      </c>
      <c r="S566">
        <f>IF(R566="Yes", CEILING(MAX($G566, Q566-J566), $G566), 0)</f>
        <v>0</v>
      </c>
      <c r="T566">
        <f>IFERROR(J566/(O566/30),"")</f>
        <v>0</v>
      </c>
    </row>
    <row r="567" spans="10:20">
      <c r="J567">
        <f>IF($A567="","", SUMIFS(Mov_Qty, Mov_Item, $A567))</f>
        <v>0</v>
      </c>
      <c r="K567">
        <f>IF($A567="","", J567 * $E567)</f>
        <v>0</v>
      </c>
      <c r="L567">
        <f>IF($A567="","", SUMIFS(-Mov_Qty, Mov_Item, $A567, Mov_Type, "Consumption", Mov_Date, "&gt;="&amp;$V$2, Mov_Date, "&lt;="&amp;$W$2))</f>
        <v>0</v>
      </c>
      <c r="M567">
        <f>IF($A567="","", SUMIFS(-Mov_Qty, Mov_Item, $A567, Mov_Type, "Consumption", Mov_Date, "&gt;="&amp;$X$2, Mov_Date, "&lt;="&amp;$Y$2))</f>
        <v>0</v>
      </c>
      <c r="N567">
        <f>IF($A567="","", SUMIFS(-Mov_Qty, Mov_Item, $A567, Mov_Type, "Consumption", Mov_Date, "&gt;="&amp;$Z$2, Mov_Date, "&lt;="&amp;$AA$2))</f>
        <v>0</v>
      </c>
      <c r="O567">
        <f>IFERROR(AVERAGE(L567:N567),"")</f>
        <v>0</v>
      </c>
      <c r="P567">
        <f>IF(O567&gt;=Cfg_HiMove, "Yes", "")</f>
        <v>0</v>
      </c>
      <c r="Q567">
        <f>IF($A567="","", $I567 + IFERROR(O567/30*$H567,0))</f>
        <v>0</v>
      </c>
      <c r="R567">
        <f>IF($A567="","", IF(J567&lt;=$F567, "Yes", ""))</f>
        <v>0</v>
      </c>
      <c r="S567">
        <f>IF(R567="Yes", CEILING(MAX($G567, Q567-J567), $G567), 0)</f>
        <v>0</v>
      </c>
      <c r="T567">
        <f>IFERROR(J567/(O567/30),"")</f>
        <v>0</v>
      </c>
    </row>
    <row r="568" spans="10:20">
      <c r="J568">
        <f>IF($A568="","", SUMIFS(Mov_Qty, Mov_Item, $A568))</f>
        <v>0</v>
      </c>
      <c r="K568">
        <f>IF($A568="","", J568 * $E568)</f>
        <v>0</v>
      </c>
      <c r="L568">
        <f>IF($A568="","", SUMIFS(-Mov_Qty, Mov_Item, $A568, Mov_Type, "Consumption", Mov_Date, "&gt;="&amp;$V$2, Mov_Date, "&lt;="&amp;$W$2))</f>
        <v>0</v>
      </c>
      <c r="M568">
        <f>IF($A568="","", SUMIFS(-Mov_Qty, Mov_Item, $A568, Mov_Type, "Consumption", Mov_Date, "&gt;="&amp;$X$2, Mov_Date, "&lt;="&amp;$Y$2))</f>
        <v>0</v>
      </c>
      <c r="N568">
        <f>IF($A568="","", SUMIFS(-Mov_Qty, Mov_Item, $A568, Mov_Type, "Consumption", Mov_Date, "&gt;="&amp;$Z$2, Mov_Date, "&lt;="&amp;$AA$2))</f>
        <v>0</v>
      </c>
      <c r="O568">
        <f>IFERROR(AVERAGE(L568:N568),"")</f>
        <v>0</v>
      </c>
      <c r="P568">
        <f>IF(O568&gt;=Cfg_HiMove, "Yes", "")</f>
        <v>0</v>
      </c>
      <c r="Q568">
        <f>IF($A568="","", $I568 + IFERROR(O568/30*$H568,0))</f>
        <v>0</v>
      </c>
      <c r="R568">
        <f>IF($A568="","", IF(J568&lt;=$F568, "Yes", ""))</f>
        <v>0</v>
      </c>
      <c r="S568">
        <f>IF(R568="Yes", CEILING(MAX($G568, Q568-J568), $G568), 0)</f>
        <v>0</v>
      </c>
      <c r="T568">
        <f>IFERROR(J568/(O568/30),"")</f>
        <v>0</v>
      </c>
    </row>
    <row r="569" spans="10:20">
      <c r="J569">
        <f>IF($A569="","", SUMIFS(Mov_Qty, Mov_Item, $A569))</f>
        <v>0</v>
      </c>
      <c r="K569">
        <f>IF($A569="","", J569 * $E569)</f>
        <v>0</v>
      </c>
      <c r="L569">
        <f>IF($A569="","", SUMIFS(-Mov_Qty, Mov_Item, $A569, Mov_Type, "Consumption", Mov_Date, "&gt;="&amp;$V$2, Mov_Date, "&lt;="&amp;$W$2))</f>
        <v>0</v>
      </c>
      <c r="M569">
        <f>IF($A569="","", SUMIFS(-Mov_Qty, Mov_Item, $A569, Mov_Type, "Consumption", Mov_Date, "&gt;="&amp;$X$2, Mov_Date, "&lt;="&amp;$Y$2))</f>
        <v>0</v>
      </c>
      <c r="N569">
        <f>IF($A569="","", SUMIFS(-Mov_Qty, Mov_Item, $A569, Mov_Type, "Consumption", Mov_Date, "&gt;="&amp;$Z$2, Mov_Date, "&lt;="&amp;$AA$2))</f>
        <v>0</v>
      </c>
      <c r="O569">
        <f>IFERROR(AVERAGE(L569:N569),"")</f>
        <v>0</v>
      </c>
      <c r="P569">
        <f>IF(O569&gt;=Cfg_HiMove, "Yes", "")</f>
        <v>0</v>
      </c>
      <c r="Q569">
        <f>IF($A569="","", $I569 + IFERROR(O569/30*$H569,0))</f>
        <v>0</v>
      </c>
      <c r="R569">
        <f>IF($A569="","", IF(J569&lt;=$F569, "Yes", ""))</f>
        <v>0</v>
      </c>
      <c r="S569">
        <f>IF(R569="Yes", CEILING(MAX($G569, Q569-J569), $G569), 0)</f>
        <v>0</v>
      </c>
      <c r="T569">
        <f>IFERROR(J569/(O569/30),"")</f>
        <v>0</v>
      </c>
    </row>
    <row r="570" spans="10:20">
      <c r="J570">
        <f>IF($A570="","", SUMIFS(Mov_Qty, Mov_Item, $A570))</f>
        <v>0</v>
      </c>
      <c r="K570">
        <f>IF($A570="","", J570 * $E570)</f>
        <v>0</v>
      </c>
      <c r="L570">
        <f>IF($A570="","", SUMIFS(-Mov_Qty, Mov_Item, $A570, Mov_Type, "Consumption", Mov_Date, "&gt;="&amp;$V$2, Mov_Date, "&lt;="&amp;$W$2))</f>
        <v>0</v>
      </c>
      <c r="M570">
        <f>IF($A570="","", SUMIFS(-Mov_Qty, Mov_Item, $A570, Mov_Type, "Consumption", Mov_Date, "&gt;="&amp;$X$2, Mov_Date, "&lt;="&amp;$Y$2))</f>
        <v>0</v>
      </c>
      <c r="N570">
        <f>IF($A570="","", SUMIFS(-Mov_Qty, Mov_Item, $A570, Mov_Type, "Consumption", Mov_Date, "&gt;="&amp;$Z$2, Mov_Date, "&lt;="&amp;$AA$2))</f>
        <v>0</v>
      </c>
      <c r="O570">
        <f>IFERROR(AVERAGE(L570:N570),"")</f>
        <v>0</v>
      </c>
      <c r="P570">
        <f>IF(O570&gt;=Cfg_HiMove, "Yes", "")</f>
        <v>0</v>
      </c>
      <c r="Q570">
        <f>IF($A570="","", $I570 + IFERROR(O570/30*$H570,0))</f>
        <v>0</v>
      </c>
      <c r="R570">
        <f>IF($A570="","", IF(J570&lt;=$F570, "Yes", ""))</f>
        <v>0</v>
      </c>
      <c r="S570">
        <f>IF(R570="Yes", CEILING(MAX($G570, Q570-J570), $G570), 0)</f>
        <v>0</v>
      </c>
      <c r="T570">
        <f>IFERROR(J570/(O570/30),"")</f>
        <v>0</v>
      </c>
    </row>
    <row r="571" spans="10:20">
      <c r="J571">
        <f>IF($A571="","", SUMIFS(Mov_Qty, Mov_Item, $A571))</f>
        <v>0</v>
      </c>
      <c r="K571">
        <f>IF($A571="","", J571 * $E571)</f>
        <v>0</v>
      </c>
      <c r="L571">
        <f>IF($A571="","", SUMIFS(-Mov_Qty, Mov_Item, $A571, Mov_Type, "Consumption", Mov_Date, "&gt;="&amp;$V$2, Mov_Date, "&lt;="&amp;$W$2))</f>
        <v>0</v>
      </c>
      <c r="M571">
        <f>IF($A571="","", SUMIFS(-Mov_Qty, Mov_Item, $A571, Mov_Type, "Consumption", Mov_Date, "&gt;="&amp;$X$2, Mov_Date, "&lt;="&amp;$Y$2))</f>
        <v>0</v>
      </c>
      <c r="N571">
        <f>IF($A571="","", SUMIFS(-Mov_Qty, Mov_Item, $A571, Mov_Type, "Consumption", Mov_Date, "&gt;="&amp;$Z$2, Mov_Date, "&lt;="&amp;$AA$2))</f>
        <v>0</v>
      </c>
      <c r="O571">
        <f>IFERROR(AVERAGE(L571:N571),"")</f>
        <v>0</v>
      </c>
      <c r="P571">
        <f>IF(O571&gt;=Cfg_HiMove, "Yes", "")</f>
        <v>0</v>
      </c>
      <c r="Q571">
        <f>IF($A571="","", $I571 + IFERROR(O571/30*$H571,0))</f>
        <v>0</v>
      </c>
      <c r="R571">
        <f>IF($A571="","", IF(J571&lt;=$F571, "Yes", ""))</f>
        <v>0</v>
      </c>
      <c r="S571">
        <f>IF(R571="Yes", CEILING(MAX($G571, Q571-J571), $G571), 0)</f>
        <v>0</v>
      </c>
      <c r="T571">
        <f>IFERROR(J571/(O571/30),"")</f>
        <v>0</v>
      </c>
    </row>
    <row r="572" spans="10:20">
      <c r="J572">
        <f>IF($A572="","", SUMIFS(Mov_Qty, Mov_Item, $A572))</f>
        <v>0</v>
      </c>
      <c r="K572">
        <f>IF($A572="","", J572 * $E572)</f>
        <v>0</v>
      </c>
      <c r="L572">
        <f>IF($A572="","", SUMIFS(-Mov_Qty, Mov_Item, $A572, Mov_Type, "Consumption", Mov_Date, "&gt;="&amp;$V$2, Mov_Date, "&lt;="&amp;$W$2))</f>
        <v>0</v>
      </c>
      <c r="M572">
        <f>IF($A572="","", SUMIFS(-Mov_Qty, Mov_Item, $A572, Mov_Type, "Consumption", Mov_Date, "&gt;="&amp;$X$2, Mov_Date, "&lt;="&amp;$Y$2))</f>
        <v>0</v>
      </c>
      <c r="N572">
        <f>IF($A572="","", SUMIFS(-Mov_Qty, Mov_Item, $A572, Mov_Type, "Consumption", Mov_Date, "&gt;="&amp;$Z$2, Mov_Date, "&lt;="&amp;$AA$2))</f>
        <v>0</v>
      </c>
      <c r="O572">
        <f>IFERROR(AVERAGE(L572:N572),"")</f>
        <v>0</v>
      </c>
      <c r="P572">
        <f>IF(O572&gt;=Cfg_HiMove, "Yes", "")</f>
        <v>0</v>
      </c>
      <c r="Q572">
        <f>IF($A572="","", $I572 + IFERROR(O572/30*$H572,0))</f>
        <v>0</v>
      </c>
      <c r="R572">
        <f>IF($A572="","", IF(J572&lt;=$F572, "Yes", ""))</f>
        <v>0</v>
      </c>
      <c r="S572">
        <f>IF(R572="Yes", CEILING(MAX($G572, Q572-J572), $G572), 0)</f>
        <v>0</v>
      </c>
      <c r="T572">
        <f>IFERROR(J572/(O572/30),"")</f>
        <v>0</v>
      </c>
    </row>
    <row r="573" spans="10:20">
      <c r="J573">
        <f>IF($A573="","", SUMIFS(Mov_Qty, Mov_Item, $A573))</f>
        <v>0</v>
      </c>
      <c r="K573">
        <f>IF($A573="","", J573 * $E573)</f>
        <v>0</v>
      </c>
      <c r="L573">
        <f>IF($A573="","", SUMIFS(-Mov_Qty, Mov_Item, $A573, Mov_Type, "Consumption", Mov_Date, "&gt;="&amp;$V$2, Mov_Date, "&lt;="&amp;$W$2))</f>
        <v>0</v>
      </c>
      <c r="M573">
        <f>IF($A573="","", SUMIFS(-Mov_Qty, Mov_Item, $A573, Mov_Type, "Consumption", Mov_Date, "&gt;="&amp;$X$2, Mov_Date, "&lt;="&amp;$Y$2))</f>
        <v>0</v>
      </c>
      <c r="N573">
        <f>IF($A573="","", SUMIFS(-Mov_Qty, Mov_Item, $A573, Mov_Type, "Consumption", Mov_Date, "&gt;="&amp;$Z$2, Mov_Date, "&lt;="&amp;$AA$2))</f>
        <v>0</v>
      </c>
      <c r="O573">
        <f>IFERROR(AVERAGE(L573:N573),"")</f>
        <v>0</v>
      </c>
      <c r="P573">
        <f>IF(O573&gt;=Cfg_HiMove, "Yes", "")</f>
        <v>0</v>
      </c>
      <c r="Q573">
        <f>IF($A573="","", $I573 + IFERROR(O573/30*$H573,0))</f>
        <v>0</v>
      </c>
      <c r="R573">
        <f>IF($A573="","", IF(J573&lt;=$F573, "Yes", ""))</f>
        <v>0</v>
      </c>
      <c r="S573">
        <f>IF(R573="Yes", CEILING(MAX($G573, Q573-J573), $G573), 0)</f>
        <v>0</v>
      </c>
      <c r="T573">
        <f>IFERROR(J573/(O573/30),"")</f>
        <v>0</v>
      </c>
    </row>
    <row r="574" spans="10:20">
      <c r="J574">
        <f>IF($A574="","", SUMIFS(Mov_Qty, Mov_Item, $A574))</f>
        <v>0</v>
      </c>
      <c r="K574">
        <f>IF($A574="","", J574 * $E574)</f>
        <v>0</v>
      </c>
      <c r="L574">
        <f>IF($A574="","", SUMIFS(-Mov_Qty, Mov_Item, $A574, Mov_Type, "Consumption", Mov_Date, "&gt;="&amp;$V$2, Mov_Date, "&lt;="&amp;$W$2))</f>
        <v>0</v>
      </c>
      <c r="M574">
        <f>IF($A574="","", SUMIFS(-Mov_Qty, Mov_Item, $A574, Mov_Type, "Consumption", Mov_Date, "&gt;="&amp;$X$2, Mov_Date, "&lt;="&amp;$Y$2))</f>
        <v>0</v>
      </c>
      <c r="N574">
        <f>IF($A574="","", SUMIFS(-Mov_Qty, Mov_Item, $A574, Mov_Type, "Consumption", Mov_Date, "&gt;="&amp;$Z$2, Mov_Date, "&lt;="&amp;$AA$2))</f>
        <v>0</v>
      </c>
      <c r="O574">
        <f>IFERROR(AVERAGE(L574:N574),"")</f>
        <v>0</v>
      </c>
      <c r="P574">
        <f>IF(O574&gt;=Cfg_HiMove, "Yes", "")</f>
        <v>0</v>
      </c>
      <c r="Q574">
        <f>IF($A574="","", $I574 + IFERROR(O574/30*$H574,0))</f>
        <v>0</v>
      </c>
      <c r="R574">
        <f>IF($A574="","", IF(J574&lt;=$F574, "Yes", ""))</f>
        <v>0</v>
      </c>
      <c r="S574">
        <f>IF(R574="Yes", CEILING(MAX($G574, Q574-J574), $G574), 0)</f>
        <v>0</v>
      </c>
      <c r="T574">
        <f>IFERROR(J574/(O574/30),"")</f>
        <v>0</v>
      </c>
    </row>
    <row r="575" spans="10:20">
      <c r="J575">
        <f>IF($A575="","", SUMIFS(Mov_Qty, Mov_Item, $A575))</f>
        <v>0</v>
      </c>
      <c r="K575">
        <f>IF($A575="","", J575 * $E575)</f>
        <v>0</v>
      </c>
      <c r="L575">
        <f>IF($A575="","", SUMIFS(-Mov_Qty, Mov_Item, $A575, Mov_Type, "Consumption", Mov_Date, "&gt;="&amp;$V$2, Mov_Date, "&lt;="&amp;$W$2))</f>
        <v>0</v>
      </c>
      <c r="M575">
        <f>IF($A575="","", SUMIFS(-Mov_Qty, Mov_Item, $A575, Mov_Type, "Consumption", Mov_Date, "&gt;="&amp;$X$2, Mov_Date, "&lt;="&amp;$Y$2))</f>
        <v>0</v>
      </c>
      <c r="N575">
        <f>IF($A575="","", SUMIFS(-Mov_Qty, Mov_Item, $A575, Mov_Type, "Consumption", Mov_Date, "&gt;="&amp;$Z$2, Mov_Date, "&lt;="&amp;$AA$2))</f>
        <v>0</v>
      </c>
      <c r="O575">
        <f>IFERROR(AVERAGE(L575:N575),"")</f>
        <v>0</v>
      </c>
      <c r="P575">
        <f>IF(O575&gt;=Cfg_HiMove, "Yes", "")</f>
        <v>0</v>
      </c>
      <c r="Q575">
        <f>IF($A575="","", $I575 + IFERROR(O575/30*$H575,0))</f>
        <v>0</v>
      </c>
      <c r="R575">
        <f>IF($A575="","", IF(J575&lt;=$F575, "Yes", ""))</f>
        <v>0</v>
      </c>
      <c r="S575">
        <f>IF(R575="Yes", CEILING(MAX($G575, Q575-J575), $G575), 0)</f>
        <v>0</v>
      </c>
      <c r="T575">
        <f>IFERROR(J575/(O575/30),"")</f>
        <v>0</v>
      </c>
    </row>
    <row r="576" spans="10:20">
      <c r="J576">
        <f>IF($A576="","", SUMIFS(Mov_Qty, Mov_Item, $A576))</f>
        <v>0</v>
      </c>
      <c r="K576">
        <f>IF($A576="","", J576 * $E576)</f>
        <v>0</v>
      </c>
      <c r="L576">
        <f>IF($A576="","", SUMIFS(-Mov_Qty, Mov_Item, $A576, Mov_Type, "Consumption", Mov_Date, "&gt;="&amp;$V$2, Mov_Date, "&lt;="&amp;$W$2))</f>
        <v>0</v>
      </c>
      <c r="M576">
        <f>IF($A576="","", SUMIFS(-Mov_Qty, Mov_Item, $A576, Mov_Type, "Consumption", Mov_Date, "&gt;="&amp;$X$2, Mov_Date, "&lt;="&amp;$Y$2))</f>
        <v>0</v>
      </c>
      <c r="N576">
        <f>IF($A576="","", SUMIFS(-Mov_Qty, Mov_Item, $A576, Mov_Type, "Consumption", Mov_Date, "&gt;="&amp;$Z$2, Mov_Date, "&lt;="&amp;$AA$2))</f>
        <v>0</v>
      </c>
      <c r="O576">
        <f>IFERROR(AVERAGE(L576:N576),"")</f>
        <v>0</v>
      </c>
      <c r="P576">
        <f>IF(O576&gt;=Cfg_HiMove, "Yes", "")</f>
        <v>0</v>
      </c>
      <c r="Q576">
        <f>IF($A576="","", $I576 + IFERROR(O576/30*$H576,0))</f>
        <v>0</v>
      </c>
      <c r="R576">
        <f>IF($A576="","", IF(J576&lt;=$F576, "Yes", ""))</f>
        <v>0</v>
      </c>
      <c r="S576">
        <f>IF(R576="Yes", CEILING(MAX($G576, Q576-J576), $G576), 0)</f>
        <v>0</v>
      </c>
      <c r="T576">
        <f>IFERROR(J576/(O576/30),"")</f>
        <v>0</v>
      </c>
    </row>
    <row r="577" spans="10:20">
      <c r="J577">
        <f>IF($A577="","", SUMIFS(Mov_Qty, Mov_Item, $A577))</f>
        <v>0</v>
      </c>
      <c r="K577">
        <f>IF($A577="","", J577 * $E577)</f>
        <v>0</v>
      </c>
      <c r="L577">
        <f>IF($A577="","", SUMIFS(-Mov_Qty, Mov_Item, $A577, Mov_Type, "Consumption", Mov_Date, "&gt;="&amp;$V$2, Mov_Date, "&lt;="&amp;$W$2))</f>
        <v>0</v>
      </c>
      <c r="M577">
        <f>IF($A577="","", SUMIFS(-Mov_Qty, Mov_Item, $A577, Mov_Type, "Consumption", Mov_Date, "&gt;="&amp;$X$2, Mov_Date, "&lt;="&amp;$Y$2))</f>
        <v>0</v>
      </c>
      <c r="N577">
        <f>IF($A577="","", SUMIFS(-Mov_Qty, Mov_Item, $A577, Mov_Type, "Consumption", Mov_Date, "&gt;="&amp;$Z$2, Mov_Date, "&lt;="&amp;$AA$2))</f>
        <v>0</v>
      </c>
      <c r="O577">
        <f>IFERROR(AVERAGE(L577:N577),"")</f>
        <v>0</v>
      </c>
      <c r="P577">
        <f>IF(O577&gt;=Cfg_HiMove, "Yes", "")</f>
        <v>0</v>
      </c>
      <c r="Q577">
        <f>IF($A577="","", $I577 + IFERROR(O577/30*$H577,0))</f>
        <v>0</v>
      </c>
      <c r="R577">
        <f>IF($A577="","", IF(J577&lt;=$F577, "Yes", ""))</f>
        <v>0</v>
      </c>
      <c r="S577">
        <f>IF(R577="Yes", CEILING(MAX($G577, Q577-J577), $G577), 0)</f>
        <v>0</v>
      </c>
      <c r="T577">
        <f>IFERROR(J577/(O577/30),"")</f>
        <v>0</v>
      </c>
    </row>
    <row r="578" spans="10:20">
      <c r="J578">
        <f>IF($A578="","", SUMIFS(Mov_Qty, Mov_Item, $A578))</f>
        <v>0</v>
      </c>
      <c r="K578">
        <f>IF($A578="","", J578 * $E578)</f>
        <v>0</v>
      </c>
      <c r="L578">
        <f>IF($A578="","", SUMIFS(-Mov_Qty, Mov_Item, $A578, Mov_Type, "Consumption", Mov_Date, "&gt;="&amp;$V$2, Mov_Date, "&lt;="&amp;$W$2))</f>
        <v>0</v>
      </c>
      <c r="M578">
        <f>IF($A578="","", SUMIFS(-Mov_Qty, Mov_Item, $A578, Mov_Type, "Consumption", Mov_Date, "&gt;="&amp;$X$2, Mov_Date, "&lt;="&amp;$Y$2))</f>
        <v>0</v>
      </c>
      <c r="N578">
        <f>IF($A578="","", SUMIFS(-Mov_Qty, Mov_Item, $A578, Mov_Type, "Consumption", Mov_Date, "&gt;="&amp;$Z$2, Mov_Date, "&lt;="&amp;$AA$2))</f>
        <v>0</v>
      </c>
      <c r="O578">
        <f>IFERROR(AVERAGE(L578:N578),"")</f>
        <v>0</v>
      </c>
      <c r="P578">
        <f>IF(O578&gt;=Cfg_HiMove, "Yes", "")</f>
        <v>0</v>
      </c>
      <c r="Q578">
        <f>IF($A578="","", $I578 + IFERROR(O578/30*$H578,0))</f>
        <v>0</v>
      </c>
      <c r="R578">
        <f>IF($A578="","", IF(J578&lt;=$F578, "Yes", ""))</f>
        <v>0</v>
      </c>
      <c r="S578">
        <f>IF(R578="Yes", CEILING(MAX($G578, Q578-J578), $G578), 0)</f>
        <v>0</v>
      </c>
      <c r="T578">
        <f>IFERROR(J578/(O578/30),"")</f>
        <v>0</v>
      </c>
    </row>
    <row r="579" spans="10:20">
      <c r="J579">
        <f>IF($A579="","", SUMIFS(Mov_Qty, Mov_Item, $A579))</f>
        <v>0</v>
      </c>
      <c r="K579">
        <f>IF($A579="","", J579 * $E579)</f>
        <v>0</v>
      </c>
      <c r="L579">
        <f>IF($A579="","", SUMIFS(-Mov_Qty, Mov_Item, $A579, Mov_Type, "Consumption", Mov_Date, "&gt;="&amp;$V$2, Mov_Date, "&lt;="&amp;$W$2))</f>
        <v>0</v>
      </c>
      <c r="M579">
        <f>IF($A579="","", SUMIFS(-Mov_Qty, Mov_Item, $A579, Mov_Type, "Consumption", Mov_Date, "&gt;="&amp;$X$2, Mov_Date, "&lt;="&amp;$Y$2))</f>
        <v>0</v>
      </c>
      <c r="N579">
        <f>IF($A579="","", SUMIFS(-Mov_Qty, Mov_Item, $A579, Mov_Type, "Consumption", Mov_Date, "&gt;="&amp;$Z$2, Mov_Date, "&lt;="&amp;$AA$2))</f>
        <v>0</v>
      </c>
      <c r="O579">
        <f>IFERROR(AVERAGE(L579:N579),"")</f>
        <v>0</v>
      </c>
      <c r="P579">
        <f>IF(O579&gt;=Cfg_HiMove, "Yes", "")</f>
        <v>0</v>
      </c>
      <c r="Q579">
        <f>IF($A579="","", $I579 + IFERROR(O579/30*$H579,0))</f>
        <v>0</v>
      </c>
      <c r="R579">
        <f>IF($A579="","", IF(J579&lt;=$F579, "Yes", ""))</f>
        <v>0</v>
      </c>
      <c r="S579">
        <f>IF(R579="Yes", CEILING(MAX($G579, Q579-J579), $G579), 0)</f>
        <v>0</v>
      </c>
      <c r="T579">
        <f>IFERROR(J579/(O579/30),"")</f>
        <v>0</v>
      </c>
    </row>
    <row r="580" spans="10:20">
      <c r="J580">
        <f>IF($A580="","", SUMIFS(Mov_Qty, Mov_Item, $A580))</f>
        <v>0</v>
      </c>
      <c r="K580">
        <f>IF($A580="","", J580 * $E580)</f>
        <v>0</v>
      </c>
      <c r="L580">
        <f>IF($A580="","", SUMIFS(-Mov_Qty, Mov_Item, $A580, Mov_Type, "Consumption", Mov_Date, "&gt;="&amp;$V$2, Mov_Date, "&lt;="&amp;$W$2))</f>
        <v>0</v>
      </c>
      <c r="M580">
        <f>IF($A580="","", SUMIFS(-Mov_Qty, Mov_Item, $A580, Mov_Type, "Consumption", Mov_Date, "&gt;="&amp;$X$2, Mov_Date, "&lt;="&amp;$Y$2))</f>
        <v>0</v>
      </c>
      <c r="N580">
        <f>IF($A580="","", SUMIFS(-Mov_Qty, Mov_Item, $A580, Mov_Type, "Consumption", Mov_Date, "&gt;="&amp;$Z$2, Mov_Date, "&lt;="&amp;$AA$2))</f>
        <v>0</v>
      </c>
      <c r="O580">
        <f>IFERROR(AVERAGE(L580:N580),"")</f>
        <v>0</v>
      </c>
      <c r="P580">
        <f>IF(O580&gt;=Cfg_HiMove, "Yes", "")</f>
        <v>0</v>
      </c>
      <c r="Q580">
        <f>IF($A580="","", $I580 + IFERROR(O580/30*$H580,0))</f>
        <v>0</v>
      </c>
      <c r="R580">
        <f>IF($A580="","", IF(J580&lt;=$F580, "Yes", ""))</f>
        <v>0</v>
      </c>
      <c r="S580">
        <f>IF(R580="Yes", CEILING(MAX($G580, Q580-J580), $G580), 0)</f>
        <v>0</v>
      </c>
      <c r="T580">
        <f>IFERROR(J580/(O580/30),"")</f>
        <v>0</v>
      </c>
    </row>
    <row r="581" spans="10:20">
      <c r="J581">
        <f>IF($A581="","", SUMIFS(Mov_Qty, Mov_Item, $A581))</f>
        <v>0</v>
      </c>
      <c r="K581">
        <f>IF($A581="","", J581 * $E581)</f>
        <v>0</v>
      </c>
      <c r="L581">
        <f>IF($A581="","", SUMIFS(-Mov_Qty, Mov_Item, $A581, Mov_Type, "Consumption", Mov_Date, "&gt;="&amp;$V$2, Mov_Date, "&lt;="&amp;$W$2))</f>
        <v>0</v>
      </c>
      <c r="M581">
        <f>IF($A581="","", SUMIFS(-Mov_Qty, Mov_Item, $A581, Mov_Type, "Consumption", Mov_Date, "&gt;="&amp;$X$2, Mov_Date, "&lt;="&amp;$Y$2))</f>
        <v>0</v>
      </c>
      <c r="N581">
        <f>IF($A581="","", SUMIFS(-Mov_Qty, Mov_Item, $A581, Mov_Type, "Consumption", Mov_Date, "&gt;="&amp;$Z$2, Mov_Date, "&lt;="&amp;$AA$2))</f>
        <v>0</v>
      </c>
      <c r="O581">
        <f>IFERROR(AVERAGE(L581:N581),"")</f>
        <v>0</v>
      </c>
      <c r="P581">
        <f>IF(O581&gt;=Cfg_HiMove, "Yes", "")</f>
        <v>0</v>
      </c>
      <c r="Q581">
        <f>IF($A581="","", $I581 + IFERROR(O581/30*$H581,0))</f>
        <v>0</v>
      </c>
      <c r="R581">
        <f>IF($A581="","", IF(J581&lt;=$F581, "Yes", ""))</f>
        <v>0</v>
      </c>
      <c r="S581">
        <f>IF(R581="Yes", CEILING(MAX($G581, Q581-J581), $G581), 0)</f>
        <v>0</v>
      </c>
      <c r="T581">
        <f>IFERROR(J581/(O581/30),"")</f>
        <v>0</v>
      </c>
    </row>
    <row r="582" spans="10:20">
      <c r="J582">
        <f>IF($A582="","", SUMIFS(Mov_Qty, Mov_Item, $A582))</f>
        <v>0</v>
      </c>
      <c r="K582">
        <f>IF($A582="","", J582 * $E582)</f>
        <v>0</v>
      </c>
      <c r="L582">
        <f>IF($A582="","", SUMIFS(-Mov_Qty, Mov_Item, $A582, Mov_Type, "Consumption", Mov_Date, "&gt;="&amp;$V$2, Mov_Date, "&lt;="&amp;$W$2))</f>
        <v>0</v>
      </c>
      <c r="M582">
        <f>IF($A582="","", SUMIFS(-Mov_Qty, Mov_Item, $A582, Mov_Type, "Consumption", Mov_Date, "&gt;="&amp;$X$2, Mov_Date, "&lt;="&amp;$Y$2))</f>
        <v>0</v>
      </c>
      <c r="N582">
        <f>IF($A582="","", SUMIFS(-Mov_Qty, Mov_Item, $A582, Mov_Type, "Consumption", Mov_Date, "&gt;="&amp;$Z$2, Mov_Date, "&lt;="&amp;$AA$2))</f>
        <v>0</v>
      </c>
      <c r="O582">
        <f>IFERROR(AVERAGE(L582:N582),"")</f>
        <v>0</v>
      </c>
      <c r="P582">
        <f>IF(O582&gt;=Cfg_HiMove, "Yes", "")</f>
        <v>0</v>
      </c>
      <c r="Q582">
        <f>IF($A582="","", $I582 + IFERROR(O582/30*$H582,0))</f>
        <v>0</v>
      </c>
      <c r="R582">
        <f>IF($A582="","", IF(J582&lt;=$F582, "Yes", ""))</f>
        <v>0</v>
      </c>
      <c r="S582">
        <f>IF(R582="Yes", CEILING(MAX($G582, Q582-J582), $G582), 0)</f>
        <v>0</v>
      </c>
      <c r="T582">
        <f>IFERROR(J582/(O582/30),"")</f>
        <v>0</v>
      </c>
    </row>
    <row r="583" spans="10:20">
      <c r="J583">
        <f>IF($A583="","", SUMIFS(Mov_Qty, Mov_Item, $A583))</f>
        <v>0</v>
      </c>
      <c r="K583">
        <f>IF($A583="","", J583 * $E583)</f>
        <v>0</v>
      </c>
      <c r="L583">
        <f>IF($A583="","", SUMIFS(-Mov_Qty, Mov_Item, $A583, Mov_Type, "Consumption", Mov_Date, "&gt;="&amp;$V$2, Mov_Date, "&lt;="&amp;$W$2))</f>
        <v>0</v>
      </c>
      <c r="M583">
        <f>IF($A583="","", SUMIFS(-Mov_Qty, Mov_Item, $A583, Mov_Type, "Consumption", Mov_Date, "&gt;="&amp;$X$2, Mov_Date, "&lt;="&amp;$Y$2))</f>
        <v>0</v>
      </c>
      <c r="N583">
        <f>IF($A583="","", SUMIFS(-Mov_Qty, Mov_Item, $A583, Mov_Type, "Consumption", Mov_Date, "&gt;="&amp;$Z$2, Mov_Date, "&lt;="&amp;$AA$2))</f>
        <v>0</v>
      </c>
      <c r="O583">
        <f>IFERROR(AVERAGE(L583:N583),"")</f>
        <v>0</v>
      </c>
      <c r="P583">
        <f>IF(O583&gt;=Cfg_HiMove, "Yes", "")</f>
        <v>0</v>
      </c>
      <c r="Q583">
        <f>IF($A583="","", $I583 + IFERROR(O583/30*$H583,0))</f>
        <v>0</v>
      </c>
      <c r="R583">
        <f>IF($A583="","", IF(J583&lt;=$F583, "Yes", ""))</f>
        <v>0</v>
      </c>
      <c r="S583">
        <f>IF(R583="Yes", CEILING(MAX($G583, Q583-J583), $G583), 0)</f>
        <v>0</v>
      </c>
      <c r="T583">
        <f>IFERROR(J583/(O583/30),"")</f>
        <v>0</v>
      </c>
    </row>
    <row r="584" spans="10:20">
      <c r="J584">
        <f>IF($A584="","", SUMIFS(Mov_Qty, Mov_Item, $A584))</f>
        <v>0</v>
      </c>
      <c r="K584">
        <f>IF($A584="","", J584 * $E584)</f>
        <v>0</v>
      </c>
      <c r="L584">
        <f>IF($A584="","", SUMIFS(-Mov_Qty, Mov_Item, $A584, Mov_Type, "Consumption", Mov_Date, "&gt;="&amp;$V$2, Mov_Date, "&lt;="&amp;$W$2))</f>
        <v>0</v>
      </c>
      <c r="M584">
        <f>IF($A584="","", SUMIFS(-Mov_Qty, Mov_Item, $A584, Mov_Type, "Consumption", Mov_Date, "&gt;="&amp;$X$2, Mov_Date, "&lt;="&amp;$Y$2))</f>
        <v>0</v>
      </c>
      <c r="N584">
        <f>IF($A584="","", SUMIFS(-Mov_Qty, Mov_Item, $A584, Mov_Type, "Consumption", Mov_Date, "&gt;="&amp;$Z$2, Mov_Date, "&lt;="&amp;$AA$2))</f>
        <v>0</v>
      </c>
      <c r="O584">
        <f>IFERROR(AVERAGE(L584:N584),"")</f>
        <v>0</v>
      </c>
      <c r="P584">
        <f>IF(O584&gt;=Cfg_HiMove, "Yes", "")</f>
        <v>0</v>
      </c>
      <c r="Q584">
        <f>IF($A584="","", $I584 + IFERROR(O584/30*$H584,0))</f>
        <v>0</v>
      </c>
      <c r="R584">
        <f>IF($A584="","", IF(J584&lt;=$F584, "Yes", ""))</f>
        <v>0</v>
      </c>
      <c r="S584">
        <f>IF(R584="Yes", CEILING(MAX($G584, Q584-J584), $G584), 0)</f>
        <v>0</v>
      </c>
      <c r="T584">
        <f>IFERROR(J584/(O584/30),"")</f>
        <v>0</v>
      </c>
    </row>
    <row r="585" spans="10:20">
      <c r="J585">
        <f>IF($A585="","", SUMIFS(Mov_Qty, Mov_Item, $A585))</f>
        <v>0</v>
      </c>
      <c r="K585">
        <f>IF($A585="","", J585 * $E585)</f>
        <v>0</v>
      </c>
      <c r="L585">
        <f>IF($A585="","", SUMIFS(-Mov_Qty, Mov_Item, $A585, Mov_Type, "Consumption", Mov_Date, "&gt;="&amp;$V$2, Mov_Date, "&lt;="&amp;$W$2))</f>
        <v>0</v>
      </c>
      <c r="M585">
        <f>IF($A585="","", SUMIFS(-Mov_Qty, Mov_Item, $A585, Mov_Type, "Consumption", Mov_Date, "&gt;="&amp;$X$2, Mov_Date, "&lt;="&amp;$Y$2))</f>
        <v>0</v>
      </c>
      <c r="N585">
        <f>IF($A585="","", SUMIFS(-Mov_Qty, Mov_Item, $A585, Mov_Type, "Consumption", Mov_Date, "&gt;="&amp;$Z$2, Mov_Date, "&lt;="&amp;$AA$2))</f>
        <v>0</v>
      </c>
      <c r="O585">
        <f>IFERROR(AVERAGE(L585:N585),"")</f>
        <v>0</v>
      </c>
      <c r="P585">
        <f>IF(O585&gt;=Cfg_HiMove, "Yes", "")</f>
        <v>0</v>
      </c>
      <c r="Q585">
        <f>IF($A585="","", $I585 + IFERROR(O585/30*$H585,0))</f>
        <v>0</v>
      </c>
      <c r="R585">
        <f>IF($A585="","", IF(J585&lt;=$F585, "Yes", ""))</f>
        <v>0</v>
      </c>
      <c r="S585">
        <f>IF(R585="Yes", CEILING(MAX($G585, Q585-J585), $G585), 0)</f>
        <v>0</v>
      </c>
      <c r="T585">
        <f>IFERROR(J585/(O585/30),"")</f>
        <v>0</v>
      </c>
    </row>
    <row r="586" spans="10:20">
      <c r="J586">
        <f>IF($A586="","", SUMIFS(Mov_Qty, Mov_Item, $A586))</f>
        <v>0</v>
      </c>
      <c r="K586">
        <f>IF($A586="","", J586 * $E586)</f>
        <v>0</v>
      </c>
      <c r="L586">
        <f>IF($A586="","", SUMIFS(-Mov_Qty, Mov_Item, $A586, Mov_Type, "Consumption", Mov_Date, "&gt;="&amp;$V$2, Mov_Date, "&lt;="&amp;$W$2))</f>
        <v>0</v>
      </c>
      <c r="M586">
        <f>IF($A586="","", SUMIFS(-Mov_Qty, Mov_Item, $A586, Mov_Type, "Consumption", Mov_Date, "&gt;="&amp;$X$2, Mov_Date, "&lt;="&amp;$Y$2))</f>
        <v>0</v>
      </c>
      <c r="N586">
        <f>IF($A586="","", SUMIFS(-Mov_Qty, Mov_Item, $A586, Mov_Type, "Consumption", Mov_Date, "&gt;="&amp;$Z$2, Mov_Date, "&lt;="&amp;$AA$2))</f>
        <v>0</v>
      </c>
      <c r="O586">
        <f>IFERROR(AVERAGE(L586:N586),"")</f>
        <v>0</v>
      </c>
      <c r="P586">
        <f>IF(O586&gt;=Cfg_HiMove, "Yes", "")</f>
        <v>0</v>
      </c>
      <c r="Q586">
        <f>IF($A586="","", $I586 + IFERROR(O586/30*$H586,0))</f>
        <v>0</v>
      </c>
      <c r="R586">
        <f>IF($A586="","", IF(J586&lt;=$F586, "Yes", ""))</f>
        <v>0</v>
      </c>
      <c r="S586">
        <f>IF(R586="Yes", CEILING(MAX($G586, Q586-J586), $G586), 0)</f>
        <v>0</v>
      </c>
      <c r="T586">
        <f>IFERROR(J586/(O586/30),"")</f>
        <v>0</v>
      </c>
    </row>
    <row r="587" spans="10:20">
      <c r="J587">
        <f>IF($A587="","", SUMIFS(Mov_Qty, Mov_Item, $A587))</f>
        <v>0</v>
      </c>
      <c r="K587">
        <f>IF($A587="","", J587 * $E587)</f>
        <v>0</v>
      </c>
      <c r="L587">
        <f>IF($A587="","", SUMIFS(-Mov_Qty, Mov_Item, $A587, Mov_Type, "Consumption", Mov_Date, "&gt;="&amp;$V$2, Mov_Date, "&lt;="&amp;$W$2))</f>
        <v>0</v>
      </c>
      <c r="M587">
        <f>IF($A587="","", SUMIFS(-Mov_Qty, Mov_Item, $A587, Mov_Type, "Consumption", Mov_Date, "&gt;="&amp;$X$2, Mov_Date, "&lt;="&amp;$Y$2))</f>
        <v>0</v>
      </c>
      <c r="N587">
        <f>IF($A587="","", SUMIFS(-Mov_Qty, Mov_Item, $A587, Mov_Type, "Consumption", Mov_Date, "&gt;="&amp;$Z$2, Mov_Date, "&lt;="&amp;$AA$2))</f>
        <v>0</v>
      </c>
      <c r="O587">
        <f>IFERROR(AVERAGE(L587:N587),"")</f>
        <v>0</v>
      </c>
      <c r="P587">
        <f>IF(O587&gt;=Cfg_HiMove, "Yes", "")</f>
        <v>0</v>
      </c>
      <c r="Q587">
        <f>IF($A587="","", $I587 + IFERROR(O587/30*$H587,0))</f>
        <v>0</v>
      </c>
      <c r="R587">
        <f>IF($A587="","", IF(J587&lt;=$F587, "Yes", ""))</f>
        <v>0</v>
      </c>
      <c r="S587">
        <f>IF(R587="Yes", CEILING(MAX($G587, Q587-J587), $G587), 0)</f>
        <v>0</v>
      </c>
      <c r="T587">
        <f>IFERROR(J587/(O587/30),"")</f>
        <v>0</v>
      </c>
    </row>
    <row r="588" spans="10:20">
      <c r="J588">
        <f>IF($A588="","", SUMIFS(Mov_Qty, Mov_Item, $A588))</f>
        <v>0</v>
      </c>
      <c r="K588">
        <f>IF($A588="","", J588 * $E588)</f>
        <v>0</v>
      </c>
      <c r="L588">
        <f>IF($A588="","", SUMIFS(-Mov_Qty, Mov_Item, $A588, Mov_Type, "Consumption", Mov_Date, "&gt;="&amp;$V$2, Mov_Date, "&lt;="&amp;$W$2))</f>
        <v>0</v>
      </c>
      <c r="M588">
        <f>IF($A588="","", SUMIFS(-Mov_Qty, Mov_Item, $A588, Mov_Type, "Consumption", Mov_Date, "&gt;="&amp;$X$2, Mov_Date, "&lt;="&amp;$Y$2))</f>
        <v>0</v>
      </c>
      <c r="N588">
        <f>IF($A588="","", SUMIFS(-Mov_Qty, Mov_Item, $A588, Mov_Type, "Consumption", Mov_Date, "&gt;="&amp;$Z$2, Mov_Date, "&lt;="&amp;$AA$2))</f>
        <v>0</v>
      </c>
      <c r="O588">
        <f>IFERROR(AVERAGE(L588:N588),"")</f>
        <v>0</v>
      </c>
      <c r="P588">
        <f>IF(O588&gt;=Cfg_HiMove, "Yes", "")</f>
        <v>0</v>
      </c>
      <c r="Q588">
        <f>IF($A588="","", $I588 + IFERROR(O588/30*$H588,0))</f>
        <v>0</v>
      </c>
      <c r="R588">
        <f>IF($A588="","", IF(J588&lt;=$F588, "Yes", ""))</f>
        <v>0</v>
      </c>
      <c r="S588">
        <f>IF(R588="Yes", CEILING(MAX($G588, Q588-J588), $G588), 0)</f>
        <v>0</v>
      </c>
      <c r="T588">
        <f>IFERROR(J588/(O588/30),"")</f>
        <v>0</v>
      </c>
    </row>
    <row r="589" spans="10:20">
      <c r="J589">
        <f>IF($A589="","", SUMIFS(Mov_Qty, Mov_Item, $A589))</f>
        <v>0</v>
      </c>
      <c r="K589">
        <f>IF($A589="","", J589 * $E589)</f>
        <v>0</v>
      </c>
      <c r="L589">
        <f>IF($A589="","", SUMIFS(-Mov_Qty, Mov_Item, $A589, Mov_Type, "Consumption", Mov_Date, "&gt;="&amp;$V$2, Mov_Date, "&lt;="&amp;$W$2))</f>
        <v>0</v>
      </c>
      <c r="M589">
        <f>IF($A589="","", SUMIFS(-Mov_Qty, Mov_Item, $A589, Mov_Type, "Consumption", Mov_Date, "&gt;="&amp;$X$2, Mov_Date, "&lt;="&amp;$Y$2))</f>
        <v>0</v>
      </c>
      <c r="N589">
        <f>IF($A589="","", SUMIFS(-Mov_Qty, Mov_Item, $A589, Mov_Type, "Consumption", Mov_Date, "&gt;="&amp;$Z$2, Mov_Date, "&lt;="&amp;$AA$2))</f>
        <v>0</v>
      </c>
      <c r="O589">
        <f>IFERROR(AVERAGE(L589:N589),"")</f>
        <v>0</v>
      </c>
      <c r="P589">
        <f>IF(O589&gt;=Cfg_HiMove, "Yes", "")</f>
        <v>0</v>
      </c>
      <c r="Q589">
        <f>IF($A589="","", $I589 + IFERROR(O589/30*$H589,0))</f>
        <v>0</v>
      </c>
      <c r="R589">
        <f>IF($A589="","", IF(J589&lt;=$F589, "Yes", ""))</f>
        <v>0</v>
      </c>
      <c r="S589">
        <f>IF(R589="Yes", CEILING(MAX($G589, Q589-J589), $G589), 0)</f>
        <v>0</v>
      </c>
      <c r="T589">
        <f>IFERROR(J589/(O589/30),"")</f>
        <v>0</v>
      </c>
    </row>
    <row r="590" spans="10:20">
      <c r="J590">
        <f>IF($A590="","", SUMIFS(Mov_Qty, Mov_Item, $A590))</f>
        <v>0</v>
      </c>
      <c r="K590">
        <f>IF($A590="","", J590 * $E590)</f>
        <v>0</v>
      </c>
      <c r="L590">
        <f>IF($A590="","", SUMIFS(-Mov_Qty, Mov_Item, $A590, Mov_Type, "Consumption", Mov_Date, "&gt;="&amp;$V$2, Mov_Date, "&lt;="&amp;$W$2))</f>
        <v>0</v>
      </c>
      <c r="M590">
        <f>IF($A590="","", SUMIFS(-Mov_Qty, Mov_Item, $A590, Mov_Type, "Consumption", Mov_Date, "&gt;="&amp;$X$2, Mov_Date, "&lt;="&amp;$Y$2))</f>
        <v>0</v>
      </c>
      <c r="N590">
        <f>IF($A590="","", SUMIFS(-Mov_Qty, Mov_Item, $A590, Mov_Type, "Consumption", Mov_Date, "&gt;="&amp;$Z$2, Mov_Date, "&lt;="&amp;$AA$2))</f>
        <v>0</v>
      </c>
      <c r="O590">
        <f>IFERROR(AVERAGE(L590:N590),"")</f>
        <v>0</v>
      </c>
      <c r="P590">
        <f>IF(O590&gt;=Cfg_HiMove, "Yes", "")</f>
        <v>0</v>
      </c>
      <c r="Q590">
        <f>IF($A590="","", $I590 + IFERROR(O590/30*$H590,0))</f>
        <v>0</v>
      </c>
      <c r="R590">
        <f>IF($A590="","", IF(J590&lt;=$F590, "Yes", ""))</f>
        <v>0</v>
      </c>
      <c r="S590">
        <f>IF(R590="Yes", CEILING(MAX($G590, Q590-J590), $G590), 0)</f>
        <v>0</v>
      </c>
      <c r="T590">
        <f>IFERROR(J590/(O590/30),"")</f>
        <v>0</v>
      </c>
    </row>
    <row r="591" spans="10:20">
      <c r="J591">
        <f>IF($A591="","", SUMIFS(Mov_Qty, Mov_Item, $A591))</f>
        <v>0</v>
      </c>
      <c r="K591">
        <f>IF($A591="","", J591 * $E591)</f>
        <v>0</v>
      </c>
      <c r="L591">
        <f>IF($A591="","", SUMIFS(-Mov_Qty, Mov_Item, $A591, Mov_Type, "Consumption", Mov_Date, "&gt;="&amp;$V$2, Mov_Date, "&lt;="&amp;$W$2))</f>
        <v>0</v>
      </c>
      <c r="M591">
        <f>IF($A591="","", SUMIFS(-Mov_Qty, Mov_Item, $A591, Mov_Type, "Consumption", Mov_Date, "&gt;="&amp;$X$2, Mov_Date, "&lt;="&amp;$Y$2))</f>
        <v>0</v>
      </c>
      <c r="N591">
        <f>IF($A591="","", SUMIFS(-Mov_Qty, Mov_Item, $A591, Mov_Type, "Consumption", Mov_Date, "&gt;="&amp;$Z$2, Mov_Date, "&lt;="&amp;$AA$2))</f>
        <v>0</v>
      </c>
      <c r="O591">
        <f>IFERROR(AVERAGE(L591:N591),"")</f>
        <v>0</v>
      </c>
      <c r="P591">
        <f>IF(O591&gt;=Cfg_HiMove, "Yes", "")</f>
        <v>0</v>
      </c>
      <c r="Q591">
        <f>IF($A591="","", $I591 + IFERROR(O591/30*$H591,0))</f>
        <v>0</v>
      </c>
      <c r="R591">
        <f>IF($A591="","", IF(J591&lt;=$F591, "Yes", ""))</f>
        <v>0</v>
      </c>
      <c r="S591">
        <f>IF(R591="Yes", CEILING(MAX($G591, Q591-J591), $G591), 0)</f>
        <v>0</v>
      </c>
      <c r="T591">
        <f>IFERROR(J591/(O591/30),"")</f>
        <v>0</v>
      </c>
    </row>
    <row r="592" spans="10:20">
      <c r="J592">
        <f>IF($A592="","", SUMIFS(Mov_Qty, Mov_Item, $A592))</f>
        <v>0</v>
      </c>
      <c r="K592">
        <f>IF($A592="","", J592 * $E592)</f>
        <v>0</v>
      </c>
      <c r="L592">
        <f>IF($A592="","", SUMIFS(-Mov_Qty, Mov_Item, $A592, Mov_Type, "Consumption", Mov_Date, "&gt;="&amp;$V$2, Mov_Date, "&lt;="&amp;$W$2))</f>
        <v>0</v>
      </c>
      <c r="M592">
        <f>IF($A592="","", SUMIFS(-Mov_Qty, Mov_Item, $A592, Mov_Type, "Consumption", Mov_Date, "&gt;="&amp;$X$2, Mov_Date, "&lt;="&amp;$Y$2))</f>
        <v>0</v>
      </c>
      <c r="N592">
        <f>IF($A592="","", SUMIFS(-Mov_Qty, Mov_Item, $A592, Mov_Type, "Consumption", Mov_Date, "&gt;="&amp;$Z$2, Mov_Date, "&lt;="&amp;$AA$2))</f>
        <v>0</v>
      </c>
      <c r="O592">
        <f>IFERROR(AVERAGE(L592:N592),"")</f>
        <v>0</v>
      </c>
      <c r="P592">
        <f>IF(O592&gt;=Cfg_HiMove, "Yes", "")</f>
        <v>0</v>
      </c>
      <c r="Q592">
        <f>IF($A592="","", $I592 + IFERROR(O592/30*$H592,0))</f>
        <v>0</v>
      </c>
      <c r="R592">
        <f>IF($A592="","", IF(J592&lt;=$F592, "Yes", ""))</f>
        <v>0</v>
      </c>
      <c r="S592">
        <f>IF(R592="Yes", CEILING(MAX($G592, Q592-J592), $G592), 0)</f>
        <v>0</v>
      </c>
      <c r="T592">
        <f>IFERROR(J592/(O592/30),"")</f>
        <v>0</v>
      </c>
    </row>
    <row r="593" spans="10:20">
      <c r="J593">
        <f>IF($A593="","", SUMIFS(Mov_Qty, Mov_Item, $A593))</f>
        <v>0</v>
      </c>
      <c r="K593">
        <f>IF($A593="","", J593 * $E593)</f>
        <v>0</v>
      </c>
      <c r="L593">
        <f>IF($A593="","", SUMIFS(-Mov_Qty, Mov_Item, $A593, Mov_Type, "Consumption", Mov_Date, "&gt;="&amp;$V$2, Mov_Date, "&lt;="&amp;$W$2))</f>
        <v>0</v>
      </c>
      <c r="M593">
        <f>IF($A593="","", SUMIFS(-Mov_Qty, Mov_Item, $A593, Mov_Type, "Consumption", Mov_Date, "&gt;="&amp;$X$2, Mov_Date, "&lt;="&amp;$Y$2))</f>
        <v>0</v>
      </c>
      <c r="N593">
        <f>IF($A593="","", SUMIFS(-Mov_Qty, Mov_Item, $A593, Mov_Type, "Consumption", Mov_Date, "&gt;="&amp;$Z$2, Mov_Date, "&lt;="&amp;$AA$2))</f>
        <v>0</v>
      </c>
      <c r="O593">
        <f>IFERROR(AVERAGE(L593:N593),"")</f>
        <v>0</v>
      </c>
      <c r="P593">
        <f>IF(O593&gt;=Cfg_HiMove, "Yes", "")</f>
        <v>0</v>
      </c>
      <c r="Q593">
        <f>IF($A593="","", $I593 + IFERROR(O593/30*$H593,0))</f>
        <v>0</v>
      </c>
      <c r="R593">
        <f>IF($A593="","", IF(J593&lt;=$F593, "Yes", ""))</f>
        <v>0</v>
      </c>
      <c r="S593">
        <f>IF(R593="Yes", CEILING(MAX($G593, Q593-J593), $G593), 0)</f>
        <v>0</v>
      </c>
      <c r="T593">
        <f>IFERROR(J593/(O593/30),"")</f>
        <v>0</v>
      </c>
    </row>
    <row r="594" spans="10:20">
      <c r="J594">
        <f>IF($A594="","", SUMIFS(Mov_Qty, Mov_Item, $A594))</f>
        <v>0</v>
      </c>
      <c r="K594">
        <f>IF($A594="","", J594 * $E594)</f>
        <v>0</v>
      </c>
      <c r="L594">
        <f>IF($A594="","", SUMIFS(-Mov_Qty, Mov_Item, $A594, Mov_Type, "Consumption", Mov_Date, "&gt;="&amp;$V$2, Mov_Date, "&lt;="&amp;$W$2))</f>
        <v>0</v>
      </c>
      <c r="M594">
        <f>IF($A594="","", SUMIFS(-Mov_Qty, Mov_Item, $A594, Mov_Type, "Consumption", Mov_Date, "&gt;="&amp;$X$2, Mov_Date, "&lt;="&amp;$Y$2))</f>
        <v>0</v>
      </c>
      <c r="N594">
        <f>IF($A594="","", SUMIFS(-Mov_Qty, Mov_Item, $A594, Mov_Type, "Consumption", Mov_Date, "&gt;="&amp;$Z$2, Mov_Date, "&lt;="&amp;$AA$2))</f>
        <v>0</v>
      </c>
      <c r="O594">
        <f>IFERROR(AVERAGE(L594:N594),"")</f>
        <v>0</v>
      </c>
      <c r="P594">
        <f>IF(O594&gt;=Cfg_HiMove, "Yes", "")</f>
        <v>0</v>
      </c>
      <c r="Q594">
        <f>IF($A594="","", $I594 + IFERROR(O594/30*$H594,0))</f>
        <v>0</v>
      </c>
      <c r="R594">
        <f>IF($A594="","", IF(J594&lt;=$F594, "Yes", ""))</f>
        <v>0</v>
      </c>
      <c r="S594">
        <f>IF(R594="Yes", CEILING(MAX($G594, Q594-J594), $G594), 0)</f>
        <v>0</v>
      </c>
      <c r="T594">
        <f>IFERROR(J594/(O594/30),"")</f>
        <v>0</v>
      </c>
    </row>
    <row r="595" spans="10:20">
      <c r="J595">
        <f>IF($A595="","", SUMIFS(Mov_Qty, Mov_Item, $A595))</f>
        <v>0</v>
      </c>
      <c r="K595">
        <f>IF($A595="","", J595 * $E595)</f>
        <v>0</v>
      </c>
      <c r="L595">
        <f>IF($A595="","", SUMIFS(-Mov_Qty, Mov_Item, $A595, Mov_Type, "Consumption", Mov_Date, "&gt;="&amp;$V$2, Mov_Date, "&lt;="&amp;$W$2))</f>
        <v>0</v>
      </c>
      <c r="M595">
        <f>IF($A595="","", SUMIFS(-Mov_Qty, Mov_Item, $A595, Mov_Type, "Consumption", Mov_Date, "&gt;="&amp;$X$2, Mov_Date, "&lt;="&amp;$Y$2))</f>
        <v>0</v>
      </c>
      <c r="N595">
        <f>IF($A595="","", SUMIFS(-Mov_Qty, Mov_Item, $A595, Mov_Type, "Consumption", Mov_Date, "&gt;="&amp;$Z$2, Mov_Date, "&lt;="&amp;$AA$2))</f>
        <v>0</v>
      </c>
      <c r="O595">
        <f>IFERROR(AVERAGE(L595:N595),"")</f>
        <v>0</v>
      </c>
      <c r="P595">
        <f>IF(O595&gt;=Cfg_HiMove, "Yes", "")</f>
        <v>0</v>
      </c>
      <c r="Q595">
        <f>IF($A595="","", $I595 + IFERROR(O595/30*$H595,0))</f>
        <v>0</v>
      </c>
      <c r="R595">
        <f>IF($A595="","", IF(J595&lt;=$F595, "Yes", ""))</f>
        <v>0</v>
      </c>
      <c r="S595">
        <f>IF(R595="Yes", CEILING(MAX($G595, Q595-J595), $G595), 0)</f>
        <v>0</v>
      </c>
      <c r="T595">
        <f>IFERROR(J595/(O595/30),"")</f>
        <v>0</v>
      </c>
    </row>
    <row r="596" spans="10:20">
      <c r="J596">
        <f>IF($A596="","", SUMIFS(Mov_Qty, Mov_Item, $A596))</f>
        <v>0</v>
      </c>
      <c r="K596">
        <f>IF($A596="","", J596 * $E596)</f>
        <v>0</v>
      </c>
      <c r="L596">
        <f>IF($A596="","", SUMIFS(-Mov_Qty, Mov_Item, $A596, Mov_Type, "Consumption", Mov_Date, "&gt;="&amp;$V$2, Mov_Date, "&lt;="&amp;$W$2))</f>
        <v>0</v>
      </c>
      <c r="M596">
        <f>IF($A596="","", SUMIFS(-Mov_Qty, Mov_Item, $A596, Mov_Type, "Consumption", Mov_Date, "&gt;="&amp;$X$2, Mov_Date, "&lt;="&amp;$Y$2))</f>
        <v>0</v>
      </c>
      <c r="N596">
        <f>IF($A596="","", SUMIFS(-Mov_Qty, Mov_Item, $A596, Mov_Type, "Consumption", Mov_Date, "&gt;="&amp;$Z$2, Mov_Date, "&lt;="&amp;$AA$2))</f>
        <v>0</v>
      </c>
      <c r="O596">
        <f>IFERROR(AVERAGE(L596:N596),"")</f>
        <v>0</v>
      </c>
      <c r="P596">
        <f>IF(O596&gt;=Cfg_HiMove, "Yes", "")</f>
        <v>0</v>
      </c>
      <c r="Q596">
        <f>IF($A596="","", $I596 + IFERROR(O596/30*$H596,0))</f>
        <v>0</v>
      </c>
      <c r="R596">
        <f>IF($A596="","", IF(J596&lt;=$F596, "Yes", ""))</f>
        <v>0</v>
      </c>
      <c r="S596">
        <f>IF(R596="Yes", CEILING(MAX($G596, Q596-J596), $G596), 0)</f>
        <v>0</v>
      </c>
      <c r="T596">
        <f>IFERROR(J596/(O596/30),"")</f>
        <v>0</v>
      </c>
    </row>
    <row r="597" spans="10:20">
      <c r="J597">
        <f>IF($A597="","", SUMIFS(Mov_Qty, Mov_Item, $A597))</f>
        <v>0</v>
      </c>
      <c r="K597">
        <f>IF($A597="","", J597 * $E597)</f>
        <v>0</v>
      </c>
      <c r="L597">
        <f>IF($A597="","", SUMIFS(-Mov_Qty, Mov_Item, $A597, Mov_Type, "Consumption", Mov_Date, "&gt;="&amp;$V$2, Mov_Date, "&lt;="&amp;$W$2))</f>
        <v>0</v>
      </c>
      <c r="M597">
        <f>IF($A597="","", SUMIFS(-Mov_Qty, Mov_Item, $A597, Mov_Type, "Consumption", Mov_Date, "&gt;="&amp;$X$2, Mov_Date, "&lt;="&amp;$Y$2))</f>
        <v>0</v>
      </c>
      <c r="N597">
        <f>IF($A597="","", SUMIFS(-Mov_Qty, Mov_Item, $A597, Mov_Type, "Consumption", Mov_Date, "&gt;="&amp;$Z$2, Mov_Date, "&lt;="&amp;$AA$2))</f>
        <v>0</v>
      </c>
      <c r="O597">
        <f>IFERROR(AVERAGE(L597:N597),"")</f>
        <v>0</v>
      </c>
      <c r="P597">
        <f>IF(O597&gt;=Cfg_HiMove, "Yes", "")</f>
        <v>0</v>
      </c>
      <c r="Q597">
        <f>IF($A597="","", $I597 + IFERROR(O597/30*$H597,0))</f>
        <v>0</v>
      </c>
      <c r="R597">
        <f>IF($A597="","", IF(J597&lt;=$F597, "Yes", ""))</f>
        <v>0</v>
      </c>
      <c r="S597">
        <f>IF(R597="Yes", CEILING(MAX($G597, Q597-J597), $G597), 0)</f>
        <v>0</v>
      </c>
      <c r="T597">
        <f>IFERROR(J597/(O597/30),"")</f>
        <v>0</v>
      </c>
    </row>
    <row r="598" spans="10:20">
      <c r="J598">
        <f>IF($A598="","", SUMIFS(Mov_Qty, Mov_Item, $A598))</f>
        <v>0</v>
      </c>
      <c r="K598">
        <f>IF($A598="","", J598 * $E598)</f>
        <v>0</v>
      </c>
      <c r="L598">
        <f>IF($A598="","", SUMIFS(-Mov_Qty, Mov_Item, $A598, Mov_Type, "Consumption", Mov_Date, "&gt;="&amp;$V$2, Mov_Date, "&lt;="&amp;$W$2))</f>
        <v>0</v>
      </c>
      <c r="M598">
        <f>IF($A598="","", SUMIFS(-Mov_Qty, Mov_Item, $A598, Mov_Type, "Consumption", Mov_Date, "&gt;="&amp;$X$2, Mov_Date, "&lt;="&amp;$Y$2))</f>
        <v>0</v>
      </c>
      <c r="N598">
        <f>IF($A598="","", SUMIFS(-Mov_Qty, Mov_Item, $A598, Mov_Type, "Consumption", Mov_Date, "&gt;="&amp;$Z$2, Mov_Date, "&lt;="&amp;$AA$2))</f>
        <v>0</v>
      </c>
      <c r="O598">
        <f>IFERROR(AVERAGE(L598:N598),"")</f>
        <v>0</v>
      </c>
      <c r="P598">
        <f>IF(O598&gt;=Cfg_HiMove, "Yes", "")</f>
        <v>0</v>
      </c>
      <c r="Q598">
        <f>IF($A598="","", $I598 + IFERROR(O598/30*$H598,0))</f>
        <v>0</v>
      </c>
      <c r="R598">
        <f>IF($A598="","", IF(J598&lt;=$F598, "Yes", ""))</f>
        <v>0</v>
      </c>
      <c r="S598">
        <f>IF(R598="Yes", CEILING(MAX($G598, Q598-J598), $G598), 0)</f>
        <v>0</v>
      </c>
      <c r="T598">
        <f>IFERROR(J598/(O598/30),"")</f>
        <v>0</v>
      </c>
    </row>
    <row r="599" spans="10:20">
      <c r="J599">
        <f>IF($A599="","", SUMIFS(Mov_Qty, Mov_Item, $A599))</f>
        <v>0</v>
      </c>
      <c r="K599">
        <f>IF($A599="","", J599 * $E599)</f>
        <v>0</v>
      </c>
      <c r="L599">
        <f>IF($A599="","", SUMIFS(-Mov_Qty, Mov_Item, $A599, Mov_Type, "Consumption", Mov_Date, "&gt;="&amp;$V$2, Mov_Date, "&lt;="&amp;$W$2))</f>
        <v>0</v>
      </c>
      <c r="M599">
        <f>IF($A599="","", SUMIFS(-Mov_Qty, Mov_Item, $A599, Mov_Type, "Consumption", Mov_Date, "&gt;="&amp;$X$2, Mov_Date, "&lt;="&amp;$Y$2))</f>
        <v>0</v>
      </c>
      <c r="N599">
        <f>IF($A599="","", SUMIFS(-Mov_Qty, Mov_Item, $A599, Mov_Type, "Consumption", Mov_Date, "&gt;="&amp;$Z$2, Mov_Date, "&lt;="&amp;$AA$2))</f>
        <v>0</v>
      </c>
      <c r="O599">
        <f>IFERROR(AVERAGE(L599:N599),"")</f>
        <v>0</v>
      </c>
      <c r="P599">
        <f>IF(O599&gt;=Cfg_HiMove, "Yes", "")</f>
        <v>0</v>
      </c>
      <c r="Q599">
        <f>IF($A599="","", $I599 + IFERROR(O599/30*$H599,0))</f>
        <v>0</v>
      </c>
      <c r="R599">
        <f>IF($A599="","", IF(J599&lt;=$F599, "Yes", ""))</f>
        <v>0</v>
      </c>
      <c r="S599">
        <f>IF(R599="Yes", CEILING(MAX($G599, Q599-J599), $G599), 0)</f>
        <v>0</v>
      </c>
      <c r="T599">
        <f>IFERROR(J599/(O599/30),"")</f>
        <v>0</v>
      </c>
    </row>
    <row r="600" spans="10:20">
      <c r="J600">
        <f>IF($A600="","", SUMIFS(Mov_Qty, Mov_Item, $A600))</f>
        <v>0</v>
      </c>
      <c r="K600">
        <f>IF($A600="","", J600 * $E600)</f>
        <v>0</v>
      </c>
      <c r="L600">
        <f>IF($A600="","", SUMIFS(-Mov_Qty, Mov_Item, $A600, Mov_Type, "Consumption", Mov_Date, "&gt;="&amp;$V$2, Mov_Date, "&lt;="&amp;$W$2))</f>
        <v>0</v>
      </c>
      <c r="M600">
        <f>IF($A600="","", SUMIFS(-Mov_Qty, Mov_Item, $A600, Mov_Type, "Consumption", Mov_Date, "&gt;="&amp;$X$2, Mov_Date, "&lt;="&amp;$Y$2))</f>
        <v>0</v>
      </c>
      <c r="N600">
        <f>IF($A600="","", SUMIFS(-Mov_Qty, Mov_Item, $A600, Mov_Type, "Consumption", Mov_Date, "&gt;="&amp;$Z$2, Mov_Date, "&lt;="&amp;$AA$2))</f>
        <v>0</v>
      </c>
      <c r="O600">
        <f>IFERROR(AVERAGE(L600:N600),"")</f>
        <v>0</v>
      </c>
      <c r="P600">
        <f>IF(O600&gt;=Cfg_HiMove, "Yes", "")</f>
        <v>0</v>
      </c>
      <c r="Q600">
        <f>IF($A600="","", $I600 + IFERROR(O600/30*$H600,0))</f>
        <v>0</v>
      </c>
      <c r="R600">
        <f>IF($A600="","", IF(J600&lt;=$F600, "Yes", ""))</f>
        <v>0</v>
      </c>
      <c r="S600">
        <f>IF(R600="Yes", CEILING(MAX($G600, Q600-J600), $G600), 0)</f>
        <v>0</v>
      </c>
      <c r="T600">
        <f>IFERROR(J600/(O600/30),"")</f>
        <v>0</v>
      </c>
    </row>
    <row r="601" spans="10:20">
      <c r="J601">
        <f>IF($A601="","", SUMIFS(Mov_Qty, Mov_Item, $A601))</f>
        <v>0</v>
      </c>
      <c r="K601">
        <f>IF($A601="","", J601 * $E601)</f>
        <v>0</v>
      </c>
      <c r="L601">
        <f>IF($A601="","", SUMIFS(-Mov_Qty, Mov_Item, $A601, Mov_Type, "Consumption", Mov_Date, "&gt;="&amp;$V$2, Mov_Date, "&lt;="&amp;$W$2))</f>
        <v>0</v>
      </c>
      <c r="M601">
        <f>IF($A601="","", SUMIFS(-Mov_Qty, Mov_Item, $A601, Mov_Type, "Consumption", Mov_Date, "&gt;="&amp;$X$2, Mov_Date, "&lt;="&amp;$Y$2))</f>
        <v>0</v>
      </c>
      <c r="N601">
        <f>IF($A601="","", SUMIFS(-Mov_Qty, Mov_Item, $A601, Mov_Type, "Consumption", Mov_Date, "&gt;="&amp;$Z$2, Mov_Date, "&lt;="&amp;$AA$2))</f>
        <v>0</v>
      </c>
      <c r="O601">
        <f>IFERROR(AVERAGE(L601:N601),"")</f>
        <v>0</v>
      </c>
      <c r="P601">
        <f>IF(O601&gt;=Cfg_HiMove, "Yes", "")</f>
        <v>0</v>
      </c>
      <c r="Q601">
        <f>IF($A601="","", $I601 + IFERROR(O601/30*$H601,0))</f>
        <v>0</v>
      </c>
      <c r="R601">
        <f>IF($A601="","", IF(J601&lt;=$F601, "Yes", ""))</f>
        <v>0</v>
      </c>
      <c r="S601">
        <f>IF(R601="Yes", CEILING(MAX($G601, Q601-J601), $G601), 0)</f>
        <v>0</v>
      </c>
      <c r="T601">
        <f>IFERROR(J601/(O601/30),"")</f>
        <v>0</v>
      </c>
    </row>
    <row r="602" spans="10:20">
      <c r="J602">
        <f>IF($A602="","", SUMIFS(Mov_Qty, Mov_Item, $A602))</f>
        <v>0</v>
      </c>
      <c r="K602">
        <f>IF($A602="","", J602 * $E602)</f>
        <v>0</v>
      </c>
      <c r="L602">
        <f>IF($A602="","", SUMIFS(-Mov_Qty, Mov_Item, $A602, Mov_Type, "Consumption", Mov_Date, "&gt;="&amp;$V$2, Mov_Date, "&lt;="&amp;$W$2))</f>
        <v>0</v>
      </c>
      <c r="M602">
        <f>IF($A602="","", SUMIFS(-Mov_Qty, Mov_Item, $A602, Mov_Type, "Consumption", Mov_Date, "&gt;="&amp;$X$2, Mov_Date, "&lt;="&amp;$Y$2))</f>
        <v>0</v>
      </c>
      <c r="N602">
        <f>IF($A602="","", SUMIFS(-Mov_Qty, Mov_Item, $A602, Mov_Type, "Consumption", Mov_Date, "&gt;="&amp;$Z$2, Mov_Date, "&lt;="&amp;$AA$2))</f>
        <v>0</v>
      </c>
      <c r="O602">
        <f>IFERROR(AVERAGE(L602:N602),"")</f>
        <v>0</v>
      </c>
      <c r="P602">
        <f>IF(O602&gt;=Cfg_HiMove, "Yes", "")</f>
        <v>0</v>
      </c>
      <c r="Q602">
        <f>IF($A602="","", $I602 + IFERROR(O602/30*$H602,0))</f>
        <v>0</v>
      </c>
      <c r="R602">
        <f>IF($A602="","", IF(J602&lt;=$F602, "Yes", ""))</f>
        <v>0</v>
      </c>
      <c r="S602">
        <f>IF(R602="Yes", CEILING(MAX($G602, Q602-J602), $G602), 0)</f>
        <v>0</v>
      </c>
      <c r="T602">
        <f>IFERROR(J602/(O602/30),"")</f>
        <v>0</v>
      </c>
    </row>
    <row r="603" spans="10:20">
      <c r="J603">
        <f>IF($A603="","", SUMIFS(Mov_Qty, Mov_Item, $A603))</f>
        <v>0</v>
      </c>
      <c r="K603">
        <f>IF($A603="","", J603 * $E603)</f>
        <v>0</v>
      </c>
      <c r="L603">
        <f>IF($A603="","", SUMIFS(-Mov_Qty, Mov_Item, $A603, Mov_Type, "Consumption", Mov_Date, "&gt;="&amp;$V$2, Mov_Date, "&lt;="&amp;$W$2))</f>
        <v>0</v>
      </c>
      <c r="M603">
        <f>IF($A603="","", SUMIFS(-Mov_Qty, Mov_Item, $A603, Mov_Type, "Consumption", Mov_Date, "&gt;="&amp;$X$2, Mov_Date, "&lt;="&amp;$Y$2))</f>
        <v>0</v>
      </c>
      <c r="N603">
        <f>IF($A603="","", SUMIFS(-Mov_Qty, Mov_Item, $A603, Mov_Type, "Consumption", Mov_Date, "&gt;="&amp;$Z$2, Mov_Date, "&lt;="&amp;$AA$2))</f>
        <v>0</v>
      </c>
      <c r="O603">
        <f>IFERROR(AVERAGE(L603:N603),"")</f>
        <v>0</v>
      </c>
      <c r="P603">
        <f>IF(O603&gt;=Cfg_HiMove, "Yes", "")</f>
        <v>0</v>
      </c>
      <c r="Q603">
        <f>IF($A603="","", $I603 + IFERROR(O603/30*$H603,0))</f>
        <v>0</v>
      </c>
      <c r="R603">
        <f>IF($A603="","", IF(J603&lt;=$F603, "Yes", ""))</f>
        <v>0</v>
      </c>
      <c r="S603">
        <f>IF(R603="Yes", CEILING(MAX($G603, Q603-J603), $G603), 0)</f>
        <v>0</v>
      </c>
      <c r="T603">
        <f>IFERROR(J603/(O603/30),"")</f>
        <v>0</v>
      </c>
    </row>
    <row r="604" spans="10:20">
      <c r="J604">
        <f>IF($A604="","", SUMIFS(Mov_Qty, Mov_Item, $A604))</f>
        <v>0</v>
      </c>
      <c r="K604">
        <f>IF($A604="","", J604 * $E604)</f>
        <v>0</v>
      </c>
      <c r="L604">
        <f>IF($A604="","", SUMIFS(-Mov_Qty, Mov_Item, $A604, Mov_Type, "Consumption", Mov_Date, "&gt;="&amp;$V$2, Mov_Date, "&lt;="&amp;$W$2))</f>
        <v>0</v>
      </c>
      <c r="M604">
        <f>IF($A604="","", SUMIFS(-Mov_Qty, Mov_Item, $A604, Mov_Type, "Consumption", Mov_Date, "&gt;="&amp;$X$2, Mov_Date, "&lt;="&amp;$Y$2))</f>
        <v>0</v>
      </c>
      <c r="N604">
        <f>IF($A604="","", SUMIFS(-Mov_Qty, Mov_Item, $A604, Mov_Type, "Consumption", Mov_Date, "&gt;="&amp;$Z$2, Mov_Date, "&lt;="&amp;$AA$2))</f>
        <v>0</v>
      </c>
      <c r="O604">
        <f>IFERROR(AVERAGE(L604:N604),"")</f>
        <v>0</v>
      </c>
      <c r="P604">
        <f>IF(O604&gt;=Cfg_HiMove, "Yes", "")</f>
        <v>0</v>
      </c>
      <c r="Q604">
        <f>IF($A604="","", $I604 + IFERROR(O604/30*$H604,0))</f>
        <v>0</v>
      </c>
      <c r="R604">
        <f>IF($A604="","", IF(J604&lt;=$F604, "Yes", ""))</f>
        <v>0</v>
      </c>
      <c r="S604">
        <f>IF(R604="Yes", CEILING(MAX($G604, Q604-J604), $G604), 0)</f>
        <v>0</v>
      </c>
      <c r="T604">
        <f>IFERROR(J604/(O604/30),"")</f>
        <v>0</v>
      </c>
    </row>
    <row r="605" spans="10:20">
      <c r="J605">
        <f>IF($A605="","", SUMIFS(Mov_Qty, Mov_Item, $A605))</f>
        <v>0</v>
      </c>
      <c r="K605">
        <f>IF($A605="","", J605 * $E605)</f>
        <v>0</v>
      </c>
      <c r="L605">
        <f>IF($A605="","", SUMIFS(-Mov_Qty, Mov_Item, $A605, Mov_Type, "Consumption", Mov_Date, "&gt;="&amp;$V$2, Mov_Date, "&lt;="&amp;$W$2))</f>
        <v>0</v>
      </c>
      <c r="M605">
        <f>IF($A605="","", SUMIFS(-Mov_Qty, Mov_Item, $A605, Mov_Type, "Consumption", Mov_Date, "&gt;="&amp;$X$2, Mov_Date, "&lt;="&amp;$Y$2))</f>
        <v>0</v>
      </c>
      <c r="N605">
        <f>IF($A605="","", SUMIFS(-Mov_Qty, Mov_Item, $A605, Mov_Type, "Consumption", Mov_Date, "&gt;="&amp;$Z$2, Mov_Date, "&lt;="&amp;$AA$2))</f>
        <v>0</v>
      </c>
      <c r="O605">
        <f>IFERROR(AVERAGE(L605:N605),"")</f>
        <v>0</v>
      </c>
      <c r="P605">
        <f>IF(O605&gt;=Cfg_HiMove, "Yes", "")</f>
        <v>0</v>
      </c>
      <c r="Q605">
        <f>IF($A605="","", $I605 + IFERROR(O605/30*$H605,0))</f>
        <v>0</v>
      </c>
      <c r="R605">
        <f>IF($A605="","", IF(J605&lt;=$F605, "Yes", ""))</f>
        <v>0</v>
      </c>
      <c r="S605">
        <f>IF(R605="Yes", CEILING(MAX($G605, Q605-J605), $G605), 0)</f>
        <v>0</v>
      </c>
      <c r="T605">
        <f>IFERROR(J605/(O605/30),"")</f>
        <v>0</v>
      </c>
    </row>
    <row r="606" spans="10:20">
      <c r="J606">
        <f>IF($A606="","", SUMIFS(Mov_Qty, Mov_Item, $A606))</f>
        <v>0</v>
      </c>
      <c r="K606">
        <f>IF($A606="","", J606 * $E606)</f>
        <v>0</v>
      </c>
      <c r="L606">
        <f>IF($A606="","", SUMIFS(-Mov_Qty, Mov_Item, $A606, Mov_Type, "Consumption", Mov_Date, "&gt;="&amp;$V$2, Mov_Date, "&lt;="&amp;$W$2))</f>
        <v>0</v>
      </c>
      <c r="M606">
        <f>IF($A606="","", SUMIFS(-Mov_Qty, Mov_Item, $A606, Mov_Type, "Consumption", Mov_Date, "&gt;="&amp;$X$2, Mov_Date, "&lt;="&amp;$Y$2))</f>
        <v>0</v>
      </c>
      <c r="N606">
        <f>IF($A606="","", SUMIFS(-Mov_Qty, Mov_Item, $A606, Mov_Type, "Consumption", Mov_Date, "&gt;="&amp;$Z$2, Mov_Date, "&lt;="&amp;$AA$2))</f>
        <v>0</v>
      </c>
      <c r="O606">
        <f>IFERROR(AVERAGE(L606:N606),"")</f>
        <v>0</v>
      </c>
      <c r="P606">
        <f>IF(O606&gt;=Cfg_HiMove, "Yes", "")</f>
        <v>0</v>
      </c>
      <c r="Q606">
        <f>IF($A606="","", $I606 + IFERROR(O606/30*$H606,0))</f>
        <v>0</v>
      </c>
      <c r="R606">
        <f>IF($A606="","", IF(J606&lt;=$F606, "Yes", ""))</f>
        <v>0</v>
      </c>
      <c r="S606">
        <f>IF(R606="Yes", CEILING(MAX($G606, Q606-J606), $G606), 0)</f>
        <v>0</v>
      </c>
      <c r="T606">
        <f>IFERROR(J606/(O606/30),"")</f>
        <v>0</v>
      </c>
    </row>
    <row r="607" spans="10:20">
      <c r="J607">
        <f>IF($A607="","", SUMIFS(Mov_Qty, Mov_Item, $A607))</f>
        <v>0</v>
      </c>
      <c r="K607">
        <f>IF($A607="","", J607 * $E607)</f>
        <v>0</v>
      </c>
      <c r="L607">
        <f>IF($A607="","", SUMIFS(-Mov_Qty, Mov_Item, $A607, Mov_Type, "Consumption", Mov_Date, "&gt;="&amp;$V$2, Mov_Date, "&lt;="&amp;$W$2))</f>
        <v>0</v>
      </c>
      <c r="M607">
        <f>IF($A607="","", SUMIFS(-Mov_Qty, Mov_Item, $A607, Mov_Type, "Consumption", Mov_Date, "&gt;="&amp;$X$2, Mov_Date, "&lt;="&amp;$Y$2))</f>
        <v>0</v>
      </c>
      <c r="N607">
        <f>IF($A607="","", SUMIFS(-Mov_Qty, Mov_Item, $A607, Mov_Type, "Consumption", Mov_Date, "&gt;="&amp;$Z$2, Mov_Date, "&lt;="&amp;$AA$2))</f>
        <v>0</v>
      </c>
      <c r="O607">
        <f>IFERROR(AVERAGE(L607:N607),"")</f>
        <v>0</v>
      </c>
      <c r="P607">
        <f>IF(O607&gt;=Cfg_HiMove, "Yes", "")</f>
        <v>0</v>
      </c>
      <c r="Q607">
        <f>IF($A607="","", $I607 + IFERROR(O607/30*$H607,0))</f>
        <v>0</v>
      </c>
      <c r="R607">
        <f>IF($A607="","", IF(J607&lt;=$F607, "Yes", ""))</f>
        <v>0</v>
      </c>
      <c r="S607">
        <f>IF(R607="Yes", CEILING(MAX($G607, Q607-J607), $G607), 0)</f>
        <v>0</v>
      </c>
      <c r="T607">
        <f>IFERROR(J607/(O607/30),"")</f>
        <v>0</v>
      </c>
    </row>
    <row r="608" spans="10:20">
      <c r="J608">
        <f>IF($A608="","", SUMIFS(Mov_Qty, Mov_Item, $A608))</f>
        <v>0</v>
      </c>
      <c r="K608">
        <f>IF($A608="","", J608 * $E608)</f>
        <v>0</v>
      </c>
      <c r="L608">
        <f>IF($A608="","", SUMIFS(-Mov_Qty, Mov_Item, $A608, Mov_Type, "Consumption", Mov_Date, "&gt;="&amp;$V$2, Mov_Date, "&lt;="&amp;$W$2))</f>
        <v>0</v>
      </c>
      <c r="M608">
        <f>IF($A608="","", SUMIFS(-Mov_Qty, Mov_Item, $A608, Mov_Type, "Consumption", Mov_Date, "&gt;="&amp;$X$2, Mov_Date, "&lt;="&amp;$Y$2))</f>
        <v>0</v>
      </c>
      <c r="N608">
        <f>IF($A608="","", SUMIFS(-Mov_Qty, Mov_Item, $A608, Mov_Type, "Consumption", Mov_Date, "&gt;="&amp;$Z$2, Mov_Date, "&lt;="&amp;$AA$2))</f>
        <v>0</v>
      </c>
      <c r="O608">
        <f>IFERROR(AVERAGE(L608:N608),"")</f>
        <v>0</v>
      </c>
      <c r="P608">
        <f>IF(O608&gt;=Cfg_HiMove, "Yes", "")</f>
        <v>0</v>
      </c>
      <c r="Q608">
        <f>IF($A608="","", $I608 + IFERROR(O608/30*$H608,0))</f>
        <v>0</v>
      </c>
      <c r="R608">
        <f>IF($A608="","", IF(J608&lt;=$F608, "Yes", ""))</f>
        <v>0</v>
      </c>
      <c r="S608">
        <f>IF(R608="Yes", CEILING(MAX($G608, Q608-J608), $G608), 0)</f>
        <v>0</v>
      </c>
      <c r="T608">
        <f>IFERROR(J608/(O608/30),"")</f>
        <v>0</v>
      </c>
    </row>
    <row r="609" spans="10:20">
      <c r="J609">
        <f>IF($A609="","", SUMIFS(Mov_Qty, Mov_Item, $A609))</f>
        <v>0</v>
      </c>
      <c r="K609">
        <f>IF($A609="","", J609 * $E609)</f>
        <v>0</v>
      </c>
      <c r="L609">
        <f>IF($A609="","", SUMIFS(-Mov_Qty, Mov_Item, $A609, Mov_Type, "Consumption", Mov_Date, "&gt;="&amp;$V$2, Mov_Date, "&lt;="&amp;$W$2))</f>
        <v>0</v>
      </c>
      <c r="M609">
        <f>IF($A609="","", SUMIFS(-Mov_Qty, Mov_Item, $A609, Mov_Type, "Consumption", Mov_Date, "&gt;="&amp;$X$2, Mov_Date, "&lt;="&amp;$Y$2))</f>
        <v>0</v>
      </c>
      <c r="N609">
        <f>IF($A609="","", SUMIFS(-Mov_Qty, Mov_Item, $A609, Mov_Type, "Consumption", Mov_Date, "&gt;="&amp;$Z$2, Mov_Date, "&lt;="&amp;$AA$2))</f>
        <v>0</v>
      </c>
      <c r="O609">
        <f>IFERROR(AVERAGE(L609:N609),"")</f>
        <v>0</v>
      </c>
      <c r="P609">
        <f>IF(O609&gt;=Cfg_HiMove, "Yes", "")</f>
        <v>0</v>
      </c>
      <c r="Q609">
        <f>IF($A609="","", $I609 + IFERROR(O609/30*$H609,0))</f>
        <v>0</v>
      </c>
      <c r="R609">
        <f>IF($A609="","", IF(J609&lt;=$F609, "Yes", ""))</f>
        <v>0</v>
      </c>
      <c r="S609">
        <f>IF(R609="Yes", CEILING(MAX($G609, Q609-J609), $G609), 0)</f>
        <v>0</v>
      </c>
      <c r="T609">
        <f>IFERROR(J609/(O609/30),"")</f>
        <v>0</v>
      </c>
    </row>
    <row r="610" spans="10:20">
      <c r="J610">
        <f>IF($A610="","", SUMIFS(Mov_Qty, Mov_Item, $A610))</f>
        <v>0</v>
      </c>
      <c r="K610">
        <f>IF($A610="","", J610 * $E610)</f>
        <v>0</v>
      </c>
      <c r="L610">
        <f>IF($A610="","", SUMIFS(-Mov_Qty, Mov_Item, $A610, Mov_Type, "Consumption", Mov_Date, "&gt;="&amp;$V$2, Mov_Date, "&lt;="&amp;$W$2))</f>
        <v>0</v>
      </c>
      <c r="M610">
        <f>IF($A610="","", SUMIFS(-Mov_Qty, Mov_Item, $A610, Mov_Type, "Consumption", Mov_Date, "&gt;="&amp;$X$2, Mov_Date, "&lt;="&amp;$Y$2))</f>
        <v>0</v>
      </c>
      <c r="N610">
        <f>IF($A610="","", SUMIFS(-Mov_Qty, Mov_Item, $A610, Mov_Type, "Consumption", Mov_Date, "&gt;="&amp;$Z$2, Mov_Date, "&lt;="&amp;$AA$2))</f>
        <v>0</v>
      </c>
      <c r="O610">
        <f>IFERROR(AVERAGE(L610:N610),"")</f>
        <v>0</v>
      </c>
      <c r="P610">
        <f>IF(O610&gt;=Cfg_HiMove, "Yes", "")</f>
        <v>0</v>
      </c>
      <c r="Q610">
        <f>IF($A610="","", $I610 + IFERROR(O610/30*$H610,0))</f>
        <v>0</v>
      </c>
      <c r="R610">
        <f>IF($A610="","", IF(J610&lt;=$F610, "Yes", ""))</f>
        <v>0</v>
      </c>
      <c r="S610">
        <f>IF(R610="Yes", CEILING(MAX($G610, Q610-J610), $G610), 0)</f>
        <v>0</v>
      </c>
      <c r="T610">
        <f>IFERROR(J610/(O610/30),"")</f>
        <v>0</v>
      </c>
    </row>
    <row r="611" spans="10:20">
      <c r="J611">
        <f>IF($A611="","", SUMIFS(Mov_Qty, Mov_Item, $A611))</f>
        <v>0</v>
      </c>
      <c r="K611">
        <f>IF($A611="","", J611 * $E611)</f>
        <v>0</v>
      </c>
      <c r="L611">
        <f>IF($A611="","", SUMIFS(-Mov_Qty, Mov_Item, $A611, Mov_Type, "Consumption", Mov_Date, "&gt;="&amp;$V$2, Mov_Date, "&lt;="&amp;$W$2))</f>
        <v>0</v>
      </c>
      <c r="M611">
        <f>IF($A611="","", SUMIFS(-Mov_Qty, Mov_Item, $A611, Mov_Type, "Consumption", Mov_Date, "&gt;="&amp;$X$2, Mov_Date, "&lt;="&amp;$Y$2))</f>
        <v>0</v>
      </c>
      <c r="N611">
        <f>IF($A611="","", SUMIFS(-Mov_Qty, Mov_Item, $A611, Mov_Type, "Consumption", Mov_Date, "&gt;="&amp;$Z$2, Mov_Date, "&lt;="&amp;$AA$2))</f>
        <v>0</v>
      </c>
      <c r="O611">
        <f>IFERROR(AVERAGE(L611:N611),"")</f>
        <v>0</v>
      </c>
      <c r="P611">
        <f>IF(O611&gt;=Cfg_HiMove, "Yes", "")</f>
        <v>0</v>
      </c>
      <c r="Q611">
        <f>IF($A611="","", $I611 + IFERROR(O611/30*$H611,0))</f>
        <v>0</v>
      </c>
      <c r="R611">
        <f>IF($A611="","", IF(J611&lt;=$F611, "Yes", ""))</f>
        <v>0</v>
      </c>
      <c r="S611">
        <f>IF(R611="Yes", CEILING(MAX($G611, Q611-J611), $G611), 0)</f>
        <v>0</v>
      </c>
      <c r="T611">
        <f>IFERROR(J611/(O611/30),"")</f>
        <v>0</v>
      </c>
    </row>
    <row r="612" spans="10:20">
      <c r="J612">
        <f>IF($A612="","", SUMIFS(Mov_Qty, Mov_Item, $A612))</f>
        <v>0</v>
      </c>
      <c r="K612">
        <f>IF($A612="","", J612 * $E612)</f>
        <v>0</v>
      </c>
      <c r="L612">
        <f>IF($A612="","", SUMIFS(-Mov_Qty, Mov_Item, $A612, Mov_Type, "Consumption", Mov_Date, "&gt;="&amp;$V$2, Mov_Date, "&lt;="&amp;$W$2))</f>
        <v>0</v>
      </c>
      <c r="M612">
        <f>IF($A612="","", SUMIFS(-Mov_Qty, Mov_Item, $A612, Mov_Type, "Consumption", Mov_Date, "&gt;="&amp;$X$2, Mov_Date, "&lt;="&amp;$Y$2))</f>
        <v>0</v>
      </c>
      <c r="N612">
        <f>IF($A612="","", SUMIFS(-Mov_Qty, Mov_Item, $A612, Mov_Type, "Consumption", Mov_Date, "&gt;="&amp;$Z$2, Mov_Date, "&lt;="&amp;$AA$2))</f>
        <v>0</v>
      </c>
      <c r="O612">
        <f>IFERROR(AVERAGE(L612:N612),"")</f>
        <v>0</v>
      </c>
      <c r="P612">
        <f>IF(O612&gt;=Cfg_HiMove, "Yes", "")</f>
        <v>0</v>
      </c>
      <c r="Q612">
        <f>IF($A612="","", $I612 + IFERROR(O612/30*$H612,0))</f>
        <v>0</v>
      </c>
      <c r="R612">
        <f>IF($A612="","", IF(J612&lt;=$F612, "Yes", ""))</f>
        <v>0</v>
      </c>
      <c r="S612">
        <f>IF(R612="Yes", CEILING(MAX($G612, Q612-J612), $G612), 0)</f>
        <v>0</v>
      </c>
      <c r="T612">
        <f>IFERROR(J612/(O612/30),"")</f>
        <v>0</v>
      </c>
    </row>
    <row r="613" spans="10:20">
      <c r="J613">
        <f>IF($A613="","", SUMIFS(Mov_Qty, Mov_Item, $A613))</f>
        <v>0</v>
      </c>
      <c r="K613">
        <f>IF($A613="","", J613 * $E613)</f>
        <v>0</v>
      </c>
      <c r="L613">
        <f>IF($A613="","", SUMIFS(-Mov_Qty, Mov_Item, $A613, Mov_Type, "Consumption", Mov_Date, "&gt;="&amp;$V$2, Mov_Date, "&lt;="&amp;$W$2))</f>
        <v>0</v>
      </c>
      <c r="M613">
        <f>IF($A613="","", SUMIFS(-Mov_Qty, Mov_Item, $A613, Mov_Type, "Consumption", Mov_Date, "&gt;="&amp;$X$2, Mov_Date, "&lt;="&amp;$Y$2))</f>
        <v>0</v>
      </c>
      <c r="N613">
        <f>IF($A613="","", SUMIFS(-Mov_Qty, Mov_Item, $A613, Mov_Type, "Consumption", Mov_Date, "&gt;="&amp;$Z$2, Mov_Date, "&lt;="&amp;$AA$2))</f>
        <v>0</v>
      </c>
      <c r="O613">
        <f>IFERROR(AVERAGE(L613:N613),"")</f>
        <v>0</v>
      </c>
      <c r="P613">
        <f>IF(O613&gt;=Cfg_HiMove, "Yes", "")</f>
        <v>0</v>
      </c>
      <c r="Q613">
        <f>IF($A613="","", $I613 + IFERROR(O613/30*$H613,0))</f>
        <v>0</v>
      </c>
      <c r="R613">
        <f>IF($A613="","", IF(J613&lt;=$F613, "Yes", ""))</f>
        <v>0</v>
      </c>
      <c r="S613">
        <f>IF(R613="Yes", CEILING(MAX($G613, Q613-J613), $G613), 0)</f>
        <v>0</v>
      </c>
      <c r="T613">
        <f>IFERROR(J613/(O613/30),"")</f>
        <v>0</v>
      </c>
    </row>
    <row r="614" spans="10:20">
      <c r="J614">
        <f>IF($A614="","", SUMIFS(Mov_Qty, Mov_Item, $A614))</f>
        <v>0</v>
      </c>
      <c r="K614">
        <f>IF($A614="","", J614 * $E614)</f>
        <v>0</v>
      </c>
      <c r="L614">
        <f>IF($A614="","", SUMIFS(-Mov_Qty, Mov_Item, $A614, Mov_Type, "Consumption", Mov_Date, "&gt;="&amp;$V$2, Mov_Date, "&lt;="&amp;$W$2))</f>
        <v>0</v>
      </c>
      <c r="M614">
        <f>IF($A614="","", SUMIFS(-Mov_Qty, Mov_Item, $A614, Mov_Type, "Consumption", Mov_Date, "&gt;="&amp;$X$2, Mov_Date, "&lt;="&amp;$Y$2))</f>
        <v>0</v>
      </c>
      <c r="N614">
        <f>IF($A614="","", SUMIFS(-Mov_Qty, Mov_Item, $A614, Mov_Type, "Consumption", Mov_Date, "&gt;="&amp;$Z$2, Mov_Date, "&lt;="&amp;$AA$2))</f>
        <v>0</v>
      </c>
      <c r="O614">
        <f>IFERROR(AVERAGE(L614:N614),"")</f>
        <v>0</v>
      </c>
      <c r="P614">
        <f>IF(O614&gt;=Cfg_HiMove, "Yes", "")</f>
        <v>0</v>
      </c>
      <c r="Q614">
        <f>IF($A614="","", $I614 + IFERROR(O614/30*$H614,0))</f>
        <v>0</v>
      </c>
      <c r="R614">
        <f>IF($A614="","", IF(J614&lt;=$F614, "Yes", ""))</f>
        <v>0</v>
      </c>
      <c r="S614">
        <f>IF(R614="Yes", CEILING(MAX($G614, Q614-J614), $G614), 0)</f>
        <v>0</v>
      </c>
      <c r="T614">
        <f>IFERROR(J614/(O614/30),"")</f>
        <v>0</v>
      </c>
    </row>
    <row r="615" spans="10:20">
      <c r="J615">
        <f>IF($A615="","", SUMIFS(Mov_Qty, Mov_Item, $A615))</f>
        <v>0</v>
      </c>
      <c r="K615">
        <f>IF($A615="","", J615 * $E615)</f>
        <v>0</v>
      </c>
      <c r="L615">
        <f>IF($A615="","", SUMIFS(-Mov_Qty, Mov_Item, $A615, Mov_Type, "Consumption", Mov_Date, "&gt;="&amp;$V$2, Mov_Date, "&lt;="&amp;$W$2))</f>
        <v>0</v>
      </c>
      <c r="M615">
        <f>IF($A615="","", SUMIFS(-Mov_Qty, Mov_Item, $A615, Mov_Type, "Consumption", Mov_Date, "&gt;="&amp;$X$2, Mov_Date, "&lt;="&amp;$Y$2))</f>
        <v>0</v>
      </c>
      <c r="N615">
        <f>IF($A615="","", SUMIFS(-Mov_Qty, Mov_Item, $A615, Mov_Type, "Consumption", Mov_Date, "&gt;="&amp;$Z$2, Mov_Date, "&lt;="&amp;$AA$2))</f>
        <v>0</v>
      </c>
      <c r="O615">
        <f>IFERROR(AVERAGE(L615:N615),"")</f>
        <v>0</v>
      </c>
      <c r="P615">
        <f>IF(O615&gt;=Cfg_HiMove, "Yes", "")</f>
        <v>0</v>
      </c>
      <c r="Q615">
        <f>IF($A615="","", $I615 + IFERROR(O615/30*$H615,0))</f>
        <v>0</v>
      </c>
      <c r="R615">
        <f>IF($A615="","", IF(J615&lt;=$F615, "Yes", ""))</f>
        <v>0</v>
      </c>
      <c r="S615">
        <f>IF(R615="Yes", CEILING(MAX($G615, Q615-J615), $G615), 0)</f>
        <v>0</v>
      </c>
      <c r="T615">
        <f>IFERROR(J615/(O615/30),"")</f>
        <v>0</v>
      </c>
    </row>
    <row r="616" spans="10:20">
      <c r="J616">
        <f>IF($A616="","", SUMIFS(Mov_Qty, Mov_Item, $A616))</f>
        <v>0</v>
      </c>
      <c r="K616">
        <f>IF($A616="","", J616 * $E616)</f>
        <v>0</v>
      </c>
      <c r="L616">
        <f>IF($A616="","", SUMIFS(-Mov_Qty, Mov_Item, $A616, Mov_Type, "Consumption", Mov_Date, "&gt;="&amp;$V$2, Mov_Date, "&lt;="&amp;$W$2))</f>
        <v>0</v>
      </c>
      <c r="M616">
        <f>IF($A616="","", SUMIFS(-Mov_Qty, Mov_Item, $A616, Mov_Type, "Consumption", Mov_Date, "&gt;="&amp;$X$2, Mov_Date, "&lt;="&amp;$Y$2))</f>
        <v>0</v>
      </c>
      <c r="N616">
        <f>IF($A616="","", SUMIFS(-Mov_Qty, Mov_Item, $A616, Mov_Type, "Consumption", Mov_Date, "&gt;="&amp;$Z$2, Mov_Date, "&lt;="&amp;$AA$2))</f>
        <v>0</v>
      </c>
      <c r="O616">
        <f>IFERROR(AVERAGE(L616:N616),"")</f>
        <v>0</v>
      </c>
      <c r="P616">
        <f>IF(O616&gt;=Cfg_HiMove, "Yes", "")</f>
        <v>0</v>
      </c>
      <c r="Q616">
        <f>IF($A616="","", $I616 + IFERROR(O616/30*$H616,0))</f>
        <v>0</v>
      </c>
      <c r="R616">
        <f>IF($A616="","", IF(J616&lt;=$F616, "Yes", ""))</f>
        <v>0</v>
      </c>
      <c r="S616">
        <f>IF(R616="Yes", CEILING(MAX($G616, Q616-J616), $G616), 0)</f>
        <v>0</v>
      </c>
      <c r="T616">
        <f>IFERROR(J616/(O616/30),"")</f>
        <v>0</v>
      </c>
    </row>
    <row r="617" spans="10:20">
      <c r="J617">
        <f>IF($A617="","", SUMIFS(Mov_Qty, Mov_Item, $A617))</f>
        <v>0</v>
      </c>
      <c r="K617">
        <f>IF($A617="","", J617 * $E617)</f>
        <v>0</v>
      </c>
      <c r="L617">
        <f>IF($A617="","", SUMIFS(-Mov_Qty, Mov_Item, $A617, Mov_Type, "Consumption", Mov_Date, "&gt;="&amp;$V$2, Mov_Date, "&lt;="&amp;$W$2))</f>
        <v>0</v>
      </c>
      <c r="M617">
        <f>IF($A617="","", SUMIFS(-Mov_Qty, Mov_Item, $A617, Mov_Type, "Consumption", Mov_Date, "&gt;="&amp;$X$2, Mov_Date, "&lt;="&amp;$Y$2))</f>
        <v>0</v>
      </c>
      <c r="N617">
        <f>IF($A617="","", SUMIFS(-Mov_Qty, Mov_Item, $A617, Mov_Type, "Consumption", Mov_Date, "&gt;="&amp;$Z$2, Mov_Date, "&lt;="&amp;$AA$2))</f>
        <v>0</v>
      </c>
      <c r="O617">
        <f>IFERROR(AVERAGE(L617:N617),"")</f>
        <v>0</v>
      </c>
      <c r="P617">
        <f>IF(O617&gt;=Cfg_HiMove, "Yes", "")</f>
        <v>0</v>
      </c>
      <c r="Q617">
        <f>IF($A617="","", $I617 + IFERROR(O617/30*$H617,0))</f>
        <v>0</v>
      </c>
      <c r="R617">
        <f>IF($A617="","", IF(J617&lt;=$F617, "Yes", ""))</f>
        <v>0</v>
      </c>
      <c r="S617">
        <f>IF(R617="Yes", CEILING(MAX($G617, Q617-J617), $G617), 0)</f>
        <v>0</v>
      </c>
      <c r="T617">
        <f>IFERROR(J617/(O617/30),"")</f>
        <v>0</v>
      </c>
    </row>
    <row r="618" spans="10:20">
      <c r="J618">
        <f>IF($A618="","", SUMIFS(Mov_Qty, Mov_Item, $A618))</f>
        <v>0</v>
      </c>
      <c r="K618">
        <f>IF($A618="","", J618 * $E618)</f>
        <v>0</v>
      </c>
      <c r="L618">
        <f>IF($A618="","", SUMIFS(-Mov_Qty, Mov_Item, $A618, Mov_Type, "Consumption", Mov_Date, "&gt;="&amp;$V$2, Mov_Date, "&lt;="&amp;$W$2))</f>
        <v>0</v>
      </c>
      <c r="M618">
        <f>IF($A618="","", SUMIFS(-Mov_Qty, Mov_Item, $A618, Mov_Type, "Consumption", Mov_Date, "&gt;="&amp;$X$2, Mov_Date, "&lt;="&amp;$Y$2))</f>
        <v>0</v>
      </c>
      <c r="N618">
        <f>IF($A618="","", SUMIFS(-Mov_Qty, Mov_Item, $A618, Mov_Type, "Consumption", Mov_Date, "&gt;="&amp;$Z$2, Mov_Date, "&lt;="&amp;$AA$2))</f>
        <v>0</v>
      </c>
      <c r="O618">
        <f>IFERROR(AVERAGE(L618:N618),"")</f>
        <v>0</v>
      </c>
      <c r="P618">
        <f>IF(O618&gt;=Cfg_HiMove, "Yes", "")</f>
        <v>0</v>
      </c>
      <c r="Q618">
        <f>IF($A618="","", $I618 + IFERROR(O618/30*$H618,0))</f>
        <v>0</v>
      </c>
      <c r="R618">
        <f>IF($A618="","", IF(J618&lt;=$F618, "Yes", ""))</f>
        <v>0</v>
      </c>
      <c r="S618">
        <f>IF(R618="Yes", CEILING(MAX($G618, Q618-J618), $G618), 0)</f>
        <v>0</v>
      </c>
      <c r="T618">
        <f>IFERROR(J618/(O618/30),"")</f>
        <v>0</v>
      </c>
    </row>
    <row r="619" spans="10:20">
      <c r="J619">
        <f>IF($A619="","", SUMIFS(Mov_Qty, Mov_Item, $A619))</f>
        <v>0</v>
      </c>
      <c r="K619">
        <f>IF($A619="","", J619 * $E619)</f>
        <v>0</v>
      </c>
      <c r="L619">
        <f>IF($A619="","", SUMIFS(-Mov_Qty, Mov_Item, $A619, Mov_Type, "Consumption", Mov_Date, "&gt;="&amp;$V$2, Mov_Date, "&lt;="&amp;$W$2))</f>
        <v>0</v>
      </c>
      <c r="M619">
        <f>IF($A619="","", SUMIFS(-Mov_Qty, Mov_Item, $A619, Mov_Type, "Consumption", Mov_Date, "&gt;="&amp;$X$2, Mov_Date, "&lt;="&amp;$Y$2))</f>
        <v>0</v>
      </c>
      <c r="N619">
        <f>IF($A619="","", SUMIFS(-Mov_Qty, Mov_Item, $A619, Mov_Type, "Consumption", Mov_Date, "&gt;="&amp;$Z$2, Mov_Date, "&lt;="&amp;$AA$2))</f>
        <v>0</v>
      </c>
      <c r="O619">
        <f>IFERROR(AVERAGE(L619:N619),"")</f>
        <v>0</v>
      </c>
      <c r="P619">
        <f>IF(O619&gt;=Cfg_HiMove, "Yes", "")</f>
        <v>0</v>
      </c>
      <c r="Q619">
        <f>IF($A619="","", $I619 + IFERROR(O619/30*$H619,0))</f>
        <v>0</v>
      </c>
      <c r="R619">
        <f>IF($A619="","", IF(J619&lt;=$F619, "Yes", ""))</f>
        <v>0</v>
      </c>
      <c r="S619">
        <f>IF(R619="Yes", CEILING(MAX($G619, Q619-J619), $G619), 0)</f>
        <v>0</v>
      </c>
      <c r="T619">
        <f>IFERROR(J619/(O619/30),"")</f>
        <v>0</v>
      </c>
    </row>
    <row r="620" spans="10:20">
      <c r="J620">
        <f>IF($A620="","", SUMIFS(Mov_Qty, Mov_Item, $A620))</f>
        <v>0</v>
      </c>
      <c r="K620">
        <f>IF($A620="","", J620 * $E620)</f>
        <v>0</v>
      </c>
      <c r="L620">
        <f>IF($A620="","", SUMIFS(-Mov_Qty, Mov_Item, $A620, Mov_Type, "Consumption", Mov_Date, "&gt;="&amp;$V$2, Mov_Date, "&lt;="&amp;$W$2))</f>
        <v>0</v>
      </c>
      <c r="M620">
        <f>IF($A620="","", SUMIFS(-Mov_Qty, Mov_Item, $A620, Mov_Type, "Consumption", Mov_Date, "&gt;="&amp;$X$2, Mov_Date, "&lt;="&amp;$Y$2))</f>
        <v>0</v>
      </c>
      <c r="N620">
        <f>IF($A620="","", SUMIFS(-Mov_Qty, Mov_Item, $A620, Mov_Type, "Consumption", Mov_Date, "&gt;="&amp;$Z$2, Mov_Date, "&lt;="&amp;$AA$2))</f>
        <v>0</v>
      </c>
      <c r="O620">
        <f>IFERROR(AVERAGE(L620:N620),"")</f>
        <v>0</v>
      </c>
      <c r="P620">
        <f>IF(O620&gt;=Cfg_HiMove, "Yes", "")</f>
        <v>0</v>
      </c>
      <c r="Q620">
        <f>IF($A620="","", $I620 + IFERROR(O620/30*$H620,0))</f>
        <v>0</v>
      </c>
      <c r="R620">
        <f>IF($A620="","", IF(J620&lt;=$F620, "Yes", ""))</f>
        <v>0</v>
      </c>
      <c r="S620">
        <f>IF(R620="Yes", CEILING(MAX($G620, Q620-J620), $G620), 0)</f>
        <v>0</v>
      </c>
      <c r="T620">
        <f>IFERROR(J620/(O620/30),"")</f>
        <v>0</v>
      </c>
    </row>
    <row r="621" spans="10:20">
      <c r="J621">
        <f>IF($A621="","", SUMIFS(Mov_Qty, Mov_Item, $A621))</f>
        <v>0</v>
      </c>
      <c r="K621">
        <f>IF($A621="","", J621 * $E621)</f>
        <v>0</v>
      </c>
      <c r="L621">
        <f>IF($A621="","", SUMIFS(-Mov_Qty, Mov_Item, $A621, Mov_Type, "Consumption", Mov_Date, "&gt;="&amp;$V$2, Mov_Date, "&lt;="&amp;$W$2))</f>
        <v>0</v>
      </c>
      <c r="M621">
        <f>IF($A621="","", SUMIFS(-Mov_Qty, Mov_Item, $A621, Mov_Type, "Consumption", Mov_Date, "&gt;="&amp;$X$2, Mov_Date, "&lt;="&amp;$Y$2))</f>
        <v>0</v>
      </c>
      <c r="N621">
        <f>IF($A621="","", SUMIFS(-Mov_Qty, Mov_Item, $A621, Mov_Type, "Consumption", Mov_Date, "&gt;="&amp;$Z$2, Mov_Date, "&lt;="&amp;$AA$2))</f>
        <v>0</v>
      </c>
      <c r="O621">
        <f>IFERROR(AVERAGE(L621:N621),"")</f>
        <v>0</v>
      </c>
      <c r="P621">
        <f>IF(O621&gt;=Cfg_HiMove, "Yes", "")</f>
        <v>0</v>
      </c>
      <c r="Q621">
        <f>IF($A621="","", $I621 + IFERROR(O621/30*$H621,0))</f>
        <v>0</v>
      </c>
      <c r="R621">
        <f>IF($A621="","", IF(J621&lt;=$F621, "Yes", ""))</f>
        <v>0</v>
      </c>
      <c r="S621">
        <f>IF(R621="Yes", CEILING(MAX($G621, Q621-J621), $G621), 0)</f>
        <v>0</v>
      </c>
      <c r="T621">
        <f>IFERROR(J621/(O621/30),"")</f>
        <v>0</v>
      </c>
    </row>
    <row r="622" spans="10:20">
      <c r="J622">
        <f>IF($A622="","", SUMIFS(Mov_Qty, Mov_Item, $A622))</f>
        <v>0</v>
      </c>
      <c r="K622">
        <f>IF($A622="","", J622 * $E622)</f>
        <v>0</v>
      </c>
      <c r="L622">
        <f>IF($A622="","", SUMIFS(-Mov_Qty, Mov_Item, $A622, Mov_Type, "Consumption", Mov_Date, "&gt;="&amp;$V$2, Mov_Date, "&lt;="&amp;$W$2))</f>
        <v>0</v>
      </c>
      <c r="M622">
        <f>IF($A622="","", SUMIFS(-Mov_Qty, Mov_Item, $A622, Mov_Type, "Consumption", Mov_Date, "&gt;="&amp;$X$2, Mov_Date, "&lt;="&amp;$Y$2))</f>
        <v>0</v>
      </c>
      <c r="N622">
        <f>IF($A622="","", SUMIFS(-Mov_Qty, Mov_Item, $A622, Mov_Type, "Consumption", Mov_Date, "&gt;="&amp;$Z$2, Mov_Date, "&lt;="&amp;$AA$2))</f>
        <v>0</v>
      </c>
      <c r="O622">
        <f>IFERROR(AVERAGE(L622:N622),"")</f>
        <v>0</v>
      </c>
      <c r="P622">
        <f>IF(O622&gt;=Cfg_HiMove, "Yes", "")</f>
        <v>0</v>
      </c>
      <c r="Q622">
        <f>IF($A622="","", $I622 + IFERROR(O622/30*$H622,0))</f>
        <v>0</v>
      </c>
      <c r="R622">
        <f>IF($A622="","", IF(J622&lt;=$F622, "Yes", ""))</f>
        <v>0</v>
      </c>
      <c r="S622">
        <f>IF(R622="Yes", CEILING(MAX($G622, Q622-J622), $G622), 0)</f>
        <v>0</v>
      </c>
      <c r="T622">
        <f>IFERROR(J622/(O622/30),"")</f>
        <v>0</v>
      </c>
    </row>
    <row r="623" spans="10:20">
      <c r="J623">
        <f>IF($A623="","", SUMIFS(Mov_Qty, Mov_Item, $A623))</f>
        <v>0</v>
      </c>
      <c r="K623">
        <f>IF($A623="","", J623 * $E623)</f>
        <v>0</v>
      </c>
      <c r="L623">
        <f>IF($A623="","", SUMIFS(-Mov_Qty, Mov_Item, $A623, Mov_Type, "Consumption", Mov_Date, "&gt;="&amp;$V$2, Mov_Date, "&lt;="&amp;$W$2))</f>
        <v>0</v>
      </c>
      <c r="M623">
        <f>IF($A623="","", SUMIFS(-Mov_Qty, Mov_Item, $A623, Mov_Type, "Consumption", Mov_Date, "&gt;="&amp;$X$2, Mov_Date, "&lt;="&amp;$Y$2))</f>
        <v>0</v>
      </c>
      <c r="N623">
        <f>IF($A623="","", SUMIFS(-Mov_Qty, Mov_Item, $A623, Mov_Type, "Consumption", Mov_Date, "&gt;="&amp;$Z$2, Mov_Date, "&lt;="&amp;$AA$2))</f>
        <v>0</v>
      </c>
      <c r="O623">
        <f>IFERROR(AVERAGE(L623:N623),"")</f>
        <v>0</v>
      </c>
      <c r="P623">
        <f>IF(O623&gt;=Cfg_HiMove, "Yes", "")</f>
        <v>0</v>
      </c>
      <c r="Q623">
        <f>IF($A623="","", $I623 + IFERROR(O623/30*$H623,0))</f>
        <v>0</v>
      </c>
      <c r="R623">
        <f>IF($A623="","", IF(J623&lt;=$F623, "Yes", ""))</f>
        <v>0</v>
      </c>
      <c r="S623">
        <f>IF(R623="Yes", CEILING(MAX($G623, Q623-J623), $G623), 0)</f>
        <v>0</v>
      </c>
      <c r="T623">
        <f>IFERROR(J623/(O623/30),"")</f>
        <v>0</v>
      </c>
    </row>
    <row r="624" spans="10:20">
      <c r="J624">
        <f>IF($A624="","", SUMIFS(Mov_Qty, Mov_Item, $A624))</f>
        <v>0</v>
      </c>
      <c r="K624">
        <f>IF($A624="","", J624 * $E624)</f>
        <v>0</v>
      </c>
      <c r="L624">
        <f>IF($A624="","", SUMIFS(-Mov_Qty, Mov_Item, $A624, Mov_Type, "Consumption", Mov_Date, "&gt;="&amp;$V$2, Mov_Date, "&lt;="&amp;$W$2))</f>
        <v>0</v>
      </c>
      <c r="M624">
        <f>IF($A624="","", SUMIFS(-Mov_Qty, Mov_Item, $A624, Mov_Type, "Consumption", Mov_Date, "&gt;="&amp;$X$2, Mov_Date, "&lt;="&amp;$Y$2))</f>
        <v>0</v>
      </c>
      <c r="N624">
        <f>IF($A624="","", SUMIFS(-Mov_Qty, Mov_Item, $A624, Mov_Type, "Consumption", Mov_Date, "&gt;="&amp;$Z$2, Mov_Date, "&lt;="&amp;$AA$2))</f>
        <v>0</v>
      </c>
      <c r="O624">
        <f>IFERROR(AVERAGE(L624:N624),"")</f>
        <v>0</v>
      </c>
      <c r="P624">
        <f>IF(O624&gt;=Cfg_HiMove, "Yes", "")</f>
        <v>0</v>
      </c>
      <c r="Q624">
        <f>IF($A624="","", $I624 + IFERROR(O624/30*$H624,0))</f>
        <v>0</v>
      </c>
      <c r="R624">
        <f>IF($A624="","", IF(J624&lt;=$F624, "Yes", ""))</f>
        <v>0</v>
      </c>
      <c r="S624">
        <f>IF(R624="Yes", CEILING(MAX($G624, Q624-J624), $G624), 0)</f>
        <v>0</v>
      </c>
      <c r="T624">
        <f>IFERROR(J624/(O624/30),"")</f>
        <v>0</v>
      </c>
    </row>
    <row r="625" spans="10:20">
      <c r="J625">
        <f>IF($A625="","", SUMIFS(Mov_Qty, Mov_Item, $A625))</f>
        <v>0</v>
      </c>
      <c r="K625">
        <f>IF($A625="","", J625 * $E625)</f>
        <v>0</v>
      </c>
      <c r="L625">
        <f>IF($A625="","", SUMIFS(-Mov_Qty, Mov_Item, $A625, Mov_Type, "Consumption", Mov_Date, "&gt;="&amp;$V$2, Mov_Date, "&lt;="&amp;$W$2))</f>
        <v>0</v>
      </c>
      <c r="M625">
        <f>IF($A625="","", SUMIFS(-Mov_Qty, Mov_Item, $A625, Mov_Type, "Consumption", Mov_Date, "&gt;="&amp;$X$2, Mov_Date, "&lt;="&amp;$Y$2))</f>
        <v>0</v>
      </c>
      <c r="N625">
        <f>IF($A625="","", SUMIFS(-Mov_Qty, Mov_Item, $A625, Mov_Type, "Consumption", Mov_Date, "&gt;="&amp;$Z$2, Mov_Date, "&lt;="&amp;$AA$2))</f>
        <v>0</v>
      </c>
      <c r="O625">
        <f>IFERROR(AVERAGE(L625:N625),"")</f>
        <v>0</v>
      </c>
      <c r="P625">
        <f>IF(O625&gt;=Cfg_HiMove, "Yes", "")</f>
        <v>0</v>
      </c>
      <c r="Q625">
        <f>IF($A625="","", $I625 + IFERROR(O625/30*$H625,0))</f>
        <v>0</v>
      </c>
      <c r="R625">
        <f>IF($A625="","", IF(J625&lt;=$F625, "Yes", ""))</f>
        <v>0</v>
      </c>
      <c r="S625">
        <f>IF(R625="Yes", CEILING(MAX($G625, Q625-J625), $G625), 0)</f>
        <v>0</v>
      </c>
      <c r="T625">
        <f>IFERROR(J625/(O625/30),"")</f>
        <v>0</v>
      </c>
    </row>
    <row r="626" spans="10:20">
      <c r="J626">
        <f>IF($A626="","", SUMIFS(Mov_Qty, Mov_Item, $A626))</f>
        <v>0</v>
      </c>
      <c r="K626">
        <f>IF($A626="","", J626 * $E626)</f>
        <v>0</v>
      </c>
      <c r="L626">
        <f>IF($A626="","", SUMIFS(-Mov_Qty, Mov_Item, $A626, Mov_Type, "Consumption", Mov_Date, "&gt;="&amp;$V$2, Mov_Date, "&lt;="&amp;$W$2))</f>
        <v>0</v>
      </c>
      <c r="M626">
        <f>IF($A626="","", SUMIFS(-Mov_Qty, Mov_Item, $A626, Mov_Type, "Consumption", Mov_Date, "&gt;="&amp;$X$2, Mov_Date, "&lt;="&amp;$Y$2))</f>
        <v>0</v>
      </c>
      <c r="N626">
        <f>IF($A626="","", SUMIFS(-Mov_Qty, Mov_Item, $A626, Mov_Type, "Consumption", Mov_Date, "&gt;="&amp;$Z$2, Mov_Date, "&lt;="&amp;$AA$2))</f>
        <v>0</v>
      </c>
      <c r="O626">
        <f>IFERROR(AVERAGE(L626:N626),"")</f>
        <v>0</v>
      </c>
      <c r="P626">
        <f>IF(O626&gt;=Cfg_HiMove, "Yes", "")</f>
        <v>0</v>
      </c>
      <c r="Q626">
        <f>IF($A626="","", $I626 + IFERROR(O626/30*$H626,0))</f>
        <v>0</v>
      </c>
      <c r="R626">
        <f>IF($A626="","", IF(J626&lt;=$F626, "Yes", ""))</f>
        <v>0</v>
      </c>
      <c r="S626">
        <f>IF(R626="Yes", CEILING(MAX($G626, Q626-J626), $G626), 0)</f>
        <v>0</v>
      </c>
      <c r="T626">
        <f>IFERROR(J626/(O626/30),"")</f>
        <v>0</v>
      </c>
    </row>
    <row r="627" spans="10:20">
      <c r="J627">
        <f>IF($A627="","", SUMIFS(Mov_Qty, Mov_Item, $A627))</f>
        <v>0</v>
      </c>
      <c r="K627">
        <f>IF($A627="","", J627 * $E627)</f>
        <v>0</v>
      </c>
      <c r="L627">
        <f>IF($A627="","", SUMIFS(-Mov_Qty, Mov_Item, $A627, Mov_Type, "Consumption", Mov_Date, "&gt;="&amp;$V$2, Mov_Date, "&lt;="&amp;$W$2))</f>
        <v>0</v>
      </c>
      <c r="M627">
        <f>IF($A627="","", SUMIFS(-Mov_Qty, Mov_Item, $A627, Mov_Type, "Consumption", Mov_Date, "&gt;="&amp;$X$2, Mov_Date, "&lt;="&amp;$Y$2))</f>
        <v>0</v>
      </c>
      <c r="N627">
        <f>IF($A627="","", SUMIFS(-Mov_Qty, Mov_Item, $A627, Mov_Type, "Consumption", Mov_Date, "&gt;="&amp;$Z$2, Mov_Date, "&lt;="&amp;$AA$2))</f>
        <v>0</v>
      </c>
      <c r="O627">
        <f>IFERROR(AVERAGE(L627:N627),"")</f>
        <v>0</v>
      </c>
      <c r="P627">
        <f>IF(O627&gt;=Cfg_HiMove, "Yes", "")</f>
        <v>0</v>
      </c>
      <c r="Q627">
        <f>IF($A627="","", $I627 + IFERROR(O627/30*$H627,0))</f>
        <v>0</v>
      </c>
      <c r="R627">
        <f>IF($A627="","", IF(J627&lt;=$F627, "Yes", ""))</f>
        <v>0</v>
      </c>
      <c r="S627">
        <f>IF(R627="Yes", CEILING(MAX($G627, Q627-J627), $G627), 0)</f>
        <v>0</v>
      </c>
      <c r="T627">
        <f>IFERROR(J627/(O627/30),"")</f>
        <v>0</v>
      </c>
    </row>
    <row r="628" spans="10:20">
      <c r="J628">
        <f>IF($A628="","", SUMIFS(Mov_Qty, Mov_Item, $A628))</f>
        <v>0</v>
      </c>
      <c r="K628">
        <f>IF($A628="","", J628 * $E628)</f>
        <v>0</v>
      </c>
      <c r="L628">
        <f>IF($A628="","", SUMIFS(-Mov_Qty, Mov_Item, $A628, Mov_Type, "Consumption", Mov_Date, "&gt;="&amp;$V$2, Mov_Date, "&lt;="&amp;$W$2))</f>
        <v>0</v>
      </c>
      <c r="M628">
        <f>IF($A628="","", SUMIFS(-Mov_Qty, Mov_Item, $A628, Mov_Type, "Consumption", Mov_Date, "&gt;="&amp;$X$2, Mov_Date, "&lt;="&amp;$Y$2))</f>
        <v>0</v>
      </c>
      <c r="N628">
        <f>IF($A628="","", SUMIFS(-Mov_Qty, Mov_Item, $A628, Mov_Type, "Consumption", Mov_Date, "&gt;="&amp;$Z$2, Mov_Date, "&lt;="&amp;$AA$2))</f>
        <v>0</v>
      </c>
      <c r="O628">
        <f>IFERROR(AVERAGE(L628:N628),"")</f>
        <v>0</v>
      </c>
      <c r="P628">
        <f>IF(O628&gt;=Cfg_HiMove, "Yes", "")</f>
        <v>0</v>
      </c>
      <c r="Q628">
        <f>IF($A628="","", $I628 + IFERROR(O628/30*$H628,0))</f>
        <v>0</v>
      </c>
      <c r="R628">
        <f>IF($A628="","", IF(J628&lt;=$F628, "Yes", ""))</f>
        <v>0</v>
      </c>
      <c r="S628">
        <f>IF(R628="Yes", CEILING(MAX($G628, Q628-J628), $G628), 0)</f>
        <v>0</v>
      </c>
      <c r="T628">
        <f>IFERROR(J628/(O628/30),"")</f>
        <v>0</v>
      </c>
    </row>
    <row r="629" spans="10:20">
      <c r="J629">
        <f>IF($A629="","", SUMIFS(Mov_Qty, Mov_Item, $A629))</f>
        <v>0</v>
      </c>
      <c r="K629">
        <f>IF($A629="","", J629 * $E629)</f>
        <v>0</v>
      </c>
      <c r="L629">
        <f>IF($A629="","", SUMIFS(-Mov_Qty, Mov_Item, $A629, Mov_Type, "Consumption", Mov_Date, "&gt;="&amp;$V$2, Mov_Date, "&lt;="&amp;$W$2))</f>
        <v>0</v>
      </c>
      <c r="M629">
        <f>IF($A629="","", SUMIFS(-Mov_Qty, Mov_Item, $A629, Mov_Type, "Consumption", Mov_Date, "&gt;="&amp;$X$2, Mov_Date, "&lt;="&amp;$Y$2))</f>
        <v>0</v>
      </c>
      <c r="N629">
        <f>IF($A629="","", SUMIFS(-Mov_Qty, Mov_Item, $A629, Mov_Type, "Consumption", Mov_Date, "&gt;="&amp;$Z$2, Mov_Date, "&lt;="&amp;$AA$2))</f>
        <v>0</v>
      </c>
      <c r="O629">
        <f>IFERROR(AVERAGE(L629:N629),"")</f>
        <v>0</v>
      </c>
      <c r="P629">
        <f>IF(O629&gt;=Cfg_HiMove, "Yes", "")</f>
        <v>0</v>
      </c>
      <c r="Q629">
        <f>IF($A629="","", $I629 + IFERROR(O629/30*$H629,0))</f>
        <v>0</v>
      </c>
      <c r="R629">
        <f>IF($A629="","", IF(J629&lt;=$F629, "Yes", ""))</f>
        <v>0</v>
      </c>
      <c r="S629">
        <f>IF(R629="Yes", CEILING(MAX($G629, Q629-J629), $G629), 0)</f>
        <v>0</v>
      </c>
      <c r="T629">
        <f>IFERROR(J629/(O629/30),"")</f>
        <v>0</v>
      </c>
    </row>
    <row r="630" spans="10:20">
      <c r="J630">
        <f>IF($A630="","", SUMIFS(Mov_Qty, Mov_Item, $A630))</f>
        <v>0</v>
      </c>
      <c r="K630">
        <f>IF($A630="","", J630 * $E630)</f>
        <v>0</v>
      </c>
      <c r="L630">
        <f>IF($A630="","", SUMIFS(-Mov_Qty, Mov_Item, $A630, Mov_Type, "Consumption", Mov_Date, "&gt;="&amp;$V$2, Mov_Date, "&lt;="&amp;$W$2))</f>
        <v>0</v>
      </c>
      <c r="M630">
        <f>IF($A630="","", SUMIFS(-Mov_Qty, Mov_Item, $A630, Mov_Type, "Consumption", Mov_Date, "&gt;="&amp;$X$2, Mov_Date, "&lt;="&amp;$Y$2))</f>
        <v>0</v>
      </c>
      <c r="N630">
        <f>IF($A630="","", SUMIFS(-Mov_Qty, Mov_Item, $A630, Mov_Type, "Consumption", Mov_Date, "&gt;="&amp;$Z$2, Mov_Date, "&lt;="&amp;$AA$2))</f>
        <v>0</v>
      </c>
      <c r="O630">
        <f>IFERROR(AVERAGE(L630:N630),"")</f>
        <v>0</v>
      </c>
      <c r="P630">
        <f>IF(O630&gt;=Cfg_HiMove, "Yes", "")</f>
        <v>0</v>
      </c>
      <c r="Q630">
        <f>IF($A630="","", $I630 + IFERROR(O630/30*$H630,0))</f>
        <v>0</v>
      </c>
      <c r="R630">
        <f>IF($A630="","", IF(J630&lt;=$F630, "Yes", ""))</f>
        <v>0</v>
      </c>
      <c r="S630">
        <f>IF(R630="Yes", CEILING(MAX($G630, Q630-J630), $G630), 0)</f>
        <v>0</v>
      </c>
      <c r="T630">
        <f>IFERROR(J630/(O630/30),"")</f>
        <v>0</v>
      </c>
    </row>
    <row r="631" spans="10:20">
      <c r="J631">
        <f>IF($A631="","", SUMIFS(Mov_Qty, Mov_Item, $A631))</f>
        <v>0</v>
      </c>
      <c r="K631">
        <f>IF($A631="","", J631 * $E631)</f>
        <v>0</v>
      </c>
      <c r="L631">
        <f>IF($A631="","", SUMIFS(-Mov_Qty, Mov_Item, $A631, Mov_Type, "Consumption", Mov_Date, "&gt;="&amp;$V$2, Mov_Date, "&lt;="&amp;$W$2))</f>
        <v>0</v>
      </c>
      <c r="M631">
        <f>IF($A631="","", SUMIFS(-Mov_Qty, Mov_Item, $A631, Mov_Type, "Consumption", Mov_Date, "&gt;="&amp;$X$2, Mov_Date, "&lt;="&amp;$Y$2))</f>
        <v>0</v>
      </c>
      <c r="N631">
        <f>IF($A631="","", SUMIFS(-Mov_Qty, Mov_Item, $A631, Mov_Type, "Consumption", Mov_Date, "&gt;="&amp;$Z$2, Mov_Date, "&lt;="&amp;$AA$2))</f>
        <v>0</v>
      </c>
      <c r="O631">
        <f>IFERROR(AVERAGE(L631:N631),"")</f>
        <v>0</v>
      </c>
      <c r="P631">
        <f>IF(O631&gt;=Cfg_HiMove, "Yes", "")</f>
        <v>0</v>
      </c>
      <c r="Q631">
        <f>IF($A631="","", $I631 + IFERROR(O631/30*$H631,0))</f>
        <v>0</v>
      </c>
      <c r="R631">
        <f>IF($A631="","", IF(J631&lt;=$F631, "Yes", ""))</f>
        <v>0</v>
      </c>
      <c r="S631">
        <f>IF(R631="Yes", CEILING(MAX($G631, Q631-J631), $G631), 0)</f>
        <v>0</v>
      </c>
      <c r="T631">
        <f>IFERROR(J631/(O631/30),"")</f>
        <v>0</v>
      </c>
    </row>
    <row r="632" spans="10:20">
      <c r="J632">
        <f>IF($A632="","", SUMIFS(Mov_Qty, Mov_Item, $A632))</f>
        <v>0</v>
      </c>
      <c r="K632">
        <f>IF($A632="","", J632 * $E632)</f>
        <v>0</v>
      </c>
      <c r="L632">
        <f>IF($A632="","", SUMIFS(-Mov_Qty, Mov_Item, $A632, Mov_Type, "Consumption", Mov_Date, "&gt;="&amp;$V$2, Mov_Date, "&lt;="&amp;$W$2))</f>
        <v>0</v>
      </c>
      <c r="M632">
        <f>IF($A632="","", SUMIFS(-Mov_Qty, Mov_Item, $A632, Mov_Type, "Consumption", Mov_Date, "&gt;="&amp;$X$2, Mov_Date, "&lt;="&amp;$Y$2))</f>
        <v>0</v>
      </c>
      <c r="N632">
        <f>IF($A632="","", SUMIFS(-Mov_Qty, Mov_Item, $A632, Mov_Type, "Consumption", Mov_Date, "&gt;="&amp;$Z$2, Mov_Date, "&lt;="&amp;$AA$2))</f>
        <v>0</v>
      </c>
      <c r="O632">
        <f>IFERROR(AVERAGE(L632:N632),"")</f>
        <v>0</v>
      </c>
      <c r="P632">
        <f>IF(O632&gt;=Cfg_HiMove, "Yes", "")</f>
        <v>0</v>
      </c>
      <c r="Q632">
        <f>IF($A632="","", $I632 + IFERROR(O632/30*$H632,0))</f>
        <v>0</v>
      </c>
      <c r="R632">
        <f>IF($A632="","", IF(J632&lt;=$F632, "Yes", ""))</f>
        <v>0</v>
      </c>
      <c r="S632">
        <f>IF(R632="Yes", CEILING(MAX($G632, Q632-J632), $G632), 0)</f>
        <v>0</v>
      </c>
      <c r="T632">
        <f>IFERROR(J632/(O632/30),"")</f>
        <v>0</v>
      </c>
    </row>
    <row r="633" spans="10:20">
      <c r="J633">
        <f>IF($A633="","", SUMIFS(Mov_Qty, Mov_Item, $A633))</f>
        <v>0</v>
      </c>
      <c r="K633">
        <f>IF($A633="","", J633 * $E633)</f>
        <v>0</v>
      </c>
      <c r="L633">
        <f>IF($A633="","", SUMIFS(-Mov_Qty, Mov_Item, $A633, Mov_Type, "Consumption", Mov_Date, "&gt;="&amp;$V$2, Mov_Date, "&lt;="&amp;$W$2))</f>
        <v>0</v>
      </c>
      <c r="M633">
        <f>IF($A633="","", SUMIFS(-Mov_Qty, Mov_Item, $A633, Mov_Type, "Consumption", Mov_Date, "&gt;="&amp;$X$2, Mov_Date, "&lt;="&amp;$Y$2))</f>
        <v>0</v>
      </c>
      <c r="N633">
        <f>IF($A633="","", SUMIFS(-Mov_Qty, Mov_Item, $A633, Mov_Type, "Consumption", Mov_Date, "&gt;="&amp;$Z$2, Mov_Date, "&lt;="&amp;$AA$2))</f>
        <v>0</v>
      </c>
      <c r="O633">
        <f>IFERROR(AVERAGE(L633:N633),"")</f>
        <v>0</v>
      </c>
      <c r="P633">
        <f>IF(O633&gt;=Cfg_HiMove, "Yes", "")</f>
        <v>0</v>
      </c>
      <c r="Q633">
        <f>IF($A633="","", $I633 + IFERROR(O633/30*$H633,0))</f>
        <v>0</v>
      </c>
      <c r="R633">
        <f>IF($A633="","", IF(J633&lt;=$F633, "Yes", ""))</f>
        <v>0</v>
      </c>
      <c r="S633">
        <f>IF(R633="Yes", CEILING(MAX($G633, Q633-J633), $G633), 0)</f>
        <v>0</v>
      </c>
      <c r="T633">
        <f>IFERROR(J633/(O633/30),"")</f>
        <v>0</v>
      </c>
    </row>
    <row r="634" spans="10:20">
      <c r="J634">
        <f>IF($A634="","", SUMIFS(Mov_Qty, Mov_Item, $A634))</f>
        <v>0</v>
      </c>
      <c r="K634">
        <f>IF($A634="","", J634 * $E634)</f>
        <v>0</v>
      </c>
      <c r="L634">
        <f>IF($A634="","", SUMIFS(-Mov_Qty, Mov_Item, $A634, Mov_Type, "Consumption", Mov_Date, "&gt;="&amp;$V$2, Mov_Date, "&lt;="&amp;$W$2))</f>
        <v>0</v>
      </c>
      <c r="M634">
        <f>IF($A634="","", SUMIFS(-Mov_Qty, Mov_Item, $A634, Mov_Type, "Consumption", Mov_Date, "&gt;="&amp;$X$2, Mov_Date, "&lt;="&amp;$Y$2))</f>
        <v>0</v>
      </c>
      <c r="N634">
        <f>IF($A634="","", SUMIFS(-Mov_Qty, Mov_Item, $A634, Mov_Type, "Consumption", Mov_Date, "&gt;="&amp;$Z$2, Mov_Date, "&lt;="&amp;$AA$2))</f>
        <v>0</v>
      </c>
      <c r="O634">
        <f>IFERROR(AVERAGE(L634:N634),"")</f>
        <v>0</v>
      </c>
      <c r="P634">
        <f>IF(O634&gt;=Cfg_HiMove, "Yes", "")</f>
        <v>0</v>
      </c>
      <c r="Q634">
        <f>IF($A634="","", $I634 + IFERROR(O634/30*$H634,0))</f>
        <v>0</v>
      </c>
      <c r="R634">
        <f>IF($A634="","", IF(J634&lt;=$F634, "Yes", ""))</f>
        <v>0</v>
      </c>
      <c r="S634">
        <f>IF(R634="Yes", CEILING(MAX($G634, Q634-J634), $G634), 0)</f>
        <v>0</v>
      </c>
      <c r="T634">
        <f>IFERROR(J634/(O634/30),"")</f>
        <v>0</v>
      </c>
    </row>
    <row r="635" spans="10:20">
      <c r="J635">
        <f>IF($A635="","", SUMIFS(Mov_Qty, Mov_Item, $A635))</f>
        <v>0</v>
      </c>
      <c r="K635">
        <f>IF($A635="","", J635 * $E635)</f>
        <v>0</v>
      </c>
      <c r="L635">
        <f>IF($A635="","", SUMIFS(-Mov_Qty, Mov_Item, $A635, Mov_Type, "Consumption", Mov_Date, "&gt;="&amp;$V$2, Mov_Date, "&lt;="&amp;$W$2))</f>
        <v>0</v>
      </c>
      <c r="M635">
        <f>IF($A635="","", SUMIFS(-Mov_Qty, Mov_Item, $A635, Mov_Type, "Consumption", Mov_Date, "&gt;="&amp;$X$2, Mov_Date, "&lt;="&amp;$Y$2))</f>
        <v>0</v>
      </c>
      <c r="N635">
        <f>IF($A635="","", SUMIFS(-Mov_Qty, Mov_Item, $A635, Mov_Type, "Consumption", Mov_Date, "&gt;="&amp;$Z$2, Mov_Date, "&lt;="&amp;$AA$2))</f>
        <v>0</v>
      </c>
      <c r="O635">
        <f>IFERROR(AVERAGE(L635:N635),"")</f>
        <v>0</v>
      </c>
      <c r="P635">
        <f>IF(O635&gt;=Cfg_HiMove, "Yes", "")</f>
        <v>0</v>
      </c>
      <c r="Q635">
        <f>IF($A635="","", $I635 + IFERROR(O635/30*$H635,0))</f>
        <v>0</v>
      </c>
      <c r="R635">
        <f>IF($A635="","", IF(J635&lt;=$F635, "Yes", ""))</f>
        <v>0</v>
      </c>
      <c r="S635">
        <f>IF(R635="Yes", CEILING(MAX($G635, Q635-J635), $G635), 0)</f>
        <v>0</v>
      </c>
      <c r="T635">
        <f>IFERROR(J635/(O635/30),"")</f>
        <v>0</v>
      </c>
    </row>
    <row r="636" spans="10:20">
      <c r="J636">
        <f>IF($A636="","", SUMIFS(Mov_Qty, Mov_Item, $A636))</f>
        <v>0</v>
      </c>
      <c r="K636">
        <f>IF($A636="","", J636 * $E636)</f>
        <v>0</v>
      </c>
      <c r="L636">
        <f>IF($A636="","", SUMIFS(-Mov_Qty, Mov_Item, $A636, Mov_Type, "Consumption", Mov_Date, "&gt;="&amp;$V$2, Mov_Date, "&lt;="&amp;$W$2))</f>
        <v>0</v>
      </c>
      <c r="M636">
        <f>IF($A636="","", SUMIFS(-Mov_Qty, Mov_Item, $A636, Mov_Type, "Consumption", Mov_Date, "&gt;="&amp;$X$2, Mov_Date, "&lt;="&amp;$Y$2))</f>
        <v>0</v>
      </c>
      <c r="N636">
        <f>IF($A636="","", SUMIFS(-Mov_Qty, Mov_Item, $A636, Mov_Type, "Consumption", Mov_Date, "&gt;="&amp;$Z$2, Mov_Date, "&lt;="&amp;$AA$2))</f>
        <v>0</v>
      </c>
      <c r="O636">
        <f>IFERROR(AVERAGE(L636:N636),"")</f>
        <v>0</v>
      </c>
      <c r="P636">
        <f>IF(O636&gt;=Cfg_HiMove, "Yes", "")</f>
        <v>0</v>
      </c>
      <c r="Q636">
        <f>IF($A636="","", $I636 + IFERROR(O636/30*$H636,0))</f>
        <v>0</v>
      </c>
      <c r="R636">
        <f>IF($A636="","", IF(J636&lt;=$F636, "Yes", ""))</f>
        <v>0</v>
      </c>
      <c r="S636">
        <f>IF(R636="Yes", CEILING(MAX($G636, Q636-J636), $G636), 0)</f>
        <v>0</v>
      </c>
      <c r="T636">
        <f>IFERROR(J636/(O636/30),"")</f>
        <v>0</v>
      </c>
    </row>
    <row r="637" spans="10:20">
      <c r="J637">
        <f>IF($A637="","", SUMIFS(Mov_Qty, Mov_Item, $A637))</f>
        <v>0</v>
      </c>
      <c r="K637">
        <f>IF($A637="","", J637 * $E637)</f>
        <v>0</v>
      </c>
      <c r="L637">
        <f>IF($A637="","", SUMIFS(-Mov_Qty, Mov_Item, $A637, Mov_Type, "Consumption", Mov_Date, "&gt;="&amp;$V$2, Mov_Date, "&lt;="&amp;$W$2))</f>
        <v>0</v>
      </c>
      <c r="M637">
        <f>IF($A637="","", SUMIFS(-Mov_Qty, Mov_Item, $A637, Mov_Type, "Consumption", Mov_Date, "&gt;="&amp;$X$2, Mov_Date, "&lt;="&amp;$Y$2))</f>
        <v>0</v>
      </c>
      <c r="N637">
        <f>IF($A637="","", SUMIFS(-Mov_Qty, Mov_Item, $A637, Mov_Type, "Consumption", Mov_Date, "&gt;="&amp;$Z$2, Mov_Date, "&lt;="&amp;$AA$2))</f>
        <v>0</v>
      </c>
      <c r="O637">
        <f>IFERROR(AVERAGE(L637:N637),"")</f>
        <v>0</v>
      </c>
      <c r="P637">
        <f>IF(O637&gt;=Cfg_HiMove, "Yes", "")</f>
        <v>0</v>
      </c>
      <c r="Q637">
        <f>IF($A637="","", $I637 + IFERROR(O637/30*$H637,0))</f>
        <v>0</v>
      </c>
      <c r="R637">
        <f>IF($A637="","", IF(J637&lt;=$F637, "Yes", ""))</f>
        <v>0</v>
      </c>
      <c r="S637">
        <f>IF(R637="Yes", CEILING(MAX($G637, Q637-J637), $G637), 0)</f>
        <v>0</v>
      </c>
      <c r="T637">
        <f>IFERROR(J637/(O637/30),"")</f>
        <v>0</v>
      </c>
    </row>
    <row r="638" spans="10:20">
      <c r="J638">
        <f>IF($A638="","", SUMIFS(Mov_Qty, Mov_Item, $A638))</f>
        <v>0</v>
      </c>
      <c r="K638">
        <f>IF($A638="","", J638 * $E638)</f>
        <v>0</v>
      </c>
      <c r="L638">
        <f>IF($A638="","", SUMIFS(-Mov_Qty, Mov_Item, $A638, Mov_Type, "Consumption", Mov_Date, "&gt;="&amp;$V$2, Mov_Date, "&lt;="&amp;$W$2))</f>
        <v>0</v>
      </c>
      <c r="M638">
        <f>IF($A638="","", SUMIFS(-Mov_Qty, Mov_Item, $A638, Mov_Type, "Consumption", Mov_Date, "&gt;="&amp;$X$2, Mov_Date, "&lt;="&amp;$Y$2))</f>
        <v>0</v>
      </c>
      <c r="N638">
        <f>IF($A638="","", SUMIFS(-Mov_Qty, Mov_Item, $A638, Mov_Type, "Consumption", Mov_Date, "&gt;="&amp;$Z$2, Mov_Date, "&lt;="&amp;$AA$2))</f>
        <v>0</v>
      </c>
      <c r="O638">
        <f>IFERROR(AVERAGE(L638:N638),"")</f>
        <v>0</v>
      </c>
      <c r="P638">
        <f>IF(O638&gt;=Cfg_HiMove, "Yes", "")</f>
        <v>0</v>
      </c>
      <c r="Q638">
        <f>IF($A638="","", $I638 + IFERROR(O638/30*$H638,0))</f>
        <v>0</v>
      </c>
      <c r="R638">
        <f>IF($A638="","", IF(J638&lt;=$F638, "Yes", ""))</f>
        <v>0</v>
      </c>
      <c r="S638">
        <f>IF(R638="Yes", CEILING(MAX($G638, Q638-J638), $G638), 0)</f>
        <v>0</v>
      </c>
      <c r="T638">
        <f>IFERROR(J638/(O638/30),"")</f>
        <v>0</v>
      </c>
    </row>
    <row r="639" spans="10:20">
      <c r="J639">
        <f>IF($A639="","", SUMIFS(Mov_Qty, Mov_Item, $A639))</f>
        <v>0</v>
      </c>
      <c r="K639">
        <f>IF($A639="","", J639 * $E639)</f>
        <v>0</v>
      </c>
      <c r="L639">
        <f>IF($A639="","", SUMIFS(-Mov_Qty, Mov_Item, $A639, Mov_Type, "Consumption", Mov_Date, "&gt;="&amp;$V$2, Mov_Date, "&lt;="&amp;$W$2))</f>
        <v>0</v>
      </c>
      <c r="M639">
        <f>IF($A639="","", SUMIFS(-Mov_Qty, Mov_Item, $A639, Mov_Type, "Consumption", Mov_Date, "&gt;="&amp;$X$2, Mov_Date, "&lt;="&amp;$Y$2))</f>
        <v>0</v>
      </c>
      <c r="N639">
        <f>IF($A639="","", SUMIFS(-Mov_Qty, Mov_Item, $A639, Mov_Type, "Consumption", Mov_Date, "&gt;="&amp;$Z$2, Mov_Date, "&lt;="&amp;$AA$2))</f>
        <v>0</v>
      </c>
      <c r="O639">
        <f>IFERROR(AVERAGE(L639:N639),"")</f>
        <v>0</v>
      </c>
      <c r="P639">
        <f>IF(O639&gt;=Cfg_HiMove, "Yes", "")</f>
        <v>0</v>
      </c>
      <c r="Q639">
        <f>IF($A639="","", $I639 + IFERROR(O639/30*$H639,0))</f>
        <v>0</v>
      </c>
      <c r="R639">
        <f>IF($A639="","", IF(J639&lt;=$F639, "Yes", ""))</f>
        <v>0</v>
      </c>
      <c r="S639">
        <f>IF(R639="Yes", CEILING(MAX($G639, Q639-J639), $G639), 0)</f>
        <v>0</v>
      </c>
      <c r="T639">
        <f>IFERROR(J639/(O639/30),"")</f>
        <v>0</v>
      </c>
    </row>
    <row r="640" spans="10:20">
      <c r="J640">
        <f>IF($A640="","", SUMIFS(Mov_Qty, Mov_Item, $A640))</f>
        <v>0</v>
      </c>
      <c r="K640">
        <f>IF($A640="","", J640 * $E640)</f>
        <v>0</v>
      </c>
      <c r="L640">
        <f>IF($A640="","", SUMIFS(-Mov_Qty, Mov_Item, $A640, Mov_Type, "Consumption", Mov_Date, "&gt;="&amp;$V$2, Mov_Date, "&lt;="&amp;$W$2))</f>
        <v>0</v>
      </c>
      <c r="M640">
        <f>IF($A640="","", SUMIFS(-Mov_Qty, Mov_Item, $A640, Mov_Type, "Consumption", Mov_Date, "&gt;="&amp;$X$2, Mov_Date, "&lt;="&amp;$Y$2))</f>
        <v>0</v>
      </c>
      <c r="N640">
        <f>IF($A640="","", SUMIFS(-Mov_Qty, Mov_Item, $A640, Mov_Type, "Consumption", Mov_Date, "&gt;="&amp;$Z$2, Mov_Date, "&lt;="&amp;$AA$2))</f>
        <v>0</v>
      </c>
      <c r="O640">
        <f>IFERROR(AVERAGE(L640:N640),"")</f>
        <v>0</v>
      </c>
      <c r="P640">
        <f>IF(O640&gt;=Cfg_HiMove, "Yes", "")</f>
        <v>0</v>
      </c>
      <c r="Q640">
        <f>IF($A640="","", $I640 + IFERROR(O640/30*$H640,0))</f>
        <v>0</v>
      </c>
      <c r="R640">
        <f>IF($A640="","", IF(J640&lt;=$F640, "Yes", ""))</f>
        <v>0</v>
      </c>
      <c r="S640">
        <f>IF(R640="Yes", CEILING(MAX($G640, Q640-J640), $G640), 0)</f>
        <v>0</v>
      </c>
      <c r="T640">
        <f>IFERROR(J640/(O640/30),"")</f>
        <v>0</v>
      </c>
    </row>
    <row r="641" spans="10:20">
      <c r="J641">
        <f>IF($A641="","", SUMIFS(Mov_Qty, Mov_Item, $A641))</f>
        <v>0</v>
      </c>
      <c r="K641">
        <f>IF($A641="","", J641 * $E641)</f>
        <v>0</v>
      </c>
      <c r="L641">
        <f>IF($A641="","", SUMIFS(-Mov_Qty, Mov_Item, $A641, Mov_Type, "Consumption", Mov_Date, "&gt;="&amp;$V$2, Mov_Date, "&lt;="&amp;$W$2))</f>
        <v>0</v>
      </c>
      <c r="M641">
        <f>IF($A641="","", SUMIFS(-Mov_Qty, Mov_Item, $A641, Mov_Type, "Consumption", Mov_Date, "&gt;="&amp;$X$2, Mov_Date, "&lt;="&amp;$Y$2))</f>
        <v>0</v>
      </c>
      <c r="N641">
        <f>IF($A641="","", SUMIFS(-Mov_Qty, Mov_Item, $A641, Mov_Type, "Consumption", Mov_Date, "&gt;="&amp;$Z$2, Mov_Date, "&lt;="&amp;$AA$2))</f>
        <v>0</v>
      </c>
      <c r="O641">
        <f>IFERROR(AVERAGE(L641:N641),"")</f>
        <v>0</v>
      </c>
      <c r="P641">
        <f>IF(O641&gt;=Cfg_HiMove, "Yes", "")</f>
        <v>0</v>
      </c>
      <c r="Q641">
        <f>IF($A641="","", $I641 + IFERROR(O641/30*$H641,0))</f>
        <v>0</v>
      </c>
      <c r="R641">
        <f>IF($A641="","", IF(J641&lt;=$F641, "Yes", ""))</f>
        <v>0</v>
      </c>
      <c r="S641">
        <f>IF(R641="Yes", CEILING(MAX($G641, Q641-J641), $G641), 0)</f>
        <v>0</v>
      </c>
      <c r="T641">
        <f>IFERROR(J641/(O641/30),"")</f>
        <v>0</v>
      </c>
    </row>
    <row r="642" spans="10:20">
      <c r="J642">
        <f>IF($A642="","", SUMIFS(Mov_Qty, Mov_Item, $A642))</f>
        <v>0</v>
      </c>
      <c r="K642">
        <f>IF($A642="","", J642 * $E642)</f>
        <v>0</v>
      </c>
      <c r="L642">
        <f>IF($A642="","", SUMIFS(-Mov_Qty, Mov_Item, $A642, Mov_Type, "Consumption", Mov_Date, "&gt;="&amp;$V$2, Mov_Date, "&lt;="&amp;$W$2))</f>
        <v>0</v>
      </c>
      <c r="M642">
        <f>IF($A642="","", SUMIFS(-Mov_Qty, Mov_Item, $A642, Mov_Type, "Consumption", Mov_Date, "&gt;="&amp;$X$2, Mov_Date, "&lt;="&amp;$Y$2))</f>
        <v>0</v>
      </c>
      <c r="N642">
        <f>IF($A642="","", SUMIFS(-Mov_Qty, Mov_Item, $A642, Mov_Type, "Consumption", Mov_Date, "&gt;="&amp;$Z$2, Mov_Date, "&lt;="&amp;$AA$2))</f>
        <v>0</v>
      </c>
      <c r="O642">
        <f>IFERROR(AVERAGE(L642:N642),"")</f>
        <v>0</v>
      </c>
      <c r="P642">
        <f>IF(O642&gt;=Cfg_HiMove, "Yes", "")</f>
        <v>0</v>
      </c>
      <c r="Q642">
        <f>IF($A642="","", $I642 + IFERROR(O642/30*$H642,0))</f>
        <v>0</v>
      </c>
      <c r="R642">
        <f>IF($A642="","", IF(J642&lt;=$F642, "Yes", ""))</f>
        <v>0</v>
      </c>
      <c r="S642">
        <f>IF(R642="Yes", CEILING(MAX($G642, Q642-J642), $G642), 0)</f>
        <v>0</v>
      </c>
      <c r="T642">
        <f>IFERROR(J642/(O642/30),"")</f>
        <v>0</v>
      </c>
    </row>
    <row r="643" spans="10:20">
      <c r="J643">
        <f>IF($A643="","", SUMIFS(Mov_Qty, Mov_Item, $A643))</f>
        <v>0</v>
      </c>
      <c r="K643">
        <f>IF($A643="","", J643 * $E643)</f>
        <v>0</v>
      </c>
      <c r="L643">
        <f>IF($A643="","", SUMIFS(-Mov_Qty, Mov_Item, $A643, Mov_Type, "Consumption", Mov_Date, "&gt;="&amp;$V$2, Mov_Date, "&lt;="&amp;$W$2))</f>
        <v>0</v>
      </c>
      <c r="M643">
        <f>IF($A643="","", SUMIFS(-Mov_Qty, Mov_Item, $A643, Mov_Type, "Consumption", Mov_Date, "&gt;="&amp;$X$2, Mov_Date, "&lt;="&amp;$Y$2))</f>
        <v>0</v>
      </c>
      <c r="N643">
        <f>IF($A643="","", SUMIFS(-Mov_Qty, Mov_Item, $A643, Mov_Type, "Consumption", Mov_Date, "&gt;="&amp;$Z$2, Mov_Date, "&lt;="&amp;$AA$2))</f>
        <v>0</v>
      </c>
      <c r="O643">
        <f>IFERROR(AVERAGE(L643:N643),"")</f>
        <v>0</v>
      </c>
      <c r="P643">
        <f>IF(O643&gt;=Cfg_HiMove, "Yes", "")</f>
        <v>0</v>
      </c>
      <c r="Q643">
        <f>IF($A643="","", $I643 + IFERROR(O643/30*$H643,0))</f>
        <v>0</v>
      </c>
      <c r="R643">
        <f>IF($A643="","", IF(J643&lt;=$F643, "Yes", ""))</f>
        <v>0</v>
      </c>
      <c r="S643">
        <f>IF(R643="Yes", CEILING(MAX($G643, Q643-J643), $G643), 0)</f>
        <v>0</v>
      </c>
      <c r="T643">
        <f>IFERROR(J643/(O643/30),"")</f>
        <v>0</v>
      </c>
    </row>
    <row r="644" spans="10:20">
      <c r="J644">
        <f>IF($A644="","", SUMIFS(Mov_Qty, Mov_Item, $A644))</f>
        <v>0</v>
      </c>
      <c r="K644">
        <f>IF($A644="","", J644 * $E644)</f>
        <v>0</v>
      </c>
      <c r="L644">
        <f>IF($A644="","", SUMIFS(-Mov_Qty, Mov_Item, $A644, Mov_Type, "Consumption", Mov_Date, "&gt;="&amp;$V$2, Mov_Date, "&lt;="&amp;$W$2))</f>
        <v>0</v>
      </c>
      <c r="M644">
        <f>IF($A644="","", SUMIFS(-Mov_Qty, Mov_Item, $A644, Mov_Type, "Consumption", Mov_Date, "&gt;="&amp;$X$2, Mov_Date, "&lt;="&amp;$Y$2))</f>
        <v>0</v>
      </c>
      <c r="N644">
        <f>IF($A644="","", SUMIFS(-Mov_Qty, Mov_Item, $A644, Mov_Type, "Consumption", Mov_Date, "&gt;="&amp;$Z$2, Mov_Date, "&lt;="&amp;$AA$2))</f>
        <v>0</v>
      </c>
      <c r="O644">
        <f>IFERROR(AVERAGE(L644:N644),"")</f>
        <v>0</v>
      </c>
      <c r="P644">
        <f>IF(O644&gt;=Cfg_HiMove, "Yes", "")</f>
        <v>0</v>
      </c>
      <c r="Q644">
        <f>IF($A644="","", $I644 + IFERROR(O644/30*$H644,0))</f>
        <v>0</v>
      </c>
      <c r="R644">
        <f>IF($A644="","", IF(J644&lt;=$F644, "Yes", ""))</f>
        <v>0</v>
      </c>
      <c r="S644">
        <f>IF(R644="Yes", CEILING(MAX($G644, Q644-J644), $G644), 0)</f>
        <v>0</v>
      </c>
      <c r="T644">
        <f>IFERROR(J644/(O644/30),"")</f>
        <v>0</v>
      </c>
    </row>
    <row r="645" spans="10:20">
      <c r="J645">
        <f>IF($A645="","", SUMIFS(Mov_Qty, Mov_Item, $A645))</f>
        <v>0</v>
      </c>
      <c r="K645">
        <f>IF($A645="","", J645 * $E645)</f>
        <v>0</v>
      </c>
      <c r="L645">
        <f>IF($A645="","", SUMIFS(-Mov_Qty, Mov_Item, $A645, Mov_Type, "Consumption", Mov_Date, "&gt;="&amp;$V$2, Mov_Date, "&lt;="&amp;$W$2))</f>
        <v>0</v>
      </c>
      <c r="M645">
        <f>IF($A645="","", SUMIFS(-Mov_Qty, Mov_Item, $A645, Mov_Type, "Consumption", Mov_Date, "&gt;="&amp;$X$2, Mov_Date, "&lt;="&amp;$Y$2))</f>
        <v>0</v>
      </c>
      <c r="N645">
        <f>IF($A645="","", SUMIFS(-Mov_Qty, Mov_Item, $A645, Mov_Type, "Consumption", Mov_Date, "&gt;="&amp;$Z$2, Mov_Date, "&lt;="&amp;$AA$2))</f>
        <v>0</v>
      </c>
      <c r="O645">
        <f>IFERROR(AVERAGE(L645:N645),"")</f>
        <v>0</v>
      </c>
      <c r="P645">
        <f>IF(O645&gt;=Cfg_HiMove, "Yes", "")</f>
        <v>0</v>
      </c>
      <c r="Q645">
        <f>IF($A645="","", $I645 + IFERROR(O645/30*$H645,0))</f>
        <v>0</v>
      </c>
      <c r="R645">
        <f>IF($A645="","", IF(J645&lt;=$F645, "Yes", ""))</f>
        <v>0</v>
      </c>
      <c r="S645">
        <f>IF(R645="Yes", CEILING(MAX($G645, Q645-J645), $G645), 0)</f>
        <v>0</v>
      </c>
      <c r="T645">
        <f>IFERROR(J645/(O645/30),"")</f>
        <v>0</v>
      </c>
    </row>
    <row r="646" spans="10:20">
      <c r="J646">
        <f>IF($A646="","", SUMIFS(Mov_Qty, Mov_Item, $A646))</f>
        <v>0</v>
      </c>
      <c r="K646">
        <f>IF($A646="","", J646 * $E646)</f>
        <v>0</v>
      </c>
      <c r="L646">
        <f>IF($A646="","", SUMIFS(-Mov_Qty, Mov_Item, $A646, Mov_Type, "Consumption", Mov_Date, "&gt;="&amp;$V$2, Mov_Date, "&lt;="&amp;$W$2))</f>
        <v>0</v>
      </c>
      <c r="M646">
        <f>IF($A646="","", SUMIFS(-Mov_Qty, Mov_Item, $A646, Mov_Type, "Consumption", Mov_Date, "&gt;="&amp;$X$2, Mov_Date, "&lt;="&amp;$Y$2))</f>
        <v>0</v>
      </c>
      <c r="N646">
        <f>IF($A646="","", SUMIFS(-Mov_Qty, Mov_Item, $A646, Mov_Type, "Consumption", Mov_Date, "&gt;="&amp;$Z$2, Mov_Date, "&lt;="&amp;$AA$2))</f>
        <v>0</v>
      </c>
      <c r="O646">
        <f>IFERROR(AVERAGE(L646:N646),"")</f>
        <v>0</v>
      </c>
      <c r="P646">
        <f>IF(O646&gt;=Cfg_HiMove, "Yes", "")</f>
        <v>0</v>
      </c>
      <c r="Q646">
        <f>IF($A646="","", $I646 + IFERROR(O646/30*$H646,0))</f>
        <v>0</v>
      </c>
      <c r="R646">
        <f>IF($A646="","", IF(J646&lt;=$F646, "Yes", ""))</f>
        <v>0</v>
      </c>
      <c r="S646">
        <f>IF(R646="Yes", CEILING(MAX($G646, Q646-J646), $G646), 0)</f>
        <v>0</v>
      </c>
      <c r="T646">
        <f>IFERROR(J646/(O646/30),"")</f>
        <v>0</v>
      </c>
    </row>
    <row r="647" spans="10:20">
      <c r="J647">
        <f>IF($A647="","", SUMIFS(Mov_Qty, Mov_Item, $A647))</f>
        <v>0</v>
      </c>
      <c r="K647">
        <f>IF($A647="","", J647 * $E647)</f>
        <v>0</v>
      </c>
      <c r="L647">
        <f>IF($A647="","", SUMIFS(-Mov_Qty, Mov_Item, $A647, Mov_Type, "Consumption", Mov_Date, "&gt;="&amp;$V$2, Mov_Date, "&lt;="&amp;$W$2))</f>
        <v>0</v>
      </c>
      <c r="M647">
        <f>IF($A647="","", SUMIFS(-Mov_Qty, Mov_Item, $A647, Mov_Type, "Consumption", Mov_Date, "&gt;="&amp;$X$2, Mov_Date, "&lt;="&amp;$Y$2))</f>
        <v>0</v>
      </c>
      <c r="N647">
        <f>IF($A647="","", SUMIFS(-Mov_Qty, Mov_Item, $A647, Mov_Type, "Consumption", Mov_Date, "&gt;="&amp;$Z$2, Mov_Date, "&lt;="&amp;$AA$2))</f>
        <v>0</v>
      </c>
      <c r="O647">
        <f>IFERROR(AVERAGE(L647:N647),"")</f>
        <v>0</v>
      </c>
      <c r="P647">
        <f>IF(O647&gt;=Cfg_HiMove, "Yes", "")</f>
        <v>0</v>
      </c>
      <c r="Q647">
        <f>IF($A647="","", $I647 + IFERROR(O647/30*$H647,0))</f>
        <v>0</v>
      </c>
      <c r="R647">
        <f>IF($A647="","", IF(J647&lt;=$F647, "Yes", ""))</f>
        <v>0</v>
      </c>
      <c r="S647">
        <f>IF(R647="Yes", CEILING(MAX($G647, Q647-J647), $G647), 0)</f>
        <v>0</v>
      </c>
      <c r="T647">
        <f>IFERROR(J647/(O647/30),"")</f>
        <v>0</v>
      </c>
    </row>
    <row r="648" spans="10:20">
      <c r="J648">
        <f>IF($A648="","", SUMIFS(Mov_Qty, Mov_Item, $A648))</f>
        <v>0</v>
      </c>
      <c r="K648">
        <f>IF($A648="","", J648 * $E648)</f>
        <v>0</v>
      </c>
      <c r="L648">
        <f>IF($A648="","", SUMIFS(-Mov_Qty, Mov_Item, $A648, Mov_Type, "Consumption", Mov_Date, "&gt;="&amp;$V$2, Mov_Date, "&lt;="&amp;$W$2))</f>
        <v>0</v>
      </c>
      <c r="M648">
        <f>IF($A648="","", SUMIFS(-Mov_Qty, Mov_Item, $A648, Mov_Type, "Consumption", Mov_Date, "&gt;="&amp;$X$2, Mov_Date, "&lt;="&amp;$Y$2))</f>
        <v>0</v>
      </c>
      <c r="N648">
        <f>IF($A648="","", SUMIFS(-Mov_Qty, Mov_Item, $A648, Mov_Type, "Consumption", Mov_Date, "&gt;="&amp;$Z$2, Mov_Date, "&lt;="&amp;$AA$2))</f>
        <v>0</v>
      </c>
      <c r="O648">
        <f>IFERROR(AVERAGE(L648:N648),"")</f>
        <v>0</v>
      </c>
      <c r="P648">
        <f>IF(O648&gt;=Cfg_HiMove, "Yes", "")</f>
        <v>0</v>
      </c>
      <c r="Q648">
        <f>IF($A648="","", $I648 + IFERROR(O648/30*$H648,0))</f>
        <v>0</v>
      </c>
      <c r="R648">
        <f>IF($A648="","", IF(J648&lt;=$F648, "Yes", ""))</f>
        <v>0</v>
      </c>
      <c r="S648">
        <f>IF(R648="Yes", CEILING(MAX($G648, Q648-J648), $G648), 0)</f>
        <v>0</v>
      </c>
      <c r="T648">
        <f>IFERROR(J648/(O648/30),"")</f>
        <v>0</v>
      </c>
    </row>
    <row r="649" spans="10:20">
      <c r="J649">
        <f>IF($A649="","", SUMIFS(Mov_Qty, Mov_Item, $A649))</f>
        <v>0</v>
      </c>
      <c r="K649">
        <f>IF($A649="","", J649 * $E649)</f>
        <v>0</v>
      </c>
      <c r="L649">
        <f>IF($A649="","", SUMIFS(-Mov_Qty, Mov_Item, $A649, Mov_Type, "Consumption", Mov_Date, "&gt;="&amp;$V$2, Mov_Date, "&lt;="&amp;$W$2))</f>
        <v>0</v>
      </c>
      <c r="M649">
        <f>IF($A649="","", SUMIFS(-Mov_Qty, Mov_Item, $A649, Mov_Type, "Consumption", Mov_Date, "&gt;="&amp;$X$2, Mov_Date, "&lt;="&amp;$Y$2))</f>
        <v>0</v>
      </c>
      <c r="N649">
        <f>IF($A649="","", SUMIFS(-Mov_Qty, Mov_Item, $A649, Mov_Type, "Consumption", Mov_Date, "&gt;="&amp;$Z$2, Mov_Date, "&lt;="&amp;$AA$2))</f>
        <v>0</v>
      </c>
      <c r="O649">
        <f>IFERROR(AVERAGE(L649:N649),"")</f>
        <v>0</v>
      </c>
      <c r="P649">
        <f>IF(O649&gt;=Cfg_HiMove, "Yes", "")</f>
        <v>0</v>
      </c>
      <c r="Q649">
        <f>IF($A649="","", $I649 + IFERROR(O649/30*$H649,0))</f>
        <v>0</v>
      </c>
      <c r="R649">
        <f>IF($A649="","", IF(J649&lt;=$F649, "Yes", ""))</f>
        <v>0</v>
      </c>
      <c r="S649">
        <f>IF(R649="Yes", CEILING(MAX($G649, Q649-J649), $G649), 0)</f>
        <v>0</v>
      </c>
      <c r="T649">
        <f>IFERROR(J649/(O649/30),"")</f>
        <v>0</v>
      </c>
    </row>
    <row r="650" spans="10:20">
      <c r="J650">
        <f>IF($A650="","", SUMIFS(Mov_Qty, Mov_Item, $A650))</f>
        <v>0</v>
      </c>
      <c r="K650">
        <f>IF($A650="","", J650 * $E650)</f>
        <v>0</v>
      </c>
      <c r="L650">
        <f>IF($A650="","", SUMIFS(-Mov_Qty, Mov_Item, $A650, Mov_Type, "Consumption", Mov_Date, "&gt;="&amp;$V$2, Mov_Date, "&lt;="&amp;$W$2))</f>
        <v>0</v>
      </c>
      <c r="M650">
        <f>IF($A650="","", SUMIFS(-Mov_Qty, Mov_Item, $A650, Mov_Type, "Consumption", Mov_Date, "&gt;="&amp;$X$2, Mov_Date, "&lt;="&amp;$Y$2))</f>
        <v>0</v>
      </c>
      <c r="N650">
        <f>IF($A650="","", SUMIFS(-Mov_Qty, Mov_Item, $A650, Mov_Type, "Consumption", Mov_Date, "&gt;="&amp;$Z$2, Mov_Date, "&lt;="&amp;$AA$2))</f>
        <v>0</v>
      </c>
      <c r="O650">
        <f>IFERROR(AVERAGE(L650:N650),"")</f>
        <v>0</v>
      </c>
      <c r="P650">
        <f>IF(O650&gt;=Cfg_HiMove, "Yes", "")</f>
        <v>0</v>
      </c>
      <c r="Q650">
        <f>IF($A650="","", $I650 + IFERROR(O650/30*$H650,0))</f>
        <v>0</v>
      </c>
      <c r="R650">
        <f>IF($A650="","", IF(J650&lt;=$F650, "Yes", ""))</f>
        <v>0</v>
      </c>
      <c r="S650">
        <f>IF(R650="Yes", CEILING(MAX($G650, Q650-J650), $G650), 0)</f>
        <v>0</v>
      </c>
      <c r="T650">
        <f>IFERROR(J650/(O650/30),"")</f>
        <v>0</v>
      </c>
    </row>
    <row r="651" spans="10:20">
      <c r="J651">
        <f>IF($A651="","", SUMIFS(Mov_Qty, Mov_Item, $A651))</f>
        <v>0</v>
      </c>
      <c r="K651">
        <f>IF($A651="","", J651 * $E651)</f>
        <v>0</v>
      </c>
      <c r="L651">
        <f>IF($A651="","", SUMIFS(-Mov_Qty, Mov_Item, $A651, Mov_Type, "Consumption", Mov_Date, "&gt;="&amp;$V$2, Mov_Date, "&lt;="&amp;$W$2))</f>
        <v>0</v>
      </c>
      <c r="M651">
        <f>IF($A651="","", SUMIFS(-Mov_Qty, Mov_Item, $A651, Mov_Type, "Consumption", Mov_Date, "&gt;="&amp;$X$2, Mov_Date, "&lt;="&amp;$Y$2))</f>
        <v>0</v>
      </c>
      <c r="N651">
        <f>IF($A651="","", SUMIFS(-Mov_Qty, Mov_Item, $A651, Mov_Type, "Consumption", Mov_Date, "&gt;="&amp;$Z$2, Mov_Date, "&lt;="&amp;$AA$2))</f>
        <v>0</v>
      </c>
      <c r="O651">
        <f>IFERROR(AVERAGE(L651:N651),"")</f>
        <v>0</v>
      </c>
      <c r="P651">
        <f>IF(O651&gt;=Cfg_HiMove, "Yes", "")</f>
        <v>0</v>
      </c>
      <c r="Q651">
        <f>IF($A651="","", $I651 + IFERROR(O651/30*$H651,0))</f>
        <v>0</v>
      </c>
      <c r="R651">
        <f>IF($A651="","", IF(J651&lt;=$F651, "Yes", ""))</f>
        <v>0</v>
      </c>
      <c r="S651">
        <f>IF(R651="Yes", CEILING(MAX($G651, Q651-J651), $G651), 0)</f>
        <v>0</v>
      </c>
      <c r="T651">
        <f>IFERROR(J651/(O651/30),"")</f>
        <v>0</v>
      </c>
    </row>
    <row r="652" spans="10:20">
      <c r="J652">
        <f>IF($A652="","", SUMIFS(Mov_Qty, Mov_Item, $A652))</f>
        <v>0</v>
      </c>
      <c r="K652">
        <f>IF($A652="","", J652 * $E652)</f>
        <v>0</v>
      </c>
      <c r="L652">
        <f>IF($A652="","", SUMIFS(-Mov_Qty, Mov_Item, $A652, Mov_Type, "Consumption", Mov_Date, "&gt;="&amp;$V$2, Mov_Date, "&lt;="&amp;$W$2))</f>
        <v>0</v>
      </c>
      <c r="M652">
        <f>IF($A652="","", SUMIFS(-Mov_Qty, Mov_Item, $A652, Mov_Type, "Consumption", Mov_Date, "&gt;="&amp;$X$2, Mov_Date, "&lt;="&amp;$Y$2))</f>
        <v>0</v>
      </c>
      <c r="N652">
        <f>IF($A652="","", SUMIFS(-Mov_Qty, Mov_Item, $A652, Mov_Type, "Consumption", Mov_Date, "&gt;="&amp;$Z$2, Mov_Date, "&lt;="&amp;$AA$2))</f>
        <v>0</v>
      </c>
      <c r="O652">
        <f>IFERROR(AVERAGE(L652:N652),"")</f>
        <v>0</v>
      </c>
      <c r="P652">
        <f>IF(O652&gt;=Cfg_HiMove, "Yes", "")</f>
        <v>0</v>
      </c>
      <c r="Q652">
        <f>IF($A652="","", $I652 + IFERROR(O652/30*$H652,0))</f>
        <v>0</v>
      </c>
      <c r="R652">
        <f>IF($A652="","", IF(J652&lt;=$F652, "Yes", ""))</f>
        <v>0</v>
      </c>
      <c r="S652">
        <f>IF(R652="Yes", CEILING(MAX($G652, Q652-J652), $G652), 0)</f>
        <v>0</v>
      </c>
      <c r="T652">
        <f>IFERROR(J652/(O652/30),"")</f>
        <v>0</v>
      </c>
    </row>
    <row r="653" spans="10:20">
      <c r="J653">
        <f>IF($A653="","", SUMIFS(Mov_Qty, Mov_Item, $A653))</f>
        <v>0</v>
      </c>
      <c r="K653">
        <f>IF($A653="","", J653 * $E653)</f>
        <v>0</v>
      </c>
      <c r="L653">
        <f>IF($A653="","", SUMIFS(-Mov_Qty, Mov_Item, $A653, Mov_Type, "Consumption", Mov_Date, "&gt;="&amp;$V$2, Mov_Date, "&lt;="&amp;$W$2))</f>
        <v>0</v>
      </c>
      <c r="M653">
        <f>IF($A653="","", SUMIFS(-Mov_Qty, Mov_Item, $A653, Mov_Type, "Consumption", Mov_Date, "&gt;="&amp;$X$2, Mov_Date, "&lt;="&amp;$Y$2))</f>
        <v>0</v>
      </c>
      <c r="N653">
        <f>IF($A653="","", SUMIFS(-Mov_Qty, Mov_Item, $A653, Mov_Type, "Consumption", Mov_Date, "&gt;="&amp;$Z$2, Mov_Date, "&lt;="&amp;$AA$2))</f>
        <v>0</v>
      </c>
      <c r="O653">
        <f>IFERROR(AVERAGE(L653:N653),"")</f>
        <v>0</v>
      </c>
      <c r="P653">
        <f>IF(O653&gt;=Cfg_HiMove, "Yes", "")</f>
        <v>0</v>
      </c>
      <c r="Q653">
        <f>IF($A653="","", $I653 + IFERROR(O653/30*$H653,0))</f>
        <v>0</v>
      </c>
      <c r="R653">
        <f>IF($A653="","", IF(J653&lt;=$F653, "Yes", ""))</f>
        <v>0</v>
      </c>
      <c r="S653">
        <f>IF(R653="Yes", CEILING(MAX($G653, Q653-J653), $G653), 0)</f>
        <v>0</v>
      </c>
      <c r="T653">
        <f>IFERROR(J653/(O653/30),"")</f>
        <v>0</v>
      </c>
    </row>
    <row r="654" spans="10:20">
      <c r="J654">
        <f>IF($A654="","", SUMIFS(Mov_Qty, Mov_Item, $A654))</f>
        <v>0</v>
      </c>
      <c r="K654">
        <f>IF($A654="","", J654 * $E654)</f>
        <v>0</v>
      </c>
      <c r="L654">
        <f>IF($A654="","", SUMIFS(-Mov_Qty, Mov_Item, $A654, Mov_Type, "Consumption", Mov_Date, "&gt;="&amp;$V$2, Mov_Date, "&lt;="&amp;$W$2))</f>
        <v>0</v>
      </c>
      <c r="M654">
        <f>IF($A654="","", SUMIFS(-Mov_Qty, Mov_Item, $A654, Mov_Type, "Consumption", Mov_Date, "&gt;="&amp;$X$2, Mov_Date, "&lt;="&amp;$Y$2))</f>
        <v>0</v>
      </c>
      <c r="N654">
        <f>IF($A654="","", SUMIFS(-Mov_Qty, Mov_Item, $A654, Mov_Type, "Consumption", Mov_Date, "&gt;="&amp;$Z$2, Mov_Date, "&lt;="&amp;$AA$2))</f>
        <v>0</v>
      </c>
      <c r="O654">
        <f>IFERROR(AVERAGE(L654:N654),"")</f>
        <v>0</v>
      </c>
      <c r="P654">
        <f>IF(O654&gt;=Cfg_HiMove, "Yes", "")</f>
        <v>0</v>
      </c>
      <c r="Q654">
        <f>IF($A654="","", $I654 + IFERROR(O654/30*$H654,0))</f>
        <v>0</v>
      </c>
      <c r="R654">
        <f>IF($A654="","", IF(J654&lt;=$F654, "Yes", ""))</f>
        <v>0</v>
      </c>
      <c r="S654">
        <f>IF(R654="Yes", CEILING(MAX($G654, Q654-J654), $G654), 0)</f>
        <v>0</v>
      </c>
      <c r="T654">
        <f>IFERROR(J654/(O654/30),"")</f>
        <v>0</v>
      </c>
    </row>
    <row r="655" spans="10:20">
      <c r="J655">
        <f>IF($A655="","", SUMIFS(Mov_Qty, Mov_Item, $A655))</f>
        <v>0</v>
      </c>
      <c r="K655">
        <f>IF($A655="","", J655 * $E655)</f>
        <v>0</v>
      </c>
      <c r="L655">
        <f>IF($A655="","", SUMIFS(-Mov_Qty, Mov_Item, $A655, Mov_Type, "Consumption", Mov_Date, "&gt;="&amp;$V$2, Mov_Date, "&lt;="&amp;$W$2))</f>
        <v>0</v>
      </c>
      <c r="M655">
        <f>IF($A655="","", SUMIFS(-Mov_Qty, Mov_Item, $A655, Mov_Type, "Consumption", Mov_Date, "&gt;="&amp;$X$2, Mov_Date, "&lt;="&amp;$Y$2))</f>
        <v>0</v>
      </c>
      <c r="N655">
        <f>IF($A655="","", SUMIFS(-Mov_Qty, Mov_Item, $A655, Mov_Type, "Consumption", Mov_Date, "&gt;="&amp;$Z$2, Mov_Date, "&lt;="&amp;$AA$2))</f>
        <v>0</v>
      </c>
      <c r="O655">
        <f>IFERROR(AVERAGE(L655:N655),"")</f>
        <v>0</v>
      </c>
      <c r="P655">
        <f>IF(O655&gt;=Cfg_HiMove, "Yes", "")</f>
        <v>0</v>
      </c>
      <c r="Q655">
        <f>IF($A655="","", $I655 + IFERROR(O655/30*$H655,0))</f>
        <v>0</v>
      </c>
      <c r="R655">
        <f>IF($A655="","", IF(J655&lt;=$F655, "Yes", ""))</f>
        <v>0</v>
      </c>
      <c r="S655">
        <f>IF(R655="Yes", CEILING(MAX($G655, Q655-J655), $G655), 0)</f>
        <v>0</v>
      </c>
      <c r="T655">
        <f>IFERROR(J655/(O655/30),"")</f>
        <v>0</v>
      </c>
    </row>
    <row r="656" spans="10:20">
      <c r="J656">
        <f>IF($A656="","", SUMIFS(Mov_Qty, Mov_Item, $A656))</f>
        <v>0</v>
      </c>
      <c r="K656">
        <f>IF($A656="","", J656 * $E656)</f>
        <v>0</v>
      </c>
      <c r="L656">
        <f>IF($A656="","", SUMIFS(-Mov_Qty, Mov_Item, $A656, Mov_Type, "Consumption", Mov_Date, "&gt;="&amp;$V$2, Mov_Date, "&lt;="&amp;$W$2))</f>
        <v>0</v>
      </c>
      <c r="M656">
        <f>IF($A656="","", SUMIFS(-Mov_Qty, Mov_Item, $A656, Mov_Type, "Consumption", Mov_Date, "&gt;="&amp;$X$2, Mov_Date, "&lt;="&amp;$Y$2))</f>
        <v>0</v>
      </c>
      <c r="N656">
        <f>IF($A656="","", SUMIFS(-Mov_Qty, Mov_Item, $A656, Mov_Type, "Consumption", Mov_Date, "&gt;="&amp;$Z$2, Mov_Date, "&lt;="&amp;$AA$2))</f>
        <v>0</v>
      </c>
      <c r="O656">
        <f>IFERROR(AVERAGE(L656:N656),"")</f>
        <v>0</v>
      </c>
      <c r="P656">
        <f>IF(O656&gt;=Cfg_HiMove, "Yes", "")</f>
        <v>0</v>
      </c>
      <c r="Q656">
        <f>IF($A656="","", $I656 + IFERROR(O656/30*$H656,0))</f>
        <v>0</v>
      </c>
      <c r="R656">
        <f>IF($A656="","", IF(J656&lt;=$F656, "Yes", ""))</f>
        <v>0</v>
      </c>
      <c r="S656">
        <f>IF(R656="Yes", CEILING(MAX($G656, Q656-J656), $G656), 0)</f>
        <v>0</v>
      </c>
      <c r="T656">
        <f>IFERROR(J656/(O656/30),"")</f>
        <v>0</v>
      </c>
    </row>
    <row r="657" spans="10:20">
      <c r="J657">
        <f>IF($A657="","", SUMIFS(Mov_Qty, Mov_Item, $A657))</f>
        <v>0</v>
      </c>
      <c r="K657">
        <f>IF($A657="","", J657 * $E657)</f>
        <v>0</v>
      </c>
      <c r="L657">
        <f>IF($A657="","", SUMIFS(-Mov_Qty, Mov_Item, $A657, Mov_Type, "Consumption", Mov_Date, "&gt;="&amp;$V$2, Mov_Date, "&lt;="&amp;$W$2))</f>
        <v>0</v>
      </c>
      <c r="M657">
        <f>IF($A657="","", SUMIFS(-Mov_Qty, Mov_Item, $A657, Mov_Type, "Consumption", Mov_Date, "&gt;="&amp;$X$2, Mov_Date, "&lt;="&amp;$Y$2))</f>
        <v>0</v>
      </c>
      <c r="N657">
        <f>IF($A657="","", SUMIFS(-Mov_Qty, Mov_Item, $A657, Mov_Type, "Consumption", Mov_Date, "&gt;="&amp;$Z$2, Mov_Date, "&lt;="&amp;$AA$2))</f>
        <v>0</v>
      </c>
      <c r="O657">
        <f>IFERROR(AVERAGE(L657:N657),"")</f>
        <v>0</v>
      </c>
      <c r="P657">
        <f>IF(O657&gt;=Cfg_HiMove, "Yes", "")</f>
        <v>0</v>
      </c>
      <c r="Q657">
        <f>IF($A657="","", $I657 + IFERROR(O657/30*$H657,0))</f>
        <v>0</v>
      </c>
      <c r="R657">
        <f>IF($A657="","", IF(J657&lt;=$F657, "Yes", ""))</f>
        <v>0</v>
      </c>
      <c r="S657">
        <f>IF(R657="Yes", CEILING(MAX($G657, Q657-J657), $G657), 0)</f>
        <v>0</v>
      </c>
      <c r="T657">
        <f>IFERROR(J657/(O657/30),"")</f>
        <v>0</v>
      </c>
    </row>
    <row r="658" spans="10:20">
      <c r="J658">
        <f>IF($A658="","", SUMIFS(Mov_Qty, Mov_Item, $A658))</f>
        <v>0</v>
      </c>
      <c r="K658">
        <f>IF($A658="","", J658 * $E658)</f>
        <v>0</v>
      </c>
      <c r="L658">
        <f>IF($A658="","", SUMIFS(-Mov_Qty, Mov_Item, $A658, Mov_Type, "Consumption", Mov_Date, "&gt;="&amp;$V$2, Mov_Date, "&lt;="&amp;$W$2))</f>
        <v>0</v>
      </c>
      <c r="M658">
        <f>IF($A658="","", SUMIFS(-Mov_Qty, Mov_Item, $A658, Mov_Type, "Consumption", Mov_Date, "&gt;="&amp;$X$2, Mov_Date, "&lt;="&amp;$Y$2))</f>
        <v>0</v>
      </c>
      <c r="N658">
        <f>IF($A658="","", SUMIFS(-Mov_Qty, Mov_Item, $A658, Mov_Type, "Consumption", Mov_Date, "&gt;="&amp;$Z$2, Mov_Date, "&lt;="&amp;$AA$2))</f>
        <v>0</v>
      </c>
      <c r="O658">
        <f>IFERROR(AVERAGE(L658:N658),"")</f>
        <v>0</v>
      </c>
      <c r="P658">
        <f>IF(O658&gt;=Cfg_HiMove, "Yes", "")</f>
        <v>0</v>
      </c>
      <c r="Q658">
        <f>IF($A658="","", $I658 + IFERROR(O658/30*$H658,0))</f>
        <v>0</v>
      </c>
      <c r="R658">
        <f>IF($A658="","", IF(J658&lt;=$F658, "Yes", ""))</f>
        <v>0</v>
      </c>
      <c r="S658">
        <f>IF(R658="Yes", CEILING(MAX($G658, Q658-J658), $G658), 0)</f>
        <v>0</v>
      </c>
      <c r="T658">
        <f>IFERROR(J658/(O658/30),"")</f>
        <v>0</v>
      </c>
    </row>
    <row r="659" spans="10:20">
      <c r="J659">
        <f>IF($A659="","", SUMIFS(Mov_Qty, Mov_Item, $A659))</f>
        <v>0</v>
      </c>
      <c r="K659">
        <f>IF($A659="","", J659 * $E659)</f>
        <v>0</v>
      </c>
      <c r="L659">
        <f>IF($A659="","", SUMIFS(-Mov_Qty, Mov_Item, $A659, Mov_Type, "Consumption", Mov_Date, "&gt;="&amp;$V$2, Mov_Date, "&lt;="&amp;$W$2))</f>
        <v>0</v>
      </c>
      <c r="M659">
        <f>IF($A659="","", SUMIFS(-Mov_Qty, Mov_Item, $A659, Mov_Type, "Consumption", Mov_Date, "&gt;="&amp;$X$2, Mov_Date, "&lt;="&amp;$Y$2))</f>
        <v>0</v>
      </c>
      <c r="N659">
        <f>IF($A659="","", SUMIFS(-Mov_Qty, Mov_Item, $A659, Mov_Type, "Consumption", Mov_Date, "&gt;="&amp;$Z$2, Mov_Date, "&lt;="&amp;$AA$2))</f>
        <v>0</v>
      </c>
      <c r="O659">
        <f>IFERROR(AVERAGE(L659:N659),"")</f>
        <v>0</v>
      </c>
      <c r="P659">
        <f>IF(O659&gt;=Cfg_HiMove, "Yes", "")</f>
        <v>0</v>
      </c>
      <c r="Q659">
        <f>IF($A659="","", $I659 + IFERROR(O659/30*$H659,0))</f>
        <v>0</v>
      </c>
      <c r="R659">
        <f>IF($A659="","", IF(J659&lt;=$F659, "Yes", ""))</f>
        <v>0</v>
      </c>
      <c r="S659">
        <f>IF(R659="Yes", CEILING(MAX($G659, Q659-J659), $G659), 0)</f>
        <v>0</v>
      </c>
      <c r="T659">
        <f>IFERROR(J659/(O659/30),"")</f>
        <v>0</v>
      </c>
    </row>
    <row r="660" spans="10:20">
      <c r="J660">
        <f>IF($A660="","", SUMIFS(Mov_Qty, Mov_Item, $A660))</f>
        <v>0</v>
      </c>
      <c r="K660">
        <f>IF($A660="","", J660 * $E660)</f>
        <v>0</v>
      </c>
      <c r="L660">
        <f>IF($A660="","", SUMIFS(-Mov_Qty, Mov_Item, $A660, Mov_Type, "Consumption", Mov_Date, "&gt;="&amp;$V$2, Mov_Date, "&lt;="&amp;$W$2))</f>
        <v>0</v>
      </c>
      <c r="M660">
        <f>IF($A660="","", SUMIFS(-Mov_Qty, Mov_Item, $A660, Mov_Type, "Consumption", Mov_Date, "&gt;="&amp;$X$2, Mov_Date, "&lt;="&amp;$Y$2))</f>
        <v>0</v>
      </c>
      <c r="N660">
        <f>IF($A660="","", SUMIFS(-Mov_Qty, Mov_Item, $A660, Mov_Type, "Consumption", Mov_Date, "&gt;="&amp;$Z$2, Mov_Date, "&lt;="&amp;$AA$2))</f>
        <v>0</v>
      </c>
      <c r="O660">
        <f>IFERROR(AVERAGE(L660:N660),"")</f>
        <v>0</v>
      </c>
      <c r="P660">
        <f>IF(O660&gt;=Cfg_HiMove, "Yes", "")</f>
        <v>0</v>
      </c>
      <c r="Q660">
        <f>IF($A660="","", $I660 + IFERROR(O660/30*$H660,0))</f>
        <v>0</v>
      </c>
      <c r="R660">
        <f>IF($A660="","", IF(J660&lt;=$F660, "Yes", ""))</f>
        <v>0</v>
      </c>
      <c r="S660">
        <f>IF(R660="Yes", CEILING(MAX($G660, Q660-J660), $G660), 0)</f>
        <v>0</v>
      </c>
      <c r="T660">
        <f>IFERROR(J660/(O660/30),"")</f>
        <v>0</v>
      </c>
    </row>
    <row r="661" spans="10:20">
      <c r="J661">
        <f>IF($A661="","", SUMIFS(Mov_Qty, Mov_Item, $A661))</f>
        <v>0</v>
      </c>
      <c r="K661">
        <f>IF($A661="","", J661 * $E661)</f>
        <v>0</v>
      </c>
      <c r="L661">
        <f>IF($A661="","", SUMIFS(-Mov_Qty, Mov_Item, $A661, Mov_Type, "Consumption", Mov_Date, "&gt;="&amp;$V$2, Mov_Date, "&lt;="&amp;$W$2))</f>
        <v>0</v>
      </c>
      <c r="M661">
        <f>IF($A661="","", SUMIFS(-Mov_Qty, Mov_Item, $A661, Mov_Type, "Consumption", Mov_Date, "&gt;="&amp;$X$2, Mov_Date, "&lt;="&amp;$Y$2))</f>
        <v>0</v>
      </c>
      <c r="N661">
        <f>IF($A661="","", SUMIFS(-Mov_Qty, Mov_Item, $A661, Mov_Type, "Consumption", Mov_Date, "&gt;="&amp;$Z$2, Mov_Date, "&lt;="&amp;$AA$2))</f>
        <v>0</v>
      </c>
      <c r="O661">
        <f>IFERROR(AVERAGE(L661:N661),"")</f>
        <v>0</v>
      </c>
      <c r="P661">
        <f>IF(O661&gt;=Cfg_HiMove, "Yes", "")</f>
        <v>0</v>
      </c>
      <c r="Q661">
        <f>IF($A661="","", $I661 + IFERROR(O661/30*$H661,0))</f>
        <v>0</v>
      </c>
      <c r="R661">
        <f>IF($A661="","", IF(J661&lt;=$F661, "Yes", ""))</f>
        <v>0</v>
      </c>
      <c r="S661">
        <f>IF(R661="Yes", CEILING(MAX($G661, Q661-J661), $G661), 0)</f>
        <v>0</v>
      </c>
      <c r="T661">
        <f>IFERROR(J661/(O661/30),"")</f>
        <v>0</v>
      </c>
    </row>
    <row r="662" spans="10:20">
      <c r="J662">
        <f>IF($A662="","", SUMIFS(Mov_Qty, Mov_Item, $A662))</f>
        <v>0</v>
      </c>
      <c r="K662">
        <f>IF($A662="","", J662 * $E662)</f>
        <v>0</v>
      </c>
      <c r="L662">
        <f>IF($A662="","", SUMIFS(-Mov_Qty, Mov_Item, $A662, Mov_Type, "Consumption", Mov_Date, "&gt;="&amp;$V$2, Mov_Date, "&lt;="&amp;$W$2))</f>
        <v>0</v>
      </c>
      <c r="M662">
        <f>IF($A662="","", SUMIFS(-Mov_Qty, Mov_Item, $A662, Mov_Type, "Consumption", Mov_Date, "&gt;="&amp;$X$2, Mov_Date, "&lt;="&amp;$Y$2))</f>
        <v>0</v>
      </c>
      <c r="N662">
        <f>IF($A662="","", SUMIFS(-Mov_Qty, Mov_Item, $A662, Mov_Type, "Consumption", Mov_Date, "&gt;="&amp;$Z$2, Mov_Date, "&lt;="&amp;$AA$2))</f>
        <v>0</v>
      </c>
      <c r="O662">
        <f>IFERROR(AVERAGE(L662:N662),"")</f>
        <v>0</v>
      </c>
      <c r="P662">
        <f>IF(O662&gt;=Cfg_HiMove, "Yes", "")</f>
        <v>0</v>
      </c>
      <c r="Q662">
        <f>IF($A662="","", $I662 + IFERROR(O662/30*$H662,0))</f>
        <v>0</v>
      </c>
      <c r="R662">
        <f>IF($A662="","", IF(J662&lt;=$F662, "Yes", ""))</f>
        <v>0</v>
      </c>
      <c r="S662">
        <f>IF(R662="Yes", CEILING(MAX($G662, Q662-J662), $G662), 0)</f>
        <v>0</v>
      </c>
      <c r="T662">
        <f>IFERROR(J662/(O662/30),"")</f>
        <v>0</v>
      </c>
    </row>
    <row r="663" spans="10:20">
      <c r="J663">
        <f>IF($A663="","", SUMIFS(Mov_Qty, Mov_Item, $A663))</f>
        <v>0</v>
      </c>
      <c r="K663">
        <f>IF($A663="","", J663 * $E663)</f>
        <v>0</v>
      </c>
      <c r="L663">
        <f>IF($A663="","", SUMIFS(-Mov_Qty, Mov_Item, $A663, Mov_Type, "Consumption", Mov_Date, "&gt;="&amp;$V$2, Mov_Date, "&lt;="&amp;$W$2))</f>
        <v>0</v>
      </c>
      <c r="M663">
        <f>IF($A663="","", SUMIFS(-Mov_Qty, Mov_Item, $A663, Mov_Type, "Consumption", Mov_Date, "&gt;="&amp;$X$2, Mov_Date, "&lt;="&amp;$Y$2))</f>
        <v>0</v>
      </c>
      <c r="N663">
        <f>IF($A663="","", SUMIFS(-Mov_Qty, Mov_Item, $A663, Mov_Type, "Consumption", Mov_Date, "&gt;="&amp;$Z$2, Mov_Date, "&lt;="&amp;$AA$2))</f>
        <v>0</v>
      </c>
      <c r="O663">
        <f>IFERROR(AVERAGE(L663:N663),"")</f>
        <v>0</v>
      </c>
      <c r="P663">
        <f>IF(O663&gt;=Cfg_HiMove, "Yes", "")</f>
        <v>0</v>
      </c>
      <c r="Q663">
        <f>IF($A663="","", $I663 + IFERROR(O663/30*$H663,0))</f>
        <v>0</v>
      </c>
      <c r="R663">
        <f>IF($A663="","", IF(J663&lt;=$F663, "Yes", ""))</f>
        <v>0</v>
      </c>
      <c r="S663">
        <f>IF(R663="Yes", CEILING(MAX($G663, Q663-J663), $G663), 0)</f>
        <v>0</v>
      </c>
      <c r="T663">
        <f>IFERROR(J663/(O663/30),"")</f>
        <v>0</v>
      </c>
    </row>
    <row r="664" spans="10:20">
      <c r="J664">
        <f>IF($A664="","", SUMIFS(Mov_Qty, Mov_Item, $A664))</f>
        <v>0</v>
      </c>
      <c r="K664">
        <f>IF($A664="","", J664 * $E664)</f>
        <v>0</v>
      </c>
      <c r="L664">
        <f>IF($A664="","", SUMIFS(-Mov_Qty, Mov_Item, $A664, Mov_Type, "Consumption", Mov_Date, "&gt;="&amp;$V$2, Mov_Date, "&lt;="&amp;$W$2))</f>
        <v>0</v>
      </c>
      <c r="M664">
        <f>IF($A664="","", SUMIFS(-Mov_Qty, Mov_Item, $A664, Mov_Type, "Consumption", Mov_Date, "&gt;="&amp;$X$2, Mov_Date, "&lt;="&amp;$Y$2))</f>
        <v>0</v>
      </c>
      <c r="N664">
        <f>IF($A664="","", SUMIFS(-Mov_Qty, Mov_Item, $A664, Mov_Type, "Consumption", Mov_Date, "&gt;="&amp;$Z$2, Mov_Date, "&lt;="&amp;$AA$2))</f>
        <v>0</v>
      </c>
      <c r="O664">
        <f>IFERROR(AVERAGE(L664:N664),"")</f>
        <v>0</v>
      </c>
      <c r="P664">
        <f>IF(O664&gt;=Cfg_HiMove, "Yes", "")</f>
        <v>0</v>
      </c>
      <c r="Q664">
        <f>IF($A664="","", $I664 + IFERROR(O664/30*$H664,0))</f>
        <v>0</v>
      </c>
      <c r="R664">
        <f>IF($A664="","", IF(J664&lt;=$F664, "Yes", ""))</f>
        <v>0</v>
      </c>
      <c r="S664">
        <f>IF(R664="Yes", CEILING(MAX($G664, Q664-J664), $G664), 0)</f>
        <v>0</v>
      </c>
      <c r="T664">
        <f>IFERROR(J664/(O664/30),"")</f>
        <v>0</v>
      </c>
    </row>
    <row r="665" spans="10:20">
      <c r="J665">
        <f>IF($A665="","", SUMIFS(Mov_Qty, Mov_Item, $A665))</f>
        <v>0</v>
      </c>
      <c r="K665">
        <f>IF($A665="","", J665 * $E665)</f>
        <v>0</v>
      </c>
      <c r="L665">
        <f>IF($A665="","", SUMIFS(-Mov_Qty, Mov_Item, $A665, Mov_Type, "Consumption", Mov_Date, "&gt;="&amp;$V$2, Mov_Date, "&lt;="&amp;$W$2))</f>
        <v>0</v>
      </c>
      <c r="M665">
        <f>IF($A665="","", SUMIFS(-Mov_Qty, Mov_Item, $A665, Mov_Type, "Consumption", Mov_Date, "&gt;="&amp;$X$2, Mov_Date, "&lt;="&amp;$Y$2))</f>
        <v>0</v>
      </c>
      <c r="N665">
        <f>IF($A665="","", SUMIFS(-Mov_Qty, Mov_Item, $A665, Mov_Type, "Consumption", Mov_Date, "&gt;="&amp;$Z$2, Mov_Date, "&lt;="&amp;$AA$2))</f>
        <v>0</v>
      </c>
      <c r="O665">
        <f>IFERROR(AVERAGE(L665:N665),"")</f>
        <v>0</v>
      </c>
      <c r="P665">
        <f>IF(O665&gt;=Cfg_HiMove, "Yes", "")</f>
        <v>0</v>
      </c>
      <c r="Q665">
        <f>IF($A665="","", $I665 + IFERROR(O665/30*$H665,0))</f>
        <v>0</v>
      </c>
      <c r="R665">
        <f>IF($A665="","", IF(J665&lt;=$F665, "Yes", ""))</f>
        <v>0</v>
      </c>
      <c r="S665">
        <f>IF(R665="Yes", CEILING(MAX($G665, Q665-J665), $G665), 0)</f>
        <v>0</v>
      </c>
      <c r="T665">
        <f>IFERROR(J665/(O665/30),"")</f>
        <v>0</v>
      </c>
    </row>
    <row r="666" spans="10:20">
      <c r="J666">
        <f>IF($A666="","", SUMIFS(Mov_Qty, Mov_Item, $A666))</f>
        <v>0</v>
      </c>
      <c r="K666">
        <f>IF($A666="","", J666 * $E666)</f>
        <v>0</v>
      </c>
      <c r="L666">
        <f>IF($A666="","", SUMIFS(-Mov_Qty, Mov_Item, $A666, Mov_Type, "Consumption", Mov_Date, "&gt;="&amp;$V$2, Mov_Date, "&lt;="&amp;$W$2))</f>
        <v>0</v>
      </c>
      <c r="M666">
        <f>IF($A666="","", SUMIFS(-Mov_Qty, Mov_Item, $A666, Mov_Type, "Consumption", Mov_Date, "&gt;="&amp;$X$2, Mov_Date, "&lt;="&amp;$Y$2))</f>
        <v>0</v>
      </c>
      <c r="N666">
        <f>IF($A666="","", SUMIFS(-Mov_Qty, Mov_Item, $A666, Mov_Type, "Consumption", Mov_Date, "&gt;="&amp;$Z$2, Mov_Date, "&lt;="&amp;$AA$2))</f>
        <v>0</v>
      </c>
      <c r="O666">
        <f>IFERROR(AVERAGE(L666:N666),"")</f>
        <v>0</v>
      </c>
      <c r="P666">
        <f>IF(O666&gt;=Cfg_HiMove, "Yes", "")</f>
        <v>0</v>
      </c>
      <c r="Q666">
        <f>IF($A666="","", $I666 + IFERROR(O666/30*$H666,0))</f>
        <v>0</v>
      </c>
      <c r="R666">
        <f>IF($A666="","", IF(J666&lt;=$F666, "Yes", ""))</f>
        <v>0</v>
      </c>
      <c r="S666">
        <f>IF(R666="Yes", CEILING(MAX($G666, Q666-J666), $G666), 0)</f>
        <v>0</v>
      </c>
      <c r="T666">
        <f>IFERROR(J666/(O666/30),"")</f>
        <v>0</v>
      </c>
    </row>
    <row r="667" spans="10:20">
      <c r="J667">
        <f>IF($A667="","", SUMIFS(Mov_Qty, Mov_Item, $A667))</f>
        <v>0</v>
      </c>
      <c r="K667">
        <f>IF($A667="","", J667 * $E667)</f>
        <v>0</v>
      </c>
      <c r="L667">
        <f>IF($A667="","", SUMIFS(-Mov_Qty, Mov_Item, $A667, Mov_Type, "Consumption", Mov_Date, "&gt;="&amp;$V$2, Mov_Date, "&lt;="&amp;$W$2))</f>
        <v>0</v>
      </c>
      <c r="M667">
        <f>IF($A667="","", SUMIFS(-Mov_Qty, Mov_Item, $A667, Mov_Type, "Consumption", Mov_Date, "&gt;="&amp;$X$2, Mov_Date, "&lt;="&amp;$Y$2))</f>
        <v>0</v>
      </c>
      <c r="N667">
        <f>IF($A667="","", SUMIFS(-Mov_Qty, Mov_Item, $A667, Mov_Type, "Consumption", Mov_Date, "&gt;="&amp;$Z$2, Mov_Date, "&lt;="&amp;$AA$2))</f>
        <v>0</v>
      </c>
      <c r="O667">
        <f>IFERROR(AVERAGE(L667:N667),"")</f>
        <v>0</v>
      </c>
      <c r="P667">
        <f>IF(O667&gt;=Cfg_HiMove, "Yes", "")</f>
        <v>0</v>
      </c>
      <c r="Q667">
        <f>IF($A667="","", $I667 + IFERROR(O667/30*$H667,0))</f>
        <v>0</v>
      </c>
      <c r="R667">
        <f>IF($A667="","", IF(J667&lt;=$F667, "Yes", ""))</f>
        <v>0</v>
      </c>
      <c r="S667">
        <f>IF(R667="Yes", CEILING(MAX($G667, Q667-J667), $G667), 0)</f>
        <v>0</v>
      </c>
      <c r="T667">
        <f>IFERROR(J667/(O667/30),"")</f>
        <v>0</v>
      </c>
    </row>
    <row r="668" spans="10:20">
      <c r="J668">
        <f>IF($A668="","", SUMIFS(Mov_Qty, Mov_Item, $A668))</f>
        <v>0</v>
      </c>
      <c r="K668">
        <f>IF($A668="","", J668 * $E668)</f>
        <v>0</v>
      </c>
      <c r="L668">
        <f>IF($A668="","", SUMIFS(-Mov_Qty, Mov_Item, $A668, Mov_Type, "Consumption", Mov_Date, "&gt;="&amp;$V$2, Mov_Date, "&lt;="&amp;$W$2))</f>
        <v>0</v>
      </c>
      <c r="M668">
        <f>IF($A668="","", SUMIFS(-Mov_Qty, Mov_Item, $A668, Mov_Type, "Consumption", Mov_Date, "&gt;="&amp;$X$2, Mov_Date, "&lt;="&amp;$Y$2))</f>
        <v>0</v>
      </c>
      <c r="N668">
        <f>IF($A668="","", SUMIFS(-Mov_Qty, Mov_Item, $A668, Mov_Type, "Consumption", Mov_Date, "&gt;="&amp;$Z$2, Mov_Date, "&lt;="&amp;$AA$2))</f>
        <v>0</v>
      </c>
      <c r="O668">
        <f>IFERROR(AVERAGE(L668:N668),"")</f>
        <v>0</v>
      </c>
      <c r="P668">
        <f>IF(O668&gt;=Cfg_HiMove, "Yes", "")</f>
        <v>0</v>
      </c>
      <c r="Q668">
        <f>IF($A668="","", $I668 + IFERROR(O668/30*$H668,0))</f>
        <v>0</v>
      </c>
      <c r="R668">
        <f>IF($A668="","", IF(J668&lt;=$F668, "Yes", ""))</f>
        <v>0</v>
      </c>
      <c r="S668">
        <f>IF(R668="Yes", CEILING(MAX($G668, Q668-J668), $G668), 0)</f>
        <v>0</v>
      </c>
      <c r="T668">
        <f>IFERROR(J668/(O668/30),"")</f>
        <v>0</v>
      </c>
    </row>
    <row r="669" spans="10:20">
      <c r="J669">
        <f>IF($A669="","", SUMIFS(Mov_Qty, Mov_Item, $A669))</f>
        <v>0</v>
      </c>
      <c r="K669">
        <f>IF($A669="","", J669 * $E669)</f>
        <v>0</v>
      </c>
      <c r="L669">
        <f>IF($A669="","", SUMIFS(-Mov_Qty, Mov_Item, $A669, Mov_Type, "Consumption", Mov_Date, "&gt;="&amp;$V$2, Mov_Date, "&lt;="&amp;$W$2))</f>
        <v>0</v>
      </c>
      <c r="M669">
        <f>IF($A669="","", SUMIFS(-Mov_Qty, Mov_Item, $A669, Mov_Type, "Consumption", Mov_Date, "&gt;="&amp;$X$2, Mov_Date, "&lt;="&amp;$Y$2))</f>
        <v>0</v>
      </c>
      <c r="N669">
        <f>IF($A669="","", SUMIFS(-Mov_Qty, Mov_Item, $A669, Mov_Type, "Consumption", Mov_Date, "&gt;="&amp;$Z$2, Mov_Date, "&lt;="&amp;$AA$2))</f>
        <v>0</v>
      </c>
      <c r="O669">
        <f>IFERROR(AVERAGE(L669:N669),"")</f>
        <v>0</v>
      </c>
      <c r="P669">
        <f>IF(O669&gt;=Cfg_HiMove, "Yes", "")</f>
        <v>0</v>
      </c>
      <c r="Q669">
        <f>IF($A669="","", $I669 + IFERROR(O669/30*$H669,0))</f>
        <v>0</v>
      </c>
      <c r="R669">
        <f>IF($A669="","", IF(J669&lt;=$F669, "Yes", ""))</f>
        <v>0</v>
      </c>
      <c r="S669">
        <f>IF(R669="Yes", CEILING(MAX($G669, Q669-J669), $G669), 0)</f>
        <v>0</v>
      </c>
      <c r="T669">
        <f>IFERROR(J669/(O669/30),"")</f>
        <v>0</v>
      </c>
    </row>
    <row r="670" spans="10:20">
      <c r="J670">
        <f>IF($A670="","", SUMIFS(Mov_Qty, Mov_Item, $A670))</f>
        <v>0</v>
      </c>
      <c r="K670">
        <f>IF($A670="","", J670 * $E670)</f>
        <v>0</v>
      </c>
      <c r="L670">
        <f>IF($A670="","", SUMIFS(-Mov_Qty, Mov_Item, $A670, Mov_Type, "Consumption", Mov_Date, "&gt;="&amp;$V$2, Mov_Date, "&lt;="&amp;$W$2))</f>
        <v>0</v>
      </c>
      <c r="M670">
        <f>IF($A670="","", SUMIFS(-Mov_Qty, Mov_Item, $A670, Mov_Type, "Consumption", Mov_Date, "&gt;="&amp;$X$2, Mov_Date, "&lt;="&amp;$Y$2))</f>
        <v>0</v>
      </c>
      <c r="N670">
        <f>IF($A670="","", SUMIFS(-Mov_Qty, Mov_Item, $A670, Mov_Type, "Consumption", Mov_Date, "&gt;="&amp;$Z$2, Mov_Date, "&lt;="&amp;$AA$2))</f>
        <v>0</v>
      </c>
      <c r="O670">
        <f>IFERROR(AVERAGE(L670:N670),"")</f>
        <v>0</v>
      </c>
      <c r="P670">
        <f>IF(O670&gt;=Cfg_HiMove, "Yes", "")</f>
        <v>0</v>
      </c>
      <c r="Q670">
        <f>IF($A670="","", $I670 + IFERROR(O670/30*$H670,0))</f>
        <v>0</v>
      </c>
      <c r="R670">
        <f>IF($A670="","", IF(J670&lt;=$F670, "Yes", ""))</f>
        <v>0</v>
      </c>
      <c r="S670">
        <f>IF(R670="Yes", CEILING(MAX($G670, Q670-J670), $G670), 0)</f>
        <v>0</v>
      </c>
      <c r="T670">
        <f>IFERROR(J670/(O670/30),"")</f>
        <v>0</v>
      </c>
    </row>
    <row r="671" spans="10:20">
      <c r="J671">
        <f>IF($A671="","", SUMIFS(Mov_Qty, Mov_Item, $A671))</f>
        <v>0</v>
      </c>
      <c r="K671">
        <f>IF($A671="","", J671 * $E671)</f>
        <v>0</v>
      </c>
      <c r="L671">
        <f>IF($A671="","", SUMIFS(-Mov_Qty, Mov_Item, $A671, Mov_Type, "Consumption", Mov_Date, "&gt;="&amp;$V$2, Mov_Date, "&lt;="&amp;$W$2))</f>
        <v>0</v>
      </c>
      <c r="M671">
        <f>IF($A671="","", SUMIFS(-Mov_Qty, Mov_Item, $A671, Mov_Type, "Consumption", Mov_Date, "&gt;="&amp;$X$2, Mov_Date, "&lt;="&amp;$Y$2))</f>
        <v>0</v>
      </c>
      <c r="N671">
        <f>IF($A671="","", SUMIFS(-Mov_Qty, Mov_Item, $A671, Mov_Type, "Consumption", Mov_Date, "&gt;="&amp;$Z$2, Mov_Date, "&lt;="&amp;$AA$2))</f>
        <v>0</v>
      </c>
      <c r="O671">
        <f>IFERROR(AVERAGE(L671:N671),"")</f>
        <v>0</v>
      </c>
      <c r="P671">
        <f>IF(O671&gt;=Cfg_HiMove, "Yes", "")</f>
        <v>0</v>
      </c>
      <c r="Q671">
        <f>IF($A671="","", $I671 + IFERROR(O671/30*$H671,0))</f>
        <v>0</v>
      </c>
      <c r="R671">
        <f>IF($A671="","", IF(J671&lt;=$F671, "Yes", ""))</f>
        <v>0</v>
      </c>
      <c r="S671">
        <f>IF(R671="Yes", CEILING(MAX($G671, Q671-J671), $G671), 0)</f>
        <v>0</v>
      </c>
      <c r="T671">
        <f>IFERROR(J671/(O671/30),"")</f>
        <v>0</v>
      </c>
    </row>
    <row r="672" spans="10:20">
      <c r="J672">
        <f>IF($A672="","", SUMIFS(Mov_Qty, Mov_Item, $A672))</f>
        <v>0</v>
      </c>
      <c r="K672">
        <f>IF($A672="","", J672 * $E672)</f>
        <v>0</v>
      </c>
      <c r="L672">
        <f>IF($A672="","", SUMIFS(-Mov_Qty, Mov_Item, $A672, Mov_Type, "Consumption", Mov_Date, "&gt;="&amp;$V$2, Mov_Date, "&lt;="&amp;$W$2))</f>
        <v>0</v>
      </c>
      <c r="M672">
        <f>IF($A672="","", SUMIFS(-Mov_Qty, Mov_Item, $A672, Mov_Type, "Consumption", Mov_Date, "&gt;="&amp;$X$2, Mov_Date, "&lt;="&amp;$Y$2))</f>
        <v>0</v>
      </c>
      <c r="N672">
        <f>IF($A672="","", SUMIFS(-Mov_Qty, Mov_Item, $A672, Mov_Type, "Consumption", Mov_Date, "&gt;="&amp;$Z$2, Mov_Date, "&lt;="&amp;$AA$2))</f>
        <v>0</v>
      </c>
      <c r="O672">
        <f>IFERROR(AVERAGE(L672:N672),"")</f>
        <v>0</v>
      </c>
      <c r="P672">
        <f>IF(O672&gt;=Cfg_HiMove, "Yes", "")</f>
        <v>0</v>
      </c>
      <c r="Q672">
        <f>IF($A672="","", $I672 + IFERROR(O672/30*$H672,0))</f>
        <v>0</v>
      </c>
      <c r="R672">
        <f>IF($A672="","", IF(J672&lt;=$F672, "Yes", ""))</f>
        <v>0</v>
      </c>
      <c r="S672">
        <f>IF(R672="Yes", CEILING(MAX($G672, Q672-J672), $G672), 0)</f>
        <v>0</v>
      </c>
      <c r="T672">
        <f>IFERROR(J672/(O672/30),"")</f>
        <v>0</v>
      </c>
    </row>
    <row r="673" spans="10:20">
      <c r="J673">
        <f>IF($A673="","", SUMIFS(Mov_Qty, Mov_Item, $A673))</f>
        <v>0</v>
      </c>
      <c r="K673">
        <f>IF($A673="","", J673 * $E673)</f>
        <v>0</v>
      </c>
      <c r="L673">
        <f>IF($A673="","", SUMIFS(-Mov_Qty, Mov_Item, $A673, Mov_Type, "Consumption", Mov_Date, "&gt;="&amp;$V$2, Mov_Date, "&lt;="&amp;$W$2))</f>
        <v>0</v>
      </c>
      <c r="M673">
        <f>IF($A673="","", SUMIFS(-Mov_Qty, Mov_Item, $A673, Mov_Type, "Consumption", Mov_Date, "&gt;="&amp;$X$2, Mov_Date, "&lt;="&amp;$Y$2))</f>
        <v>0</v>
      </c>
      <c r="N673">
        <f>IF($A673="","", SUMIFS(-Mov_Qty, Mov_Item, $A673, Mov_Type, "Consumption", Mov_Date, "&gt;="&amp;$Z$2, Mov_Date, "&lt;="&amp;$AA$2))</f>
        <v>0</v>
      </c>
      <c r="O673">
        <f>IFERROR(AVERAGE(L673:N673),"")</f>
        <v>0</v>
      </c>
      <c r="P673">
        <f>IF(O673&gt;=Cfg_HiMove, "Yes", "")</f>
        <v>0</v>
      </c>
      <c r="Q673">
        <f>IF($A673="","", $I673 + IFERROR(O673/30*$H673,0))</f>
        <v>0</v>
      </c>
      <c r="R673">
        <f>IF($A673="","", IF(J673&lt;=$F673, "Yes", ""))</f>
        <v>0</v>
      </c>
      <c r="S673">
        <f>IF(R673="Yes", CEILING(MAX($G673, Q673-J673), $G673), 0)</f>
        <v>0</v>
      </c>
      <c r="T673">
        <f>IFERROR(J673/(O673/30),"")</f>
        <v>0</v>
      </c>
    </row>
    <row r="674" spans="10:20">
      <c r="J674">
        <f>IF($A674="","", SUMIFS(Mov_Qty, Mov_Item, $A674))</f>
        <v>0</v>
      </c>
      <c r="K674">
        <f>IF($A674="","", J674 * $E674)</f>
        <v>0</v>
      </c>
      <c r="L674">
        <f>IF($A674="","", SUMIFS(-Mov_Qty, Mov_Item, $A674, Mov_Type, "Consumption", Mov_Date, "&gt;="&amp;$V$2, Mov_Date, "&lt;="&amp;$W$2))</f>
        <v>0</v>
      </c>
      <c r="M674">
        <f>IF($A674="","", SUMIFS(-Mov_Qty, Mov_Item, $A674, Mov_Type, "Consumption", Mov_Date, "&gt;="&amp;$X$2, Mov_Date, "&lt;="&amp;$Y$2))</f>
        <v>0</v>
      </c>
      <c r="N674">
        <f>IF($A674="","", SUMIFS(-Mov_Qty, Mov_Item, $A674, Mov_Type, "Consumption", Mov_Date, "&gt;="&amp;$Z$2, Mov_Date, "&lt;="&amp;$AA$2))</f>
        <v>0</v>
      </c>
      <c r="O674">
        <f>IFERROR(AVERAGE(L674:N674),"")</f>
        <v>0</v>
      </c>
      <c r="P674">
        <f>IF(O674&gt;=Cfg_HiMove, "Yes", "")</f>
        <v>0</v>
      </c>
      <c r="Q674">
        <f>IF($A674="","", $I674 + IFERROR(O674/30*$H674,0))</f>
        <v>0</v>
      </c>
      <c r="R674">
        <f>IF($A674="","", IF(J674&lt;=$F674, "Yes", ""))</f>
        <v>0</v>
      </c>
      <c r="S674">
        <f>IF(R674="Yes", CEILING(MAX($G674, Q674-J674), $G674), 0)</f>
        <v>0</v>
      </c>
      <c r="T674">
        <f>IFERROR(J674/(O674/30),"")</f>
        <v>0</v>
      </c>
    </row>
    <row r="675" spans="10:20">
      <c r="J675">
        <f>IF($A675="","", SUMIFS(Mov_Qty, Mov_Item, $A675))</f>
        <v>0</v>
      </c>
      <c r="K675">
        <f>IF($A675="","", J675 * $E675)</f>
        <v>0</v>
      </c>
      <c r="L675">
        <f>IF($A675="","", SUMIFS(-Mov_Qty, Mov_Item, $A675, Mov_Type, "Consumption", Mov_Date, "&gt;="&amp;$V$2, Mov_Date, "&lt;="&amp;$W$2))</f>
        <v>0</v>
      </c>
      <c r="M675">
        <f>IF($A675="","", SUMIFS(-Mov_Qty, Mov_Item, $A675, Mov_Type, "Consumption", Mov_Date, "&gt;="&amp;$X$2, Mov_Date, "&lt;="&amp;$Y$2))</f>
        <v>0</v>
      </c>
      <c r="N675">
        <f>IF($A675="","", SUMIFS(-Mov_Qty, Mov_Item, $A675, Mov_Type, "Consumption", Mov_Date, "&gt;="&amp;$Z$2, Mov_Date, "&lt;="&amp;$AA$2))</f>
        <v>0</v>
      </c>
      <c r="O675">
        <f>IFERROR(AVERAGE(L675:N675),"")</f>
        <v>0</v>
      </c>
      <c r="P675">
        <f>IF(O675&gt;=Cfg_HiMove, "Yes", "")</f>
        <v>0</v>
      </c>
      <c r="Q675">
        <f>IF($A675="","", $I675 + IFERROR(O675/30*$H675,0))</f>
        <v>0</v>
      </c>
      <c r="R675">
        <f>IF($A675="","", IF(J675&lt;=$F675, "Yes", ""))</f>
        <v>0</v>
      </c>
      <c r="S675">
        <f>IF(R675="Yes", CEILING(MAX($G675, Q675-J675), $G675), 0)</f>
        <v>0</v>
      </c>
      <c r="T675">
        <f>IFERROR(J675/(O675/30),"")</f>
        <v>0</v>
      </c>
    </row>
    <row r="676" spans="10:20">
      <c r="J676">
        <f>IF($A676="","", SUMIFS(Mov_Qty, Mov_Item, $A676))</f>
        <v>0</v>
      </c>
      <c r="K676">
        <f>IF($A676="","", J676 * $E676)</f>
        <v>0</v>
      </c>
      <c r="L676">
        <f>IF($A676="","", SUMIFS(-Mov_Qty, Mov_Item, $A676, Mov_Type, "Consumption", Mov_Date, "&gt;="&amp;$V$2, Mov_Date, "&lt;="&amp;$W$2))</f>
        <v>0</v>
      </c>
      <c r="M676">
        <f>IF($A676="","", SUMIFS(-Mov_Qty, Mov_Item, $A676, Mov_Type, "Consumption", Mov_Date, "&gt;="&amp;$X$2, Mov_Date, "&lt;="&amp;$Y$2))</f>
        <v>0</v>
      </c>
      <c r="N676">
        <f>IF($A676="","", SUMIFS(-Mov_Qty, Mov_Item, $A676, Mov_Type, "Consumption", Mov_Date, "&gt;="&amp;$Z$2, Mov_Date, "&lt;="&amp;$AA$2))</f>
        <v>0</v>
      </c>
      <c r="O676">
        <f>IFERROR(AVERAGE(L676:N676),"")</f>
        <v>0</v>
      </c>
      <c r="P676">
        <f>IF(O676&gt;=Cfg_HiMove, "Yes", "")</f>
        <v>0</v>
      </c>
      <c r="Q676">
        <f>IF($A676="","", $I676 + IFERROR(O676/30*$H676,0))</f>
        <v>0</v>
      </c>
      <c r="R676">
        <f>IF($A676="","", IF(J676&lt;=$F676, "Yes", ""))</f>
        <v>0</v>
      </c>
      <c r="S676">
        <f>IF(R676="Yes", CEILING(MAX($G676, Q676-J676), $G676), 0)</f>
        <v>0</v>
      </c>
      <c r="T676">
        <f>IFERROR(J676/(O676/30),"")</f>
        <v>0</v>
      </c>
    </row>
    <row r="677" spans="10:20">
      <c r="J677">
        <f>IF($A677="","", SUMIFS(Mov_Qty, Mov_Item, $A677))</f>
        <v>0</v>
      </c>
      <c r="K677">
        <f>IF($A677="","", J677 * $E677)</f>
        <v>0</v>
      </c>
      <c r="L677">
        <f>IF($A677="","", SUMIFS(-Mov_Qty, Mov_Item, $A677, Mov_Type, "Consumption", Mov_Date, "&gt;="&amp;$V$2, Mov_Date, "&lt;="&amp;$W$2))</f>
        <v>0</v>
      </c>
      <c r="M677">
        <f>IF($A677="","", SUMIFS(-Mov_Qty, Mov_Item, $A677, Mov_Type, "Consumption", Mov_Date, "&gt;="&amp;$X$2, Mov_Date, "&lt;="&amp;$Y$2))</f>
        <v>0</v>
      </c>
      <c r="N677">
        <f>IF($A677="","", SUMIFS(-Mov_Qty, Mov_Item, $A677, Mov_Type, "Consumption", Mov_Date, "&gt;="&amp;$Z$2, Mov_Date, "&lt;="&amp;$AA$2))</f>
        <v>0</v>
      </c>
      <c r="O677">
        <f>IFERROR(AVERAGE(L677:N677),"")</f>
        <v>0</v>
      </c>
      <c r="P677">
        <f>IF(O677&gt;=Cfg_HiMove, "Yes", "")</f>
        <v>0</v>
      </c>
      <c r="Q677">
        <f>IF($A677="","", $I677 + IFERROR(O677/30*$H677,0))</f>
        <v>0</v>
      </c>
      <c r="R677">
        <f>IF($A677="","", IF(J677&lt;=$F677, "Yes", ""))</f>
        <v>0</v>
      </c>
      <c r="S677">
        <f>IF(R677="Yes", CEILING(MAX($G677, Q677-J677), $G677), 0)</f>
        <v>0</v>
      </c>
      <c r="T677">
        <f>IFERROR(J677/(O677/30),"")</f>
        <v>0</v>
      </c>
    </row>
    <row r="678" spans="10:20">
      <c r="J678">
        <f>IF($A678="","", SUMIFS(Mov_Qty, Mov_Item, $A678))</f>
        <v>0</v>
      </c>
      <c r="K678">
        <f>IF($A678="","", J678 * $E678)</f>
        <v>0</v>
      </c>
      <c r="L678">
        <f>IF($A678="","", SUMIFS(-Mov_Qty, Mov_Item, $A678, Mov_Type, "Consumption", Mov_Date, "&gt;="&amp;$V$2, Mov_Date, "&lt;="&amp;$W$2))</f>
        <v>0</v>
      </c>
      <c r="M678">
        <f>IF($A678="","", SUMIFS(-Mov_Qty, Mov_Item, $A678, Mov_Type, "Consumption", Mov_Date, "&gt;="&amp;$X$2, Mov_Date, "&lt;="&amp;$Y$2))</f>
        <v>0</v>
      </c>
      <c r="N678">
        <f>IF($A678="","", SUMIFS(-Mov_Qty, Mov_Item, $A678, Mov_Type, "Consumption", Mov_Date, "&gt;="&amp;$Z$2, Mov_Date, "&lt;="&amp;$AA$2))</f>
        <v>0</v>
      </c>
      <c r="O678">
        <f>IFERROR(AVERAGE(L678:N678),"")</f>
        <v>0</v>
      </c>
      <c r="P678">
        <f>IF(O678&gt;=Cfg_HiMove, "Yes", "")</f>
        <v>0</v>
      </c>
      <c r="Q678">
        <f>IF($A678="","", $I678 + IFERROR(O678/30*$H678,0))</f>
        <v>0</v>
      </c>
      <c r="R678">
        <f>IF($A678="","", IF(J678&lt;=$F678, "Yes", ""))</f>
        <v>0</v>
      </c>
      <c r="S678">
        <f>IF(R678="Yes", CEILING(MAX($G678, Q678-J678), $G678), 0)</f>
        <v>0</v>
      </c>
      <c r="T678">
        <f>IFERROR(J678/(O678/30),"")</f>
        <v>0</v>
      </c>
    </row>
    <row r="679" spans="10:20">
      <c r="J679">
        <f>IF($A679="","", SUMIFS(Mov_Qty, Mov_Item, $A679))</f>
        <v>0</v>
      </c>
      <c r="K679">
        <f>IF($A679="","", J679 * $E679)</f>
        <v>0</v>
      </c>
      <c r="L679">
        <f>IF($A679="","", SUMIFS(-Mov_Qty, Mov_Item, $A679, Mov_Type, "Consumption", Mov_Date, "&gt;="&amp;$V$2, Mov_Date, "&lt;="&amp;$W$2))</f>
        <v>0</v>
      </c>
      <c r="M679">
        <f>IF($A679="","", SUMIFS(-Mov_Qty, Mov_Item, $A679, Mov_Type, "Consumption", Mov_Date, "&gt;="&amp;$X$2, Mov_Date, "&lt;="&amp;$Y$2))</f>
        <v>0</v>
      </c>
      <c r="N679">
        <f>IF($A679="","", SUMIFS(-Mov_Qty, Mov_Item, $A679, Mov_Type, "Consumption", Mov_Date, "&gt;="&amp;$Z$2, Mov_Date, "&lt;="&amp;$AA$2))</f>
        <v>0</v>
      </c>
      <c r="O679">
        <f>IFERROR(AVERAGE(L679:N679),"")</f>
        <v>0</v>
      </c>
      <c r="P679">
        <f>IF(O679&gt;=Cfg_HiMove, "Yes", "")</f>
        <v>0</v>
      </c>
      <c r="Q679">
        <f>IF($A679="","", $I679 + IFERROR(O679/30*$H679,0))</f>
        <v>0</v>
      </c>
      <c r="R679">
        <f>IF($A679="","", IF(J679&lt;=$F679, "Yes", ""))</f>
        <v>0</v>
      </c>
      <c r="S679">
        <f>IF(R679="Yes", CEILING(MAX($G679, Q679-J679), $G679), 0)</f>
        <v>0</v>
      </c>
      <c r="T679">
        <f>IFERROR(J679/(O679/30),"")</f>
        <v>0</v>
      </c>
    </row>
    <row r="680" spans="10:20">
      <c r="J680">
        <f>IF($A680="","", SUMIFS(Mov_Qty, Mov_Item, $A680))</f>
        <v>0</v>
      </c>
      <c r="K680">
        <f>IF($A680="","", J680 * $E680)</f>
        <v>0</v>
      </c>
      <c r="L680">
        <f>IF($A680="","", SUMIFS(-Mov_Qty, Mov_Item, $A680, Mov_Type, "Consumption", Mov_Date, "&gt;="&amp;$V$2, Mov_Date, "&lt;="&amp;$W$2))</f>
        <v>0</v>
      </c>
      <c r="M680">
        <f>IF($A680="","", SUMIFS(-Mov_Qty, Mov_Item, $A680, Mov_Type, "Consumption", Mov_Date, "&gt;="&amp;$X$2, Mov_Date, "&lt;="&amp;$Y$2))</f>
        <v>0</v>
      </c>
      <c r="N680">
        <f>IF($A680="","", SUMIFS(-Mov_Qty, Mov_Item, $A680, Mov_Type, "Consumption", Mov_Date, "&gt;="&amp;$Z$2, Mov_Date, "&lt;="&amp;$AA$2))</f>
        <v>0</v>
      </c>
      <c r="O680">
        <f>IFERROR(AVERAGE(L680:N680),"")</f>
        <v>0</v>
      </c>
      <c r="P680">
        <f>IF(O680&gt;=Cfg_HiMove, "Yes", "")</f>
        <v>0</v>
      </c>
      <c r="Q680">
        <f>IF($A680="","", $I680 + IFERROR(O680/30*$H680,0))</f>
        <v>0</v>
      </c>
      <c r="R680">
        <f>IF($A680="","", IF(J680&lt;=$F680, "Yes", ""))</f>
        <v>0</v>
      </c>
      <c r="S680">
        <f>IF(R680="Yes", CEILING(MAX($G680, Q680-J680), $G680), 0)</f>
        <v>0</v>
      </c>
      <c r="T680">
        <f>IFERROR(J680/(O680/30),"")</f>
        <v>0</v>
      </c>
    </row>
    <row r="681" spans="10:20">
      <c r="J681">
        <f>IF($A681="","", SUMIFS(Mov_Qty, Mov_Item, $A681))</f>
        <v>0</v>
      </c>
      <c r="K681">
        <f>IF($A681="","", J681 * $E681)</f>
        <v>0</v>
      </c>
      <c r="L681">
        <f>IF($A681="","", SUMIFS(-Mov_Qty, Mov_Item, $A681, Mov_Type, "Consumption", Mov_Date, "&gt;="&amp;$V$2, Mov_Date, "&lt;="&amp;$W$2))</f>
        <v>0</v>
      </c>
      <c r="M681">
        <f>IF($A681="","", SUMIFS(-Mov_Qty, Mov_Item, $A681, Mov_Type, "Consumption", Mov_Date, "&gt;="&amp;$X$2, Mov_Date, "&lt;="&amp;$Y$2))</f>
        <v>0</v>
      </c>
      <c r="N681">
        <f>IF($A681="","", SUMIFS(-Mov_Qty, Mov_Item, $A681, Mov_Type, "Consumption", Mov_Date, "&gt;="&amp;$Z$2, Mov_Date, "&lt;="&amp;$AA$2))</f>
        <v>0</v>
      </c>
      <c r="O681">
        <f>IFERROR(AVERAGE(L681:N681),"")</f>
        <v>0</v>
      </c>
      <c r="P681">
        <f>IF(O681&gt;=Cfg_HiMove, "Yes", "")</f>
        <v>0</v>
      </c>
      <c r="Q681">
        <f>IF($A681="","", $I681 + IFERROR(O681/30*$H681,0))</f>
        <v>0</v>
      </c>
      <c r="R681">
        <f>IF($A681="","", IF(J681&lt;=$F681, "Yes", ""))</f>
        <v>0</v>
      </c>
      <c r="S681">
        <f>IF(R681="Yes", CEILING(MAX($G681, Q681-J681), $G681), 0)</f>
        <v>0</v>
      </c>
      <c r="T681">
        <f>IFERROR(J681/(O681/30),"")</f>
        <v>0</v>
      </c>
    </row>
    <row r="682" spans="10:20">
      <c r="J682">
        <f>IF($A682="","", SUMIFS(Mov_Qty, Mov_Item, $A682))</f>
        <v>0</v>
      </c>
      <c r="K682">
        <f>IF($A682="","", J682 * $E682)</f>
        <v>0</v>
      </c>
      <c r="L682">
        <f>IF($A682="","", SUMIFS(-Mov_Qty, Mov_Item, $A682, Mov_Type, "Consumption", Mov_Date, "&gt;="&amp;$V$2, Mov_Date, "&lt;="&amp;$W$2))</f>
        <v>0</v>
      </c>
      <c r="M682">
        <f>IF($A682="","", SUMIFS(-Mov_Qty, Mov_Item, $A682, Mov_Type, "Consumption", Mov_Date, "&gt;="&amp;$X$2, Mov_Date, "&lt;="&amp;$Y$2))</f>
        <v>0</v>
      </c>
      <c r="N682">
        <f>IF($A682="","", SUMIFS(-Mov_Qty, Mov_Item, $A682, Mov_Type, "Consumption", Mov_Date, "&gt;="&amp;$Z$2, Mov_Date, "&lt;="&amp;$AA$2))</f>
        <v>0</v>
      </c>
      <c r="O682">
        <f>IFERROR(AVERAGE(L682:N682),"")</f>
        <v>0</v>
      </c>
      <c r="P682">
        <f>IF(O682&gt;=Cfg_HiMove, "Yes", "")</f>
        <v>0</v>
      </c>
      <c r="Q682">
        <f>IF($A682="","", $I682 + IFERROR(O682/30*$H682,0))</f>
        <v>0</v>
      </c>
      <c r="R682">
        <f>IF($A682="","", IF(J682&lt;=$F682, "Yes", ""))</f>
        <v>0</v>
      </c>
      <c r="S682">
        <f>IF(R682="Yes", CEILING(MAX($G682, Q682-J682), $G682), 0)</f>
        <v>0</v>
      </c>
      <c r="T682">
        <f>IFERROR(J682/(O682/30),"")</f>
        <v>0</v>
      </c>
    </row>
    <row r="683" spans="10:20">
      <c r="J683">
        <f>IF($A683="","", SUMIFS(Mov_Qty, Mov_Item, $A683))</f>
        <v>0</v>
      </c>
      <c r="K683">
        <f>IF($A683="","", J683 * $E683)</f>
        <v>0</v>
      </c>
      <c r="L683">
        <f>IF($A683="","", SUMIFS(-Mov_Qty, Mov_Item, $A683, Mov_Type, "Consumption", Mov_Date, "&gt;="&amp;$V$2, Mov_Date, "&lt;="&amp;$W$2))</f>
        <v>0</v>
      </c>
      <c r="M683">
        <f>IF($A683="","", SUMIFS(-Mov_Qty, Mov_Item, $A683, Mov_Type, "Consumption", Mov_Date, "&gt;="&amp;$X$2, Mov_Date, "&lt;="&amp;$Y$2))</f>
        <v>0</v>
      </c>
      <c r="N683">
        <f>IF($A683="","", SUMIFS(-Mov_Qty, Mov_Item, $A683, Mov_Type, "Consumption", Mov_Date, "&gt;="&amp;$Z$2, Mov_Date, "&lt;="&amp;$AA$2))</f>
        <v>0</v>
      </c>
      <c r="O683">
        <f>IFERROR(AVERAGE(L683:N683),"")</f>
        <v>0</v>
      </c>
      <c r="P683">
        <f>IF(O683&gt;=Cfg_HiMove, "Yes", "")</f>
        <v>0</v>
      </c>
      <c r="Q683">
        <f>IF($A683="","", $I683 + IFERROR(O683/30*$H683,0))</f>
        <v>0</v>
      </c>
      <c r="R683">
        <f>IF($A683="","", IF(J683&lt;=$F683, "Yes", ""))</f>
        <v>0</v>
      </c>
      <c r="S683">
        <f>IF(R683="Yes", CEILING(MAX($G683, Q683-J683), $G683), 0)</f>
        <v>0</v>
      </c>
      <c r="T683">
        <f>IFERROR(J683/(O683/30),"")</f>
        <v>0</v>
      </c>
    </row>
    <row r="684" spans="10:20">
      <c r="J684">
        <f>IF($A684="","", SUMIFS(Mov_Qty, Mov_Item, $A684))</f>
        <v>0</v>
      </c>
      <c r="K684">
        <f>IF($A684="","", J684 * $E684)</f>
        <v>0</v>
      </c>
      <c r="L684">
        <f>IF($A684="","", SUMIFS(-Mov_Qty, Mov_Item, $A684, Mov_Type, "Consumption", Mov_Date, "&gt;="&amp;$V$2, Mov_Date, "&lt;="&amp;$W$2))</f>
        <v>0</v>
      </c>
      <c r="M684">
        <f>IF($A684="","", SUMIFS(-Mov_Qty, Mov_Item, $A684, Mov_Type, "Consumption", Mov_Date, "&gt;="&amp;$X$2, Mov_Date, "&lt;="&amp;$Y$2))</f>
        <v>0</v>
      </c>
      <c r="N684">
        <f>IF($A684="","", SUMIFS(-Mov_Qty, Mov_Item, $A684, Mov_Type, "Consumption", Mov_Date, "&gt;="&amp;$Z$2, Mov_Date, "&lt;="&amp;$AA$2))</f>
        <v>0</v>
      </c>
      <c r="O684">
        <f>IFERROR(AVERAGE(L684:N684),"")</f>
        <v>0</v>
      </c>
      <c r="P684">
        <f>IF(O684&gt;=Cfg_HiMove, "Yes", "")</f>
        <v>0</v>
      </c>
      <c r="Q684">
        <f>IF($A684="","", $I684 + IFERROR(O684/30*$H684,0))</f>
        <v>0</v>
      </c>
      <c r="R684">
        <f>IF($A684="","", IF(J684&lt;=$F684, "Yes", ""))</f>
        <v>0</v>
      </c>
      <c r="S684">
        <f>IF(R684="Yes", CEILING(MAX($G684, Q684-J684), $G684), 0)</f>
        <v>0</v>
      </c>
      <c r="T684">
        <f>IFERROR(J684/(O684/30),"")</f>
        <v>0</v>
      </c>
    </row>
    <row r="685" spans="10:20">
      <c r="J685">
        <f>IF($A685="","", SUMIFS(Mov_Qty, Mov_Item, $A685))</f>
        <v>0</v>
      </c>
      <c r="K685">
        <f>IF($A685="","", J685 * $E685)</f>
        <v>0</v>
      </c>
      <c r="L685">
        <f>IF($A685="","", SUMIFS(-Mov_Qty, Mov_Item, $A685, Mov_Type, "Consumption", Mov_Date, "&gt;="&amp;$V$2, Mov_Date, "&lt;="&amp;$W$2))</f>
        <v>0</v>
      </c>
      <c r="M685">
        <f>IF($A685="","", SUMIFS(-Mov_Qty, Mov_Item, $A685, Mov_Type, "Consumption", Mov_Date, "&gt;="&amp;$X$2, Mov_Date, "&lt;="&amp;$Y$2))</f>
        <v>0</v>
      </c>
      <c r="N685">
        <f>IF($A685="","", SUMIFS(-Mov_Qty, Mov_Item, $A685, Mov_Type, "Consumption", Mov_Date, "&gt;="&amp;$Z$2, Mov_Date, "&lt;="&amp;$AA$2))</f>
        <v>0</v>
      </c>
      <c r="O685">
        <f>IFERROR(AVERAGE(L685:N685),"")</f>
        <v>0</v>
      </c>
      <c r="P685">
        <f>IF(O685&gt;=Cfg_HiMove, "Yes", "")</f>
        <v>0</v>
      </c>
      <c r="Q685">
        <f>IF($A685="","", $I685 + IFERROR(O685/30*$H685,0))</f>
        <v>0</v>
      </c>
      <c r="R685">
        <f>IF($A685="","", IF(J685&lt;=$F685, "Yes", ""))</f>
        <v>0</v>
      </c>
      <c r="S685">
        <f>IF(R685="Yes", CEILING(MAX($G685, Q685-J685), $G685), 0)</f>
        <v>0</v>
      </c>
      <c r="T685">
        <f>IFERROR(J685/(O685/30),"")</f>
        <v>0</v>
      </c>
    </row>
    <row r="686" spans="10:20">
      <c r="J686">
        <f>IF($A686="","", SUMIFS(Mov_Qty, Mov_Item, $A686))</f>
        <v>0</v>
      </c>
      <c r="K686">
        <f>IF($A686="","", J686 * $E686)</f>
        <v>0</v>
      </c>
      <c r="L686">
        <f>IF($A686="","", SUMIFS(-Mov_Qty, Mov_Item, $A686, Mov_Type, "Consumption", Mov_Date, "&gt;="&amp;$V$2, Mov_Date, "&lt;="&amp;$W$2))</f>
        <v>0</v>
      </c>
      <c r="M686">
        <f>IF($A686="","", SUMIFS(-Mov_Qty, Mov_Item, $A686, Mov_Type, "Consumption", Mov_Date, "&gt;="&amp;$X$2, Mov_Date, "&lt;="&amp;$Y$2))</f>
        <v>0</v>
      </c>
      <c r="N686">
        <f>IF($A686="","", SUMIFS(-Mov_Qty, Mov_Item, $A686, Mov_Type, "Consumption", Mov_Date, "&gt;="&amp;$Z$2, Mov_Date, "&lt;="&amp;$AA$2))</f>
        <v>0</v>
      </c>
      <c r="O686">
        <f>IFERROR(AVERAGE(L686:N686),"")</f>
        <v>0</v>
      </c>
      <c r="P686">
        <f>IF(O686&gt;=Cfg_HiMove, "Yes", "")</f>
        <v>0</v>
      </c>
      <c r="Q686">
        <f>IF($A686="","", $I686 + IFERROR(O686/30*$H686,0))</f>
        <v>0</v>
      </c>
      <c r="R686">
        <f>IF($A686="","", IF(J686&lt;=$F686, "Yes", ""))</f>
        <v>0</v>
      </c>
      <c r="S686">
        <f>IF(R686="Yes", CEILING(MAX($G686, Q686-J686), $G686), 0)</f>
        <v>0</v>
      </c>
      <c r="T686">
        <f>IFERROR(J686/(O686/30),"")</f>
        <v>0</v>
      </c>
    </row>
    <row r="687" spans="10:20">
      <c r="J687">
        <f>IF($A687="","", SUMIFS(Mov_Qty, Mov_Item, $A687))</f>
        <v>0</v>
      </c>
      <c r="K687">
        <f>IF($A687="","", J687 * $E687)</f>
        <v>0</v>
      </c>
      <c r="L687">
        <f>IF($A687="","", SUMIFS(-Mov_Qty, Mov_Item, $A687, Mov_Type, "Consumption", Mov_Date, "&gt;="&amp;$V$2, Mov_Date, "&lt;="&amp;$W$2))</f>
        <v>0</v>
      </c>
      <c r="M687">
        <f>IF($A687="","", SUMIFS(-Mov_Qty, Mov_Item, $A687, Mov_Type, "Consumption", Mov_Date, "&gt;="&amp;$X$2, Mov_Date, "&lt;="&amp;$Y$2))</f>
        <v>0</v>
      </c>
      <c r="N687">
        <f>IF($A687="","", SUMIFS(-Mov_Qty, Mov_Item, $A687, Mov_Type, "Consumption", Mov_Date, "&gt;="&amp;$Z$2, Mov_Date, "&lt;="&amp;$AA$2))</f>
        <v>0</v>
      </c>
      <c r="O687">
        <f>IFERROR(AVERAGE(L687:N687),"")</f>
        <v>0</v>
      </c>
      <c r="P687">
        <f>IF(O687&gt;=Cfg_HiMove, "Yes", "")</f>
        <v>0</v>
      </c>
      <c r="Q687">
        <f>IF($A687="","", $I687 + IFERROR(O687/30*$H687,0))</f>
        <v>0</v>
      </c>
      <c r="R687">
        <f>IF($A687="","", IF(J687&lt;=$F687, "Yes", ""))</f>
        <v>0</v>
      </c>
      <c r="S687">
        <f>IF(R687="Yes", CEILING(MAX($G687, Q687-J687), $G687), 0)</f>
        <v>0</v>
      </c>
      <c r="T687">
        <f>IFERROR(J687/(O687/30),"")</f>
        <v>0</v>
      </c>
    </row>
    <row r="688" spans="10:20">
      <c r="J688">
        <f>IF($A688="","", SUMIFS(Mov_Qty, Mov_Item, $A688))</f>
        <v>0</v>
      </c>
      <c r="K688">
        <f>IF($A688="","", J688 * $E688)</f>
        <v>0</v>
      </c>
      <c r="L688">
        <f>IF($A688="","", SUMIFS(-Mov_Qty, Mov_Item, $A688, Mov_Type, "Consumption", Mov_Date, "&gt;="&amp;$V$2, Mov_Date, "&lt;="&amp;$W$2))</f>
        <v>0</v>
      </c>
      <c r="M688">
        <f>IF($A688="","", SUMIFS(-Mov_Qty, Mov_Item, $A688, Mov_Type, "Consumption", Mov_Date, "&gt;="&amp;$X$2, Mov_Date, "&lt;="&amp;$Y$2))</f>
        <v>0</v>
      </c>
      <c r="N688">
        <f>IF($A688="","", SUMIFS(-Mov_Qty, Mov_Item, $A688, Mov_Type, "Consumption", Mov_Date, "&gt;="&amp;$Z$2, Mov_Date, "&lt;="&amp;$AA$2))</f>
        <v>0</v>
      </c>
      <c r="O688">
        <f>IFERROR(AVERAGE(L688:N688),"")</f>
        <v>0</v>
      </c>
      <c r="P688">
        <f>IF(O688&gt;=Cfg_HiMove, "Yes", "")</f>
        <v>0</v>
      </c>
      <c r="Q688">
        <f>IF($A688="","", $I688 + IFERROR(O688/30*$H688,0))</f>
        <v>0</v>
      </c>
      <c r="R688">
        <f>IF($A688="","", IF(J688&lt;=$F688, "Yes", ""))</f>
        <v>0</v>
      </c>
      <c r="S688">
        <f>IF(R688="Yes", CEILING(MAX($G688, Q688-J688), $G688), 0)</f>
        <v>0</v>
      </c>
      <c r="T688">
        <f>IFERROR(J688/(O688/30),"")</f>
        <v>0</v>
      </c>
    </row>
    <row r="689" spans="10:20">
      <c r="J689">
        <f>IF($A689="","", SUMIFS(Mov_Qty, Mov_Item, $A689))</f>
        <v>0</v>
      </c>
      <c r="K689">
        <f>IF($A689="","", J689 * $E689)</f>
        <v>0</v>
      </c>
      <c r="L689">
        <f>IF($A689="","", SUMIFS(-Mov_Qty, Mov_Item, $A689, Mov_Type, "Consumption", Mov_Date, "&gt;="&amp;$V$2, Mov_Date, "&lt;="&amp;$W$2))</f>
        <v>0</v>
      </c>
      <c r="M689">
        <f>IF($A689="","", SUMIFS(-Mov_Qty, Mov_Item, $A689, Mov_Type, "Consumption", Mov_Date, "&gt;="&amp;$X$2, Mov_Date, "&lt;="&amp;$Y$2))</f>
        <v>0</v>
      </c>
      <c r="N689">
        <f>IF($A689="","", SUMIFS(-Mov_Qty, Mov_Item, $A689, Mov_Type, "Consumption", Mov_Date, "&gt;="&amp;$Z$2, Mov_Date, "&lt;="&amp;$AA$2))</f>
        <v>0</v>
      </c>
      <c r="O689">
        <f>IFERROR(AVERAGE(L689:N689),"")</f>
        <v>0</v>
      </c>
      <c r="P689">
        <f>IF(O689&gt;=Cfg_HiMove, "Yes", "")</f>
        <v>0</v>
      </c>
      <c r="Q689">
        <f>IF($A689="","", $I689 + IFERROR(O689/30*$H689,0))</f>
        <v>0</v>
      </c>
      <c r="R689">
        <f>IF($A689="","", IF(J689&lt;=$F689, "Yes", ""))</f>
        <v>0</v>
      </c>
      <c r="S689">
        <f>IF(R689="Yes", CEILING(MAX($G689, Q689-J689), $G689), 0)</f>
        <v>0</v>
      </c>
      <c r="T689">
        <f>IFERROR(J689/(O689/30),"")</f>
        <v>0</v>
      </c>
    </row>
    <row r="690" spans="10:20">
      <c r="J690">
        <f>IF($A690="","", SUMIFS(Mov_Qty, Mov_Item, $A690))</f>
        <v>0</v>
      </c>
      <c r="K690">
        <f>IF($A690="","", J690 * $E690)</f>
        <v>0</v>
      </c>
      <c r="L690">
        <f>IF($A690="","", SUMIFS(-Mov_Qty, Mov_Item, $A690, Mov_Type, "Consumption", Mov_Date, "&gt;="&amp;$V$2, Mov_Date, "&lt;="&amp;$W$2))</f>
        <v>0</v>
      </c>
      <c r="M690">
        <f>IF($A690="","", SUMIFS(-Mov_Qty, Mov_Item, $A690, Mov_Type, "Consumption", Mov_Date, "&gt;="&amp;$X$2, Mov_Date, "&lt;="&amp;$Y$2))</f>
        <v>0</v>
      </c>
      <c r="N690">
        <f>IF($A690="","", SUMIFS(-Mov_Qty, Mov_Item, $A690, Mov_Type, "Consumption", Mov_Date, "&gt;="&amp;$Z$2, Mov_Date, "&lt;="&amp;$AA$2))</f>
        <v>0</v>
      </c>
      <c r="O690">
        <f>IFERROR(AVERAGE(L690:N690),"")</f>
        <v>0</v>
      </c>
      <c r="P690">
        <f>IF(O690&gt;=Cfg_HiMove, "Yes", "")</f>
        <v>0</v>
      </c>
      <c r="Q690">
        <f>IF($A690="","", $I690 + IFERROR(O690/30*$H690,0))</f>
        <v>0</v>
      </c>
      <c r="R690">
        <f>IF($A690="","", IF(J690&lt;=$F690, "Yes", ""))</f>
        <v>0</v>
      </c>
      <c r="S690">
        <f>IF(R690="Yes", CEILING(MAX($G690, Q690-J690), $G690), 0)</f>
        <v>0</v>
      </c>
      <c r="T690">
        <f>IFERROR(J690/(O690/30),"")</f>
        <v>0</v>
      </c>
    </row>
    <row r="691" spans="10:20">
      <c r="J691">
        <f>IF($A691="","", SUMIFS(Mov_Qty, Mov_Item, $A691))</f>
        <v>0</v>
      </c>
      <c r="K691">
        <f>IF($A691="","", J691 * $E691)</f>
        <v>0</v>
      </c>
      <c r="L691">
        <f>IF($A691="","", SUMIFS(-Mov_Qty, Mov_Item, $A691, Mov_Type, "Consumption", Mov_Date, "&gt;="&amp;$V$2, Mov_Date, "&lt;="&amp;$W$2))</f>
        <v>0</v>
      </c>
      <c r="M691">
        <f>IF($A691="","", SUMIFS(-Mov_Qty, Mov_Item, $A691, Mov_Type, "Consumption", Mov_Date, "&gt;="&amp;$X$2, Mov_Date, "&lt;="&amp;$Y$2))</f>
        <v>0</v>
      </c>
      <c r="N691">
        <f>IF($A691="","", SUMIFS(-Mov_Qty, Mov_Item, $A691, Mov_Type, "Consumption", Mov_Date, "&gt;="&amp;$Z$2, Mov_Date, "&lt;="&amp;$AA$2))</f>
        <v>0</v>
      </c>
      <c r="O691">
        <f>IFERROR(AVERAGE(L691:N691),"")</f>
        <v>0</v>
      </c>
      <c r="P691">
        <f>IF(O691&gt;=Cfg_HiMove, "Yes", "")</f>
        <v>0</v>
      </c>
      <c r="Q691">
        <f>IF($A691="","", $I691 + IFERROR(O691/30*$H691,0))</f>
        <v>0</v>
      </c>
      <c r="R691">
        <f>IF($A691="","", IF(J691&lt;=$F691, "Yes", ""))</f>
        <v>0</v>
      </c>
      <c r="S691">
        <f>IF(R691="Yes", CEILING(MAX($G691, Q691-J691), $G691), 0)</f>
        <v>0</v>
      </c>
      <c r="T691">
        <f>IFERROR(J691/(O691/30),"")</f>
        <v>0</v>
      </c>
    </row>
    <row r="692" spans="10:20">
      <c r="J692">
        <f>IF($A692="","", SUMIFS(Mov_Qty, Mov_Item, $A692))</f>
        <v>0</v>
      </c>
      <c r="K692">
        <f>IF($A692="","", J692 * $E692)</f>
        <v>0</v>
      </c>
      <c r="L692">
        <f>IF($A692="","", SUMIFS(-Mov_Qty, Mov_Item, $A692, Mov_Type, "Consumption", Mov_Date, "&gt;="&amp;$V$2, Mov_Date, "&lt;="&amp;$W$2))</f>
        <v>0</v>
      </c>
      <c r="M692">
        <f>IF($A692="","", SUMIFS(-Mov_Qty, Mov_Item, $A692, Mov_Type, "Consumption", Mov_Date, "&gt;="&amp;$X$2, Mov_Date, "&lt;="&amp;$Y$2))</f>
        <v>0</v>
      </c>
      <c r="N692">
        <f>IF($A692="","", SUMIFS(-Mov_Qty, Mov_Item, $A692, Mov_Type, "Consumption", Mov_Date, "&gt;="&amp;$Z$2, Mov_Date, "&lt;="&amp;$AA$2))</f>
        <v>0</v>
      </c>
      <c r="O692">
        <f>IFERROR(AVERAGE(L692:N692),"")</f>
        <v>0</v>
      </c>
      <c r="P692">
        <f>IF(O692&gt;=Cfg_HiMove, "Yes", "")</f>
        <v>0</v>
      </c>
      <c r="Q692">
        <f>IF($A692="","", $I692 + IFERROR(O692/30*$H692,0))</f>
        <v>0</v>
      </c>
      <c r="R692">
        <f>IF($A692="","", IF(J692&lt;=$F692, "Yes", ""))</f>
        <v>0</v>
      </c>
      <c r="S692">
        <f>IF(R692="Yes", CEILING(MAX($G692, Q692-J692), $G692), 0)</f>
        <v>0</v>
      </c>
      <c r="T692">
        <f>IFERROR(J692/(O692/30),"")</f>
        <v>0</v>
      </c>
    </row>
    <row r="693" spans="10:20">
      <c r="J693">
        <f>IF($A693="","", SUMIFS(Mov_Qty, Mov_Item, $A693))</f>
        <v>0</v>
      </c>
      <c r="K693">
        <f>IF($A693="","", J693 * $E693)</f>
        <v>0</v>
      </c>
      <c r="L693">
        <f>IF($A693="","", SUMIFS(-Mov_Qty, Mov_Item, $A693, Mov_Type, "Consumption", Mov_Date, "&gt;="&amp;$V$2, Mov_Date, "&lt;="&amp;$W$2))</f>
        <v>0</v>
      </c>
      <c r="M693">
        <f>IF($A693="","", SUMIFS(-Mov_Qty, Mov_Item, $A693, Mov_Type, "Consumption", Mov_Date, "&gt;="&amp;$X$2, Mov_Date, "&lt;="&amp;$Y$2))</f>
        <v>0</v>
      </c>
      <c r="N693">
        <f>IF($A693="","", SUMIFS(-Mov_Qty, Mov_Item, $A693, Mov_Type, "Consumption", Mov_Date, "&gt;="&amp;$Z$2, Mov_Date, "&lt;="&amp;$AA$2))</f>
        <v>0</v>
      </c>
      <c r="O693">
        <f>IFERROR(AVERAGE(L693:N693),"")</f>
        <v>0</v>
      </c>
      <c r="P693">
        <f>IF(O693&gt;=Cfg_HiMove, "Yes", "")</f>
        <v>0</v>
      </c>
      <c r="Q693">
        <f>IF($A693="","", $I693 + IFERROR(O693/30*$H693,0))</f>
        <v>0</v>
      </c>
      <c r="R693">
        <f>IF($A693="","", IF(J693&lt;=$F693, "Yes", ""))</f>
        <v>0</v>
      </c>
      <c r="S693">
        <f>IF(R693="Yes", CEILING(MAX($G693, Q693-J693), $G693), 0)</f>
        <v>0</v>
      </c>
      <c r="T693">
        <f>IFERROR(J693/(O693/30),"")</f>
        <v>0</v>
      </c>
    </row>
    <row r="694" spans="10:20">
      <c r="J694">
        <f>IF($A694="","", SUMIFS(Mov_Qty, Mov_Item, $A694))</f>
        <v>0</v>
      </c>
      <c r="K694">
        <f>IF($A694="","", J694 * $E694)</f>
        <v>0</v>
      </c>
      <c r="L694">
        <f>IF($A694="","", SUMIFS(-Mov_Qty, Mov_Item, $A694, Mov_Type, "Consumption", Mov_Date, "&gt;="&amp;$V$2, Mov_Date, "&lt;="&amp;$W$2))</f>
        <v>0</v>
      </c>
      <c r="M694">
        <f>IF($A694="","", SUMIFS(-Mov_Qty, Mov_Item, $A694, Mov_Type, "Consumption", Mov_Date, "&gt;="&amp;$X$2, Mov_Date, "&lt;="&amp;$Y$2))</f>
        <v>0</v>
      </c>
      <c r="N694">
        <f>IF($A694="","", SUMIFS(-Mov_Qty, Mov_Item, $A694, Mov_Type, "Consumption", Mov_Date, "&gt;="&amp;$Z$2, Mov_Date, "&lt;="&amp;$AA$2))</f>
        <v>0</v>
      </c>
      <c r="O694">
        <f>IFERROR(AVERAGE(L694:N694),"")</f>
        <v>0</v>
      </c>
      <c r="P694">
        <f>IF(O694&gt;=Cfg_HiMove, "Yes", "")</f>
        <v>0</v>
      </c>
      <c r="Q694">
        <f>IF($A694="","", $I694 + IFERROR(O694/30*$H694,0))</f>
        <v>0</v>
      </c>
      <c r="R694">
        <f>IF($A694="","", IF(J694&lt;=$F694, "Yes", ""))</f>
        <v>0</v>
      </c>
      <c r="S694">
        <f>IF(R694="Yes", CEILING(MAX($G694, Q694-J694), $G694), 0)</f>
        <v>0</v>
      </c>
      <c r="T694">
        <f>IFERROR(J694/(O694/30),"")</f>
        <v>0</v>
      </c>
    </row>
    <row r="695" spans="10:20">
      <c r="J695">
        <f>IF($A695="","", SUMIFS(Mov_Qty, Mov_Item, $A695))</f>
        <v>0</v>
      </c>
      <c r="K695">
        <f>IF($A695="","", J695 * $E695)</f>
        <v>0</v>
      </c>
      <c r="L695">
        <f>IF($A695="","", SUMIFS(-Mov_Qty, Mov_Item, $A695, Mov_Type, "Consumption", Mov_Date, "&gt;="&amp;$V$2, Mov_Date, "&lt;="&amp;$W$2))</f>
        <v>0</v>
      </c>
      <c r="M695">
        <f>IF($A695="","", SUMIFS(-Mov_Qty, Mov_Item, $A695, Mov_Type, "Consumption", Mov_Date, "&gt;="&amp;$X$2, Mov_Date, "&lt;="&amp;$Y$2))</f>
        <v>0</v>
      </c>
      <c r="N695">
        <f>IF($A695="","", SUMIFS(-Mov_Qty, Mov_Item, $A695, Mov_Type, "Consumption", Mov_Date, "&gt;="&amp;$Z$2, Mov_Date, "&lt;="&amp;$AA$2))</f>
        <v>0</v>
      </c>
      <c r="O695">
        <f>IFERROR(AVERAGE(L695:N695),"")</f>
        <v>0</v>
      </c>
      <c r="P695">
        <f>IF(O695&gt;=Cfg_HiMove, "Yes", "")</f>
        <v>0</v>
      </c>
      <c r="Q695">
        <f>IF($A695="","", $I695 + IFERROR(O695/30*$H695,0))</f>
        <v>0</v>
      </c>
      <c r="R695">
        <f>IF($A695="","", IF(J695&lt;=$F695, "Yes", ""))</f>
        <v>0</v>
      </c>
      <c r="S695">
        <f>IF(R695="Yes", CEILING(MAX($G695, Q695-J695), $G695), 0)</f>
        <v>0</v>
      </c>
      <c r="T695">
        <f>IFERROR(J695/(O695/30),"")</f>
        <v>0</v>
      </c>
    </row>
    <row r="696" spans="10:20">
      <c r="J696">
        <f>IF($A696="","", SUMIFS(Mov_Qty, Mov_Item, $A696))</f>
        <v>0</v>
      </c>
      <c r="K696">
        <f>IF($A696="","", J696 * $E696)</f>
        <v>0</v>
      </c>
      <c r="L696">
        <f>IF($A696="","", SUMIFS(-Mov_Qty, Mov_Item, $A696, Mov_Type, "Consumption", Mov_Date, "&gt;="&amp;$V$2, Mov_Date, "&lt;="&amp;$W$2))</f>
        <v>0</v>
      </c>
      <c r="M696">
        <f>IF($A696="","", SUMIFS(-Mov_Qty, Mov_Item, $A696, Mov_Type, "Consumption", Mov_Date, "&gt;="&amp;$X$2, Mov_Date, "&lt;="&amp;$Y$2))</f>
        <v>0</v>
      </c>
      <c r="N696">
        <f>IF($A696="","", SUMIFS(-Mov_Qty, Mov_Item, $A696, Mov_Type, "Consumption", Mov_Date, "&gt;="&amp;$Z$2, Mov_Date, "&lt;="&amp;$AA$2))</f>
        <v>0</v>
      </c>
      <c r="O696">
        <f>IFERROR(AVERAGE(L696:N696),"")</f>
        <v>0</v>
      </c>
      <c r="P696">
        <f>IF(O696&gt;=Cfg_HiMove, "Yes", "")</f>
        <v>0</v>
      </c>
      <c r="Q696">
        <f>IF($A696="","", $I696 + IFERROR(O696/30*$H696,0))</f>
        <v>0</v>
      </c>
      <c r="R696">
        <f>IF($A696="","", IF(J696&lt;=$F696, "Yes", ""))</f>
        <v>0</v>
      </c>
      <c r="S696">
        <f>IF(R696="Yes", CEILING(MAX($G696, Q696-J696), $G696), 0)</f>
        <v>0</v>
      </c>
      <c r="T696">
        <f>IFERROR(J696/(O696/30),"")</f>
        <v>0</v>
      </c>
    </row>
    <row r="697" spans="10:20">
      <c r="J697">
        <f>IF($A697="","", SUMIFS(Mov_Qty, Mov_Item, $A697))</f>
        <v>0</v>
      </c>
      <c r="K697">
        <f>IF($A697="","", J697 * $E697)</f>
        <v>0</v>
      </c>
      <c r="L697">
        <f>IF($A697="","", SUMIFS(-Mov_Qty, Mov_Item, $A697, Mov_Type, "Consumption", Mov_Date, "&gt;="&amp;$V$2, Mov_Date, "&lt;="&amp;$W$2))</f>
        <v>0</v>
      </c>
      <c r="M697">
        <f>IF($A697="","", SUMIFS(-Mov_Qty, Mov_Item, $A697, Mov_Type, "Consumption", Mov_Date, "&gt;="&amp;$X$2, Mov_Date, "&lt;="&amp;$Y$2))</f>
        <v>0</v>
      </c>
      <c r="N697">
        <f>IF($A697="","", SUMIFS(-Mov_Qty, Mov_Item, $A697, Mov_Type, "Consumption", Mov_Date, "&gt;="&amp;$Z$2, Mov_Date, "&lt;="&amp;$AA$2))</f>
        <v>0</v>
      </c>
      <c r="O697">
        <f>IFERROR(AVERAGE(L697:N697),"")</f>
        <v>0</v>
      </c>
      <c r="P697">
        <f>IF(O697&gt;=Cfg_HiMove, "Yes", "")</f>
        <v>0</v>
      </c>
      <c r="Q697">
        <f>IF($A697="","", $I697 + IFERROR(O697/30*$H697,0))</f>
        <v>0</v>
      </c>
      <c r="R697">
        <f>IF($A697="","", IF(J697&lt;=$F697, "Yes", ""))</f>
        <v>0</v>
      </c>
      <c r="S697">
        <f>IF(R697="Yes", CEILING(MAX($G697, Q697-J697), $G697), 0)</f>
        <v>0</v>
      </c>
      <c r="T697">
        <f>IFERROR(J697/(O697/30),"")</f>
        <v>0</v>
      </c>
    </row>
    <row r="698" spans="10:20">
      <c r="J698">
        <f>IF($A698="","", SUMIFS(Mov_Qty, Mov_Item, $A698))</f>
        <v>0</v>
      </c>
      <c r="K698">
        <f>IF($A698="","", J698 * $E698)</f>
        <v>0</v>
      </c>
      <c r="L698">
        <f>IF($A698="","", SUMIFS(-Mov_Qty, Mov_Item, $A698, Mov_Type, "Consumption", Mov_Date, "&gt;="&amp;$V$2, Mov_Date, "&lt;="&amp;$W$2))</f>
        <v>0</v>
      </c>
      <c r="M698">
        <f>IF($A698="","", SUMIFS(-Mov_Qty, Mov_Item, $A698, Mov_Type, "Consumption", Mov_Date, "&gt;="&amp;$X$2, Mov_Date, "&lt;="&amp;$Y$2))</f>
        <v>0</v>
      </c>
      <c r="N698">
        <f>IF($A698="","", SUMIFS(-Mov_Qty, Mov_Item, $A698, Mov_Type, "Consumption", Mov_Date, "&gt;="&amp;$Z$2, Mov_Date, "&lt;="&amp;$AA$2))</f>
        <v>0</v>
      </c>
      <c r="O698">
        <f>IFERROR(AVERAGE(L698:N698),"")</f>
        <v>0</v>
      </c>
      <c r="P698">
        <f>IF(O698&gt;=Cfg_HiMove, "Yes", "")</f>
        <v>0</v>
      </c>
      <c r="Q698">
        <f>IF($A698="","", $I698 + IFERROR(O698/30*$H698,0))</f>
        <v>0</v>
      </c>
      <c r="R698">
        <f>IF($A698="","", IF(J698&lt;=$F698, "Yes", ""))</f>
        <v>0</v>
      </c>
      <c r="S698">
        <f>IF(R698="Yes", CEILING(MAX($G698, Q698-J698), $G698), 0)</f>
        <v>0</v>
      </c>
      <c r="T698">
        <f>IFERROR(J698/(O698/30),"")</f>
        <v>0</v>
      </c>
    </row>
    <row r="699" spans="10:20">
      <c r="J699">
        <f>IF($A699="","", SUMIFS(Mov_Qty, Mov_Item, $A699))</f>
        <v>0</v>
      </c>
      <c r="K699">
        <f>IF($A699="","", J699 * $E699)</f>
        <v>0</v>
      </c>
      <c r="L699">
        <f>IF($A699="","", SUMIFS(-Mov_Qty, Mov_Item, $A699, Mov_Type, "Consumption", Mov_Date, "&gt;="&amp;$V$2, Mov_Date, "&lt;="&amp;$W$2))</f>
        <v>0</v>
      </c>
      <c r="M699">
        <f>IF($A699="","", SUMIFS(-Mov_Qty, Mov_Item, $A699, Mov_Type, "Consumption", Mov_Date, "&gt;="&amp;$X$2, Mov_Date, "&lt;="&amp;$Y$2))</f>
        <v>0</v>
      </c>
      <c r="N699">
        <f>IF($A699="","", SUMIFS(-Mov_Qty, Mov_Item, $A699, Mov_Type, "Consumption", Mov_Date, "&gt;="&amp;$Z$2, Mov_Date, "&lt;="&amp;$AA$2))</f>
        <v>0</v>
      </c>
      <c r="O699">
        <f>IFERROR(AVERAGE(L699:N699),"")</f>
        <v>0</v>
      </c>
      <c r="P699">
        <f>IF(O699&gt;=Cfg_HiMove, "Yes", "")</f>
        <v>0</v>
      </c>
      <c r="Q699">
        <f>IF($A699="","", $I699 + IFERROR(O699/30*$H699,0))</f>
        <v>0</v>
      </c>
      <c r="R699">
        <f>IF($A699="","", IF(J699&lt;=$F699, "Yes", ""))</f>
        <v>0</v>
      </c>
      <c r="S699">
        <f>IF(R699="Yes", CEILING(MAX($G699, Q699-J699), $G699), 0)</f>
        <v>0</v>
      </c>
      <c r="T699">
        <f>IFERROR(J699/(O699/30),"")</f>
        <v>0</v>
      </c>
    </row>
    <row r="700" spans="10:20">
      <c r="J700">
        <f>IF($A700="","", SUMIFS(Mov_Qty, Mov_Item, $A700))</f>
        <v>0</v>
      </c>
      <c r="K700">
        <f>IF($A700="","", J700 * $E700)</f>
        <v>0</v>
      </c>
      <c r="L700">
        <f>IF($A700="","", SUMIFS(-Mov_Qty, Mov_Item, $A700, Mov_Type, "Consumption", Mov_Date, "&gt;="&amp;$V$2, Mov_Date, "&lt;="&amp;$W$2))</f>
        <v>0</v>
      </c>
      <c r="M700">
        <f>IF($A700="","", SUMIFS(-Mov_Qty, Mov_Item, $A700, Mov_Type, "Consumption", Mov_Date, "&gt;="&amp;$X$2, Mov_Date, "&lt;="&amp;$Y$2))</f>
        <v>0</v>
      </c>
      <c r="N700">
        <f>IF($A700="","", SUMIFS(-Mov_Qty, Mov_Item, $A700, Mov_Type, "Consumption", Mov_Date, "&gt;="&amp;$Z$2, Mov_Date, "&lt;="&amp;$AA$2))</f>
        <v>0</v>
      </c>
      <c r="O700">
        <f>IFERROR(AVERAGE(L700:N700),"")</f>
        <v>0</v>
      </c>
      <c r="P700">
        <f>IF(O700&gt;=Cfg_HiMove, "Yes", "")</f>
        <v>0</v>
      </c>
      <c r="Q700">
        <f>IF($A700="","", $I700 + IFERROR(O700/30*$H700,0))</f>
        <v>0</v>
      </c>
      <c r="R700">
        <f>IF($A700="","", IF(J700&lt;=$F700, "Yes", ""))</f>
        <v>0</v>
      </c>
      <c r="S700">
        <f>IF(R700="Yes", CEILING(MAX($G700, Q700-J700), $G700), 0)</f>
        <v>0</v>
      </c>
      <c r="T700">
        <f>IFERROR(J700/(O700/30),"")</f>
        <v>0</v>
      </c>
    </row>
    <row r="701" spans="10:20">
      <c r="J701">
        <f>IF($A701="","", SUMIFS(Mov_Qty, Mov_Item, $A701))</f>
        <v>0</v>
      </c>
      <c r="K701">
        <f>IF($A701="","", J701 * $E701)</f>
        <v>0</v>
      </c>
      <c r="L701">
        <f>IF($A701="","", SUMIFS(-Mov_Qty, Mov_Item, $A701, Mov_Type, "Consumption", Mov_Date, "&gt;="&amp;$V$2, Mov_Date, "&lt;="&amp;$W$2))</f>
        <v>0</v>
      </c>
      <c r="M701">
        <f>IF($A701="","", SUMIFS(-Mov_Qty, Mov_Item, $A701, Mov_Type, "Consumption", Mov_Date, "&gt;="&amp;$X$2, Mov_Date, "&lt;="&amp;$Y$2))</f>
        <v>0</v>
      </c>
      <c r="N701">
        <f>IF($A701="","", SUMIFS(-Mov_Qty, Mov_Item, $A701, Mov_Type, "Consumption", Mov_Date, "&gt;="&amp;$Z$2, Mov_Date, "&lt;="&amp;$AA$2))</f>
        <v>0</v>
      </c>
      <c r="O701">
        <f>IFERROR(AVERAGE(L701:N701),"")</f>
        <v>0</v>
      </c>
      <c r="P701">
        <f>IF(O701&gt;=Cfg_HiMove, "Yes", "")</f>
        <v>0</v>
      </c>
      <c r="Q701">
        <f>IF($A701="","", $I701 + IFERROR(O701/30*$H701,0))</f>
        <v>0</v>
      </c>
      <c r="R701">
        <f>IF($A701="","", IF(J701&lt;=$F701, "Yes", ""))</f>
        <v>0</v>
      </c>
      <c r="S701">
        <f>IF(R701="Yes", CEILING(MAX($G701, Q701-J701), $G701), 0)</f>
        <v>0</v>
      </c>
      <c r="T701">
        <f>IFERROR(J701/(O701/30),"")</f>
        <v>0</v>
      </c>
    </row>
    <row r="702" spans="10:20">
      <c r="J702">
        <f>IF($A702="","", SUMIFS(Mov_Qty, Mov_Item, $A702))</f>
        <v>0</v>
      </c>
      <c r="K702">
        <f>IF($A702="","", J702 * $E702)</f>
        <v>0</v>
      </c>
      <c r="L702">
        <f>IF($A702="","", SUMIFS(-Mov_Qty, Mov_Item, $A702, Mov_Type, "Consumption", Mov_Date, "&gt;="&amp;$V$2, Mov_Date, "&lt;="&amp;$W$2))</f>
        <v>0</v>
      </c>
      <c r="M702">
        <f>IF($A702="","", SUMIFS(-Mov_Qty, Mov_Item, $A702, Mov_Type, "Consumption", Mov_Date, "&gt;="&amp;$X$2, Mov_Date, "&lt;="&amp;$Y$2))</f>
        <v>0</v>
      </c>
      <c r="N702">
        <f>IF($A702="","", SUMIFS(-Mov_Qty, Mov_Item, $A702, Mov_Type, "Consumption", Mov_Date, "&gt;="&amp;$Z$2, Mov_Date, "&lt;="&amp;$AA$2))</f>
        <v>0</v>
      </c>
      <c r="O702">
        <f>IFERROR(AVERAGE(L702:N702),"")</f>
        <v>0</v>
      </c>
      <c r="P702">
        <f>IF(O702&gt;=Cfg_HiMove, "Yes", "")</f>
        <v>0</v>
      </c>
      <c r="Q702">
        <f>IF($A702="","", $I702 + IFERROR(O702/30*$H702,0))</f>
        <v>0</v>
      </c>
      <c r="R702">
        <f>IF($A702="","", IF(J702&lt;=$F702, "Yes", ""))</f>
        <v>0</v>
      </c>
      <c r="S702">
        <f>IF(R702="Yes", CEILING(MAX($G702, Q702-J702), $G702), 0)</f>
        <v>0</v>
      </c>
      <c r="T702">
        <f>IFERROR(J702/(O702/30),"")</f>
        <v>0</v>
      </c>
    </row>
    <row r="703" spans="10:20">
      <c r="J703">
        <f>IF($A703="","", SUMIFS(Mov_Qty, Mov_Item, $A703))</f>
        <v>0</v>
      </c>
      <c r="K703">
        <f>IF($A703="","", J703 * $E703)</f>
        <v>0</v>
      </c>
      <c r="L703">
        <f>IF($A703="","", SUMIFS(-Mov_Qty, Mov_Item, $A703, Mov_Type, "Consumption", Mov_Date, "&gt;="&amp;$V$2, Mov_Date, "&lt;="&amp;$W$2))</f>
        <v>0</v>
      </c>
      <c r="M703">
        <f>IF($A703="","", SUMIFS(-Mov_Qty, Mov_Item, $A703, Mov_Type, "Consumption", Mov_Date, "&gt;="&amp;$X$2, Mov_Date, "&lt;="&amp;$Y$2))</f>
        <v>0</v>
      </c>
      <c r="N703">
        <f>IF($A703="","", SUMIFS(-Mov_Qty, Mov_Item, $A703, Mov_Type, "Consumption", Mov_Date, "&gt;="&amp;$Z$2, Mov_Date, "&lt;="&amp;$AA$2))</f>
        <v>0</v>
      </c>
      <c r="O703">
        <f>IFERROR(AVERAGE(L703:N703),"")</f>
        <v>0</v>
      </c>
      <c r="P703">
        <f>IF(O703&gt;=Cfg_HiMove, "Yes", "")</f>
        <v>0</v>
      </c>
      <c r="Q703">
        <f>IF($A703="","", $I703 + IFERROR(O703/30*$H703,0))</f>
        <v>0</v>
      </c>
      <c r="R703">
        <f>IF($A703="","", IF(J703&lt;=$F703, "Yes", ""))</f>
        <v>0</v>
      </c>
      <c r="S703">
        <f>IF(R703="Yes", CEILING(MAX($G703, Q703-J703), $G703), 0)</f>
        <v>0</v>
      </c>
      <c r="T703">
        <f>IFERROR(J703/(O703/30),"")</f>
        <v>0</v>
      </c>
    </row>
    <row r="704" spans="10:20">
      <c r="J704">
        <f>IF($A704="","", SUMIFS(Mov_Qty, Mov_Item, $A704))</f>
        <v>0</v>
      </c>
      <c r="K704">
        <f>IF($A704="","", J704 * $E704)</f>
        <v>0</v>
      </c>
      <c r="L704">
        <f>IF($A704="","", SUMIFS(-Mov_Qty, Mov_Item, $A704, Mov_Type, "Consumption", Mov_Date, "&gt;="&amp;$V$2, Mov_Date, "&lt;="&amp;$W$2))</f>
        <v>0</v>
      </c>
      <c r="M704">
        <f>IF($A704="","", SUMIFS(-Mov_Qty, Mov_Item, $A704, Mov_Type, "Consumption", Mov_Date, "&gt;="&amp;$X$2, Mov_Date, "&lt;="&amp;$Y$2))</f>
        <v>0</v>
      </c>
      <c r="N704">
        <f>IF($A704="","", SUMIFS(-Mov_Qty, Mov_Item, $A704, Mov_Type, "Consumption", Mov_Date, "&gt;="&amp;$Z$2, Mov_Date, "&lt;="&amp;$AA$2))</f>
        <v>0</v>
      </c>
      <c r="O704">
        <f>IFERROR(AVERAGE(L704:N704),"")</f>
        <v>0</v>
      </c>
      <c r="P704">
        <f>IF(O704&gt;=Cfg_HiMove, "Yes", "")</f>
        <v>0</v>
      </c>
      <c r="Q704">
        <f>IF($A704="","", $I704 + IFERROR(O704/30*$H704,0))</f>
        <v>0</v>
      </c>
      <c r="R704">
        <f>IF($A704="","", IF(J704&lt;=$F704, "Yes", ""))</f>
        <v>0</v>
      </c>
      <c r="S704">
        <f>IF(R704="Yes", CEILING(MAX($G704, Q704-J704), $G704), 0)</f>
        <v>0</v>
      </c>
      <c r="T704">
        <f>IFERROR(J704/(O704/30),"")</f>
        <v>0</v>
      </c>
    </row>
    <row r="705" spans="10:20">
      <c r="J705">
        <f>IF($A705="","", SUMIFS(Mov_Qty, Mov_Item, $A705))</f>
        <v>0</v>
      </c>
      <c r="K705">
        <f>IF($A705="","", J705 * $E705)</f>
        <v>0</v>
      </c>
      <c r="L705">
        <f>IF($A705="","", SUMIFS(-Mov_Qty, Mov_Item, $A705, Mov_Type, "Consumption", Mov_Date, "&gt;="&amp;$V$2, Mov_Date, "&lt;="&amp;$W$2))</f>
        <v>0</v>
      </c>
      <c r="M705">
        <f>IF($A705="","", SUMIFS(-Mov_Qty, Mov_Item, $A705, Mov_Type, "Consumption", Mov_Date, "&gt;="&amp;$X$2, Mov_Date, "&lt;="&amp;$Y$2))</f>
        <v>0</v>
      </c>
      <c r="N705">
        <f>IF($A705="","", SUMIFS(-Mov_Qty, Mov_Item, $A705, Mov_Type, "Consumption", Mov_Date, "&gt;="&amp;$Z$2, Mov_Date, "&lt;="&amp;$AA$2))</f>
        <v>0</v>
      </c>
      <c r="O705">
        <f>IFERROR(AVERAGE(L705:N705),"")</f>
        <v>0</v>
      </c>
      <c r="P705">
        <f>IF(O705&gt;=Cfg_HiMove, "Yes", "")</f>
        <v>0</v>
      </c>
      <c r="Q705">
        <f>IF($A705="","", $I705 + IFERROR(O705/30*$H705,0))</f>
        <v>0</v>
      </c>
      <c r="R705">
        <f>IF($A705="","", IF(J705&lt;=$F705, "Yes", ""))</f>
        <v>0</v>
      </c>
      <c r="S705">
        <f>IF(R705="Yes", CEILING(MAX($G705, Q705-J705), $G705), 0)</f>
        <v>0</v>
      </c>
      <c r="T705">
        <f>IFERROR(J705/(O705/30),"")</f>
        <v>0</v>
      </c>
    </row>
    <row r="706" spans="10:20">
      <c r="J706">
        <f>IF($A706="","", SUMIFS(Mov_Qty, Mov_Item, $A706))</f>
        <v>0</v>
      </c>
      <c r="K706">
        <f>IF($A706="","", J706 * $E706)</f>
        <v>0</v>
      </c>
      <c r="L706">
        <f>IF($A706="","", SUMIFS(-Mov_Qty, Mov_Item, $A706, Mov_Type, "Consumption", Mov_Date, "&gt;="&amp;$V$2, Mov_Date, "&lt;="&amp;$W$2))</f>
        <v>0</v>
      </c>
      <c r="M706">
        <f>IF($A706="","", SUMIFS(-Mov_Qty, Mov_Item, $A706, Mov_Type, "Consumption", Mov_Date, "&gt;="&amp;$X$2, Mov_Date, "&lt;="&amp;$Y$2))</f>
        <v>0</v>
      </c>
      <c r="N706">
        <f>IF($A706="","", SUMIFS(-Mov_Qty, Mov_Item, $A706, Mov_Type, "Consumption", Mov_Date, "&gt;="&amp;$Z$2, Mov_Date, "&lt;="&amp;$AA$2))</f>
        <v>0</v>
      </c>
      <c r="O706">
        <f>IFERROR(AVERAGE(L706:N706),"")</f>
        <v>0</v>
      </c>
      <c r="P706">
        <f>IF(O706&gt;=Cfg_HiMove, "Yes", "")</f>
        <v>0</v>
      </c>
      <c r="Q706">
        <f>IF($A706="","", $I706 + IFERROR(O706/30*$H706,0))</f>
        <v>0</v>
      </c>
      <c r="R706">
        <f>IF($A706="","", IF(J706&lt;=$F706, "Yes", ""))</f>
        <v>0</v>
      </c>
      <c r="S706">
        <f>IF(R706="Yes", CEILING(MAX($G706, Q706-J706), $G706), 0)</f>
        <v>0</v>
      </c>
      <c r="T706">
        <f>IFERROR(J706/(O706/30),"")</f>
        <v>0</v>
      </c>
    </row>
    <row r="707" spans="10:20">
      <c r="J707">
        <f>IF($A707="","", SUMIFS(Mov_Qty, Mov_Item, $A707))</f>
        <v>0</v>
      </c>
      <c r="K707">
        <f>IF($A707="","", J707 * $E707)</f>
        <v>0</v>
      </c>
      <c r="L707">
        <f>IF($A707="","", SUMIFS(-Mov_Qty, Mov_Item, $A707, Mov_Type, "Consumption", Mov_Date, "&gt;="&amp;$V$2, Mov_Date, "&lt;="&amp;$W$2))</f>
        <v>0</v>
      </c>
      <c r="M707">
        <f>IF($A707="","", SUMIFS(-Mov_Qty, Mov_Item, $A707, Mov_Type, "Consumption", Mov_Date, "&gt;="&amp;$X$2, Mov_Date, "&lt;="&amp;$Y$2))</f>
        <v>0</v>
      </c>
      <c r="N707">
        <f>IF($A707="","", SUMIFS(-Mov_Qty, Mov_Item, $A707, Mov_Type, "Consumption", Mov_Date, "&gt;="&amp;$Z$2, Mov_Date, "&lt;="&amp;$AA$2))</f>
        <v>0</v>
      </c>
      <c r="O707">
        <f>IFERROR(AVERAGE(L707:N707),"")</f>
        <v>0</v>
      </c>
      <c r="P707">
        <f>IF(O707&gt;=Cfg_HiMove, "Yes", "")</f>
        <v>0</v>
      </c>
      <c r="Q707">
        <f>IF($A707="","", $I707 + IFERROR(O707/30*$H707,0))</f>
        <v>0</v>
      </c>
      <c r="R707">
        <f>IF($A707="","", IF(J707&lt;=$F707, "Yes", ""))</f>
        <v>0</v>
      </c>
      <c r="S707">
        <f>IF(R707="Yes", CEILING(MAX($G707, Q707-J707), $G707), 0)</f>
        <v>0</v>
      </c>
      <c r="T707">
        <f>IFERROR(J707/(O707/30),"")</f>
        <v>0</v>
      </c>
    </row>
    <row r="708" spans="10:20">
      <c r="J708">
        <f>IF($A708="","", SUMIFS(Mov_Qty, Mov_Item, $A708))</f>
        <v>0</v>
      </c>
      <c r="K708">
        <f>IF($A708="","", J708 * $E708)</f>
        <v>0</v>
      </c>
      <c r="L708">
        <f>IF($A708="","", SUMIFS(-Mov_Qty, Mov_Item, $A708, Mov_Type, "Consumption", Mov_Date, "&gt;="&amp;$V$2, Mov_Date, "&lt;="&amp;$W$2))</f>
        <v>0</v>
      </c>
      <c r="M708">
        <f>IF($A708="","", SUMIFS(-Mov_Qty, Mov_Item, $A708, Mov_Type, "Consumption", Mov_Date, "&gt;="&amp;$X$2, Mov_Date, "&lt;="&amp;$Y$2))</f>
        <v>0</v>
      </c>
      <c r="N708">
        <f>IF($A708="","", SUMIFS(-Mov_Qty, Mov_Item, $A708, Mov_Type, "Consumption", Mov_Date, "&gt;="&amp;$Z$2, Mov_Date, "&lt;="&amp;$AA$2))</f>
        <v>0</v>
      </c>
      <c r="O708">
        <f>IFERROR(AVERAGE(L708:N708),"")</f>
        <v>0</v>
      </c>
      <c r="P708">
        <f>IF(O708&gt;=Cfg_HiMove, "Yes", "")</f>
        <v>0</v>
      </c>
      <c r="Q708">
        <f>IF($A708="","", $I708 + IFERROR(O708/30*$H708,0))</f>
        <v>0</v>
      </c>
      <c r="R708">
        <f>IF($A708="","", IF(J708&lt;=$F708, "Yes", ""))</f>
        <v>0</v>
      </c>
      <c r="S708">
        <f>IF(R708="Yes", CEILING(MAX($G708, Q708-J708), $G708), 0)</f>
        <v>0</v>
      </c>
      <c r="T708">
        <f>IFERROR(J708/(O708/30),"")</f>
        <v>0</v>
      </c>
    </row>
    <row r="709" spans="10:20">
      <c r="J709">
        <f>IF($A709="","", SUMIFS(Mov_Qty, Mov_Item, $A709))</f>
        <v>0</v>
      </c>
      <c r="K709">
        <f>IF($A709="","", J709 * $E709)</f>
        <v>0</v>
      </c>
      <c r="L709">
        <f>IF($A709="","", SUMIFS(-Mov_Qty, Mov_Item, $A709, Mov_Type, "Consumption", Mov_Date, "&gt;="&amp;$V$2, Mov_Date, "&lt;="&amp;$W$2))</f>
        <v>0</v>
      </c>
      <c r="M709">
        <f>IF($A709="","", SUMIFS(-Mov_Qty, Mov_Item, $A709, Mov_Type, "Consumption", Mov_Date, "&gt;="&amp;$X$2, Mov_Date, "&lt;="&amp;$Y$2))</f>
        <v>0</v>
      </c>
      <c r="N709">
        <f>IF($A709="","", SUMIFS(-Mov_Qty, Mov_Item, $A709, Mov_Type, "Consumption", Mov_Date, "&gt;="&amp;$Z$2, Mov_Date, "&lt;="&amp;$AA$2))</f>
        <v>0</v>
      </c>
      <c r="O709">
        <f>IFERROR(AVERAGE(L709:N709),"")</f>
        <v>0</v>
      </c>
      <c r="P709">
        <f>IF(O709&gt;=Cfg_HiMove, "Yes", "")</f>
        <v>0</v>
      </c>
      <c r="Q709">
        <f>IF($A709="","", $I709 + IFERROR(O709/30*$H709,0))</f>
        <v>0</v>
      </c>
      <c r="R709">
        <f>IF($A709="","", IF(J709&lt;=$F709, "Yes", ""))</f>
        <v>0</v>
      </c>
      <c r="S709">
        <f>IF(R709="Yes", CEILING(MAX($G709, Q709-J709), $G709), 0)</f>
        <v>0</v>
      </c>
      <c r="T709">
        <f>IFERROR(J709/(O709/30),"")</f>
        <v>0</v>
      </c>
    </row>
    <row r="710" spans="10:20">
      <c r="J710">
        <f>IF($A710="","", SUMIFS(Mov_Qty, Mov_Item, $A710))</f>
        <v>0</v>
      </c>
      <c r="K710">
        <f>IF($A710="","", J710 * $E710)</f>
        <v>0</v>
      </c>
      <c r="L710">
        <f>IF($A710="","", SUMIFS(-Mov_Qty, Mov_Item, $A710, Mov_Type, "Consumption", Mov_Date, "&gt;="&amp;$V$2, Mov_Date, "&lt;="&amp;$W$2))</f>
        <v>0</v>
      </c>
      <c r="M710">
        <f>IF($A710="","", SUMIFS(-Mov_Qty, Mov_Item, $A710, Mov_Type, "Consumption", Mov_Date, "&gt;="&amp;$X$2, Mov_Date, "&lt;="&amp;$Y$2))</f>
        <v>0</v>
      </c>
      <c r="N710">
        <f>IF($A710="","", SUMIFS(-Mov_Qty, Mov_Item, $A710, Mov_Type, "Consumption", Mov_Date, "&gt;="&amp;$Z$2, Mov_Date, "&lt;="&amp;$AA$2))</f>
        <v>0</v>
      </c>
      <c r="O710">
        <f>IFERROR(AVERAGE(L710:N710),"")</f>
        <v>0</v>
      </c>
      <c r="P710">
        <f>IF(O710&gt;=Cfg_HiMove, "Yes", "")</f>
        <v>0</v>
      </c>
      <c r="Q710">
        <f>IF($A710="","", $I710 + IFERROR(O710/30*$H710,0))</f>
        <v>0</v>
      </c>
      <c r="R710">
        <f>IF($A710="","", IF(J710&lt;=$F710, "Yes", ""))</f>
        <v>0</v>
      </c>
      <c r="S710">
        <f>IF(R710="Yes", CEILING(MAX($G710, Q710-J710), $G710), 0)</f>
        <v>0</v>
      </c>
      <c r="T710">
        <f>IFERROR(J710/(O710/30),"")</f>
        <v>0</v>
      </c>
    </row>
    <row r="711" spans="10:20">
      <c r="J711">
        <f>IF($A711="","", SUMIFS(Mov_Qty, Mov_Item, $A711))</f>
        <v>0</v>
      </c>
      <c r="K711">
        <f>IF($A711="","", J711 * $E711)</f>
        <v>0</v>
      </c>
      <c r="L711">
        <f>IF($A711="","", SUMIFS(-Mov_Qty, Mov_Item, $A711, Mov_Type, "Consumption", Mov_Date, "&gt;="&amp;$V$2, Mov_Date, "&lt;="&amp;$W$2))</f>
        <v>0</v>
      </c>
      <c r="M711">
        <f>IF($A711="","", SUMIFS(-Mov_Qty, Mov_Item, $A711, Mov_Type, "Consumption", Mov_Date, "&gt;="&amp;$X$2, Mov_Date, "&lt;="&amp;$Y$2))</f>
        <v>0</v>
      </c>
      <c r="N711">
        <f>IF($A711="","", SUMIFS(-Mov_Qty, Mov_Item, $A711, Mov_Type, "Consumption", Mov_Date, "&gt;="&amp;$Z$2, Mov_Date, "&lt;="&amp;$AA$2))</f>
        <v>0</v>
      </c>
      <c r="O711">
        <f>IFERROR(AVERAGE(L711:N711),"")</f>
        <v>0</v>
      </c>
      <c r="P711">
        <f>IF(O711&gt;=Cfg_HiMove, "Yes", "")</f>
        <v>0</v>
      </c>
      <c r="Q711">
        <f>IF($A711="","", $I711 + IFERROR(O711/30*$H711,0))</f>
        <v>0</v>
      </c>
      <c r="R711">
        <f>IF($A711="","", IF(J711&lt;=$F711, "Yes", ""))</f>
        <v>0</v>
      </c>
      <c r="S711">
        <f>IF(R711="Yes", CEILING(MAX($G711, Q711-J711), $G711), 0)</f>
        <v>0</v>
      </c>
      <c r="T711">
        <f>IFERROR(J711/(O711/30),"")</f>
        <v>0</v>
      </c>
    </row>
    <row r="712" spans="10:20">
      <c r="J712">
        <f>IF($A712="","", SUMIFS(Mov_Qty, Mov_Item, $A712))</f>
        <v>0</v>
      </c>
      <c r="K712">
        <f>IF($A712="","", J712 * $E712)</f>
        <v>0</v>
      </c>
      <c r="L712">
        <f>IF($A712="","", SUMIFS(-Mov_Qty, Mov_Item, $A712, Mov_Type, "Consumption", Mov_Date, "&gt;="&amp;$V$2, Mov_Date, "&lt;="&amp;$W$2))</f>
        <v>0</v>
      </c>
      <c r="M712">
        <f>IF($A712="","", SUMIFS(-Mov_Qty, Mov_Item, $A712, Mov_Type, "Consumption", Mov_Date, "&gt;="&amp;$X$2, Mov_Date, "&lt;="&amp;$Y$2))</f>
        <v>0</v>
      </c>
      <c r="N712">
        <f>IF($A712="","", SUMIFS(-Mov_Qty, Mov_Item, $A712, Mov_Type, "Consumption", Mov_Date, "&gt;="&amp;$Z$2, Mov_Date, "&lt;="&amp;$AA$2))</f>
        <v>0</v>
      </c>
      <c r="O712">
        <f>IFERROR(AVERAGE(L712:N712),"")</f>
        <v>0</v>
      </c>
      <c r="P712">
        <f>IF(O712&gt;=Cfg_HiMove, "Yes", "")</f>
        <v>0</v>
      </c>
      <c r="Q712">
        <f>IF($A712="","", $I712 + IFERROR(O712/30*$H712,0))</f>
        <v>0</v>
      </c>
      <c r="R712">
        <f>IF($A712="","", IF(J712&lt;=$F712, "Yes", ""))</f>
        <v>0</v>
      </c>
      <c r="S712">
        <f>IF(R712="Yes", CEILING(MAX($G712, Q712-J712), $G712), 0)</f>
        <v>0</v>
      </c>
      <c r="T712">
        <f>IFERROR(J712/(O712/30),"")</f>
        <v>0</v>
      </c>
    </row>
    <row r="713" spans="10:20">
      <c r="J713">
        <f>IF($A713="","", SUMIFS(Mov_Qty, Mov_Item, $A713))</f>
        <v>0</v>
      </c>
      <c r="K713">
        <f>IF($A713="","", J713 * $E713)</f>
        <v>0</v>
      </c>
      <c r="L713">
        <f>IF($A713="","", SUMIFS(-Mov_Qty, Mov_Item, $A713, Mov_Type, "Consumption", Mov_Date, "&gt;="&amp;$V$2, Mov_Date, "&lt;="&amp;$W$2))</f>
        <v>0</v>
      </c>
      <c r="M713">
        <f>IF($A713="","", SUMIFS(-Mov_Qty, Mov_Item, $A713, Mov_Type, "Consumption", Mov_Date, "&gt;="&amp;$X$2, Mov_Date, "&lt;="&amp;$Y$2))</f>
        <v>0</v>
      </c>
      <c r="N713">
        <f>IF($A713="","", SUMIFS(-Mov_Qty, Mov_Item, $A713, Mov_Type, "Consumption", Mov_Date, "&gt;="&amp;$Z$2, Mov_Date, "&lt;="&amp;$AA$2))</f>
        <v>0</v>
      </c>
      <c r="O713">
        <f>IFERROR(AVERAGE(L713:N713),"")</f>
        <v>0</v>
      </c>
      <c r="P713">
        <f>IF(O713&gt;=Cfg_HiMove, "Yes", "")</f>
        <v>0</v>
      </c>
      <c r="Q713">
        <f>IF($A713="","", $I713 + IFERROR(O713/30*$H713,0))</f>
        <v>0</v>
      </c>
      <c r="R713">
        <f>IF($A713="","", IF(J713&lt;=$F713, "Yes", ""))</f>
        <v>0</v>
      </c>
      <c r="S713">
        <f>IF(R713="Yes", CEILING(MAX($G713, Q713-J713), $G713), 0)</f>
        <v>0</v>
      </c>
      <c r="T713">
        <f>IFERROR(J713/(O713/30),"")</f>
        <v>0</v>
      </c>
    </row>
    <row r="714" spans="10:20">
      <c r="J714">
        <f>IF($A714="","", SUMIFS(Mov_Qty, Mov_Item, $A714))</f>
        <v>0</v>
      </c>
      <c r="K714">
        <f>IF($A714="","", J714 * $E714)</f>
        <v>0</v>
      </c>
      <c r="L714">
        <f>IF($A714="","", SUMIFS(-Mov_Qty, Mov_Item, $A714, Mov_Type, "Consumption", Mov_Date, "&gt;="&amp;$V$2, Mov_Date, "&lt;="&amp;$W$2))</f>
        <v>0</v>
      </c>
      <c r="M714">
        <f>IF($A714="","", SUMIFS(-Mov_Qty, Mov_Item, $A714, Mov_Type, "Consumption", Mov_Date, "&gt;="&amp;$X$2, Mov_Date, "&lt;="&amp;$Y$2))</f>
        <v>0</v>
      </c>
      <c r="N714">
        <f>IF($A714="","", SUMIFS(-Mov_Qty, Mov_Item, $A714, Mov_Type, "Consumption", Mov_Date, "&gt;="&amp;$Z$2, Mov_Date, "&lt;="&amp;$AA$2))</f>
        <v>0</v>
      </c>
      <c r="O714">
        <f>IFERROR(AVERAGE(L714:N714),"")</f>
        <v>0</v>
      </c>
      <c r="P714">
        <f>IF(O714&gt;=Cfg_HiMove, "Yes", "")</f>
        <v>0</v>
      </c>
      <c r="Q714">
        <f>IF($A714="","", $I714 + IFERROR(O714/30*$H714,0))</f>
        <v>0</v>
      </c>
      <c r="R714">
        <f>IF($A714="","", IF(J714&lt;=$F714, "Yes", ""))</f>
        <v>0</v>
      </c>
      <c r="S714">
        <f>IF(R714="Yes", CEILING(MAX($G714, Q714-J714), $G714), 0)</f>
        <v>0</v>
      </c>
      <c r="T714">
        <f>IFERROR(J714/(O714/30),"")</f>
        <v>0</v>
      </c>
    </row>
    <row r="715" spans="10:20">
      <c r="J715">
        <f>IF($A715="","", SUMIFS(Mov_Qty, Mov_Item, $A715))</f>
        <v>0</v>
      </c>
      <c r="K715">
        <f>IF($A715="","", J715 * $E715)</f>
        <v>0</v>
      </c>
      <c r="L715">
        <f>IF($A715="","", SUMIFS(-Mov_Qty, Mov_Item, $A715, Mov_Type, "Consumption", Mov_Date, "&gt;="&amp;$V$2, Mov_Date, "&lt;="&amp;$W$2))</f>
        <v>0</v>
      </c>
      <c r="M715">
        <f>IF($A715="","", SUMIFS(-Mov_Qty, Mov_Item, $A715, Mov_Type, "Consumption", Mov_Date, "&gt;="&amp;$X$2, Mov_Date, "&lt;="&amp;$Y$2))</f>
        <v>0</v>
      </c>
      <c r="N715">
        <f>IF($A715="","", SUMIFS(-Mov_Qty, Mov_Item, $A715, Mov_Type, "Consumption", Mov_Date, "&gt;="&amp;$Z$2, Mov_Date, "&lt;="&amp;$AA$2))</f>
        <v>0</v>
      </c>
      <c r="O715">
        <f>IFERROR(AVERAGE(L715:N715),"")</f>
        <v>0</v>
      </c>
      <c r="P715">
        <f>IF(O715&gt;=Cfg_HiMove, "Yes", "")</f>
        <v>0</v>
      </c>
      <c r="Q715">
        <f>IF($A715="","", $I715 + IFERROR(O715/30*$H715,0))</f>
        <v>0</v>
      </c>
      <c r="R715">
        <f>IF($A715="","", IF(J715&lt;=$F715, "Yes", ""))</f>
        <v>0</v>
      </c>
      <c r="S715">
        <f>IF(R715="Yes", CEILING(MAX($G715, Q715-J715), $G715), 0)</f>
        <v>0</v>
      </c>
      <c r="T715">
        <f>IFERROR(J715/(O715/30),"")</f>
        <v>0</v>
      </c>
    </row>
    <row r="716" spans="10:20">
      <c r="J716">
        <f>IF($A716="","", SUMIFS(Mov_Qty, Mov_Item, $A716))</f>
        <v>0</v>
      </c>
      <c r="K716">
        <f>IF($A716="","", J716 * $E716)</f>
        <v>0</v>
      </c>
      <c r="L716">
        <f>IF($A716="","", SUMIFS(-Mov_Qty, Mov_Item, $A716, Mov_Type, "Consumption", Mov_Date, "&gt;="&amp;$V$2, Mov_Date, "&lt;="&amp;$W$2))</f>
        <v>0</v>
      </c>
      <c r="M716">
        <f>IF($A716="","", SUMIFS(-Mov_Qty, Mov_Item, $A716, Mov_Type, "Consumption", Mov_Date, "&gt;="&amp;$X$2, Mov_Date, "&lt;="&amp;$Y$2))</f>
        <v>0</v>
      </c>
      <c r="N716">
        <f>IF($A716="","", SUMIFS(-Mov_Qty, Mov_Item, $A716, Mov_Type, "Consumption", Mov_Date, "&gt;="&amp;$Z$2, Mov_Date, "&lt;="&amp;$AA$2))</f>
        <v>0</v>
      </c>
      <c r="O716">
        <f>IFERROR(AVERAGE(L716:N716),"")</f>
        <v>0</v>
      </c>
      <c r="P716">
        <f>IF(O716&gt;=Cfg_HiMove, "Yes", "")</f>
        <v>0</v>
      </c>
      <c r="Q716">
        <f>IF($A716="","", $I716 + IFERROR(O716/30*$H716,0))</f>
        <v>0</v>
      </c>
      <c r="R716">
        <f>IF($A716="","", IF(J716&lt;=$F716, "Yes", ""))</f>
        <v>0</v>
      </c>
      <c r="S716">
        <f>IF(R716="Yes", CEILING(MAX($G716, Q716-J716), $G716), 0)</f>
        <v>0</v>
      </c>
      <c r="T716">
        <f>IFERROR(J716/(O716/30),"")</f>
        <v>0</v>
      </c>
    </row>
    <row r="717" spans="10:20">
      <c r="J717">
        <f>IF($A717="","", SUMIFS(Mov_Qty, Mov_Item, $A717))</f>
        <v>0</v>
      </c>
      <c r="K717">
        <f>IF($A717="","", J717 * $E717)</f>
        <v>0</v>
      </c>
      <c r="L717">
        <f>IF($A717="","", SUMIFS(-Mov_Qty, Mov_Item, $A717, Mov_Type, "Consumption", Mov_Date, "&gt;="&amp;$V$2, Mov_Date, "&lt;="&amp;$W$2))</f>
        <v>0</v>
      </c>
      <c r="M717">
        <f>IF($A717="","", SUMIFS(-Mov_Qty, Mov_Item, $A717, Mov_Type, "Consumption", Mov_Date, "&gt;="&amp;$X$2, Mov_Date, "&lt;="&amp;$Y$2))</f>
        <v>0</v>
      </c>
      <c r="N717">
        <f>IF($A717="","", SUMIFS(-Mov_Qty, Mov_Item, $A717, Mov_Type, "Consumption", Mov_Date, "&gt;="&amp;$Z$2, Mov_Date, "&lt;="&amp;$AA$2))</f>
        <v>0</v>
      </c>
      <c r="O717">
        <f>IFERROR(AVERAGE(L717:N717),"")</f>
        <v>0</v>
      </c>
      <c r="P717">
        <f>IF(O717&gt;=Cfg_HiMove, "Yes", "")</f>
        <v>0</v>
      </c>
      <c r="Q717">
        <f>IF($A717="","", $I717 + IFERROR(O717/30*$H717,0))</f>
        <v>0</v>
      </c>
      <c r="R717">
        <f>IF($A717="","", IF(J717&lt;=$F717, "Yes", ""))</f>
        <v>0</v>
      </c>
      <c r="S717">
        <f>IF(R717="Yes", CEILING(MAX($G717, Q717-J717), $G717), 0)</f>
        <v>0</v>
      </c>
      <c r="T717">
        <f>IFERROR(J717/(O717/30),"")</f>
        <v>0</v>
      </c>
    </row>
    <row r="718" spans="10:20">
      <c r="J718">
        <f>IF($A718="","", SUMIFS(Mov_Qty, Mov_Item, $A718))</f>
        <v>0</v>
      </c>
      <c r="K718">
        <f>IF($A718="","", J718 * $E718)</f>
        <v>0</v>
      </c>
      <c r="L718">
        <f>IF($A718="","", SUMIFS(-Mov_Qty, Mov_Item, $A718, Mov_Type, "Consumption", Mov_Date, "&gt;="&amp;$V$2, Mov_Date, "&lt;="&amp;$W$2))</f>
        <v>0</v>
      </c>
      <c r="M718">
        <f>IF($A718="","", SUMIFS(-Mov_Qty, Mov_Item, $A718, Mov_Type, "Consumption", Mov_Date, "&gt;="&amp;$X$2, Mov_Date, "&lt;="&amp;$Y$2))</f>
        <v>0</v>
      </c>
      <c r="N718">
        <f>IF($A718="","", SUMIFS(-Mov_Qty, Mov_Item, $A718, Mov_Type, "Consumption", Mov_Date, "&gt;="&amp;$Z$2, Mov_Date, "&lt;="&amp;$AA$2))</f>
        <v>0</v>
      </c>
      <c r="O718">
        <f>IFERROR(AVERAGE(L718:N718),"")</f>
        <v>0</v>
      </c>
      <c r="P718">
        <f>IF(O718&gt;=Cfg_HiMove, "Yes", "")</f>
        <v>0</v>
      </c>
      <c r="Q718">
        <f>IF($A718="","", $I718 + IFERROR(O718/30*$H718,0))</f>
        <v>0</v>
      </c>
      <c r="R718">
        <f>IF($A718="","", IF(J718&lt;=$F718, "Yes", ""))</f>
        <v>0</v>
      </c>
      <c r="S718">
        <f>IF(R718="Yes", CEILING(MAX($G718, Q718-J718), $G718), 0)</f>
        <v>0</v>
      </c>
      <c r="T718">
        <f>IFERROR(J718/(O718/30),"")</f>
        <v>0</v>
      </c>
    </row>
    <row r="719" spans="10:20">
      <c r="J719">
        <f>IF($A719="","", SUMIFS(Mov_Qty, Mov_Item, $A719))</f>
        <v>0</v>
      </c>
      <c r="K719">
        <f>IF($A719="","", J719 * $E719)</f>
        <v>0</v>
      </c>
      <c r="L719">
        <f>IF($A719="","", SUMIFS(-Mov_Qty, Mov_Item, $A719, Mov_Type, "Consumption", Mov_Date, "&gt;="&amp;$V$2, Mov_Date, "&lt;="&amp;$W$2))</f>
        <v>0</v>
      </c>
      <c r="M719">
        <f>IF($A719="","", SUMIFS(-Mov_Qty, Mov_Item, $A719, Mov_Type, "Consumption", Mov_Date, "&gt;="&amp;$X$2, Mov_Date, "&lt;="&amp;$Y$2))</f>
        <v>0</v>
      </c>
      <c r="N719">
        <f>IF($A719="","", SUMIFS(-Mov_Qty, Mov_Item, $A719, Mov_Type, "Consumption", Mov_Date, "&gt;="&amp;$Z$2, Mov_Date, "&lt;="&amp;$AA$2))</f>
        <v>0</v>
      </c>
      <c r="O719">
        <f>IFERROR(AVERAGE(L719:N719),"")</f>
        <v>0</v>
      </c>
      <c r="P719">
        <f>IF(O719&gt;=Cfg_HiMove, "Yes", "")</f>
        <v>0</v>
      </c>
      <c r="Q719">
        <f>IF($A719="","", $I719 + IFERROR(O719/30*$H719,0))</f>
        <v>0</v>
      </c>
      <c r="R719">
        <f>IF($A719="","", IF(J719&lt;=$F719, "Yes", ""))</f>
        <v>0</v>
      </c>
      <c r="S719">
        <f>IF(R719="Yes", CEILING(MAX($G719, Q719-J719), $G719), 0)</f>
        <v>0</v>
      </c>
      <c r="T719">
        <f>IFERROR(J719/(O719/30),"")</f>
        <v>0</v>
      </c>
    </row>
    <row r="720" spans="10:20">
      <c r="J720">
        <f>IF($A720="","", SUMIFS(Mov_Qty, Mov_Item, $A720))</f>
        <v>0</v>
      </c>
      <c r="K720">
        <f>IF($A720="","", J720 * $E720)</f>
        <v>0</v>
      </c>
      <c r="L720">
        <f>IF($A720="","", SUMIFS(-Mov_Qty, Mov_Item, $A720, Mov_Type, "Consumption", Mov_Date, "&gt;="&amp;$V$2, Mov_Date, "&lt;="&amp;$W$2))</f>
        <v>0</v>
      </c>
      <c r="M720">
        <f>IF($A720="","", SUMIFS(-Mov_Qty, Mov_Item, $A720, Mov_Type, "Consumption", Mov_Date, "&gt;="&amp;$X$2, Mov_Date, "&lt;="&amp;$Y$2))</f>
        <v>0</v>
      </c>
      <c r="N720">
        <f>IF($A720="","", SUMIFS(-Mov_Qty, Mov_Item, $A720, Mov_Type, "Consumption", Mov_Date, "&gt;="&amp;$Z$2, Mov_Date, "&lt;="&amp;$AA$2))</f>
        <v>0</v>
      </c>
      <c r="O720">
        <f>IFERROR(AVERAGE(L720:N720),"")</f>
        <v>0</v>
      </c>
      <c r="P720">
        <f>IF(O720&gt;=Cfg_HiMove, "Yes", "")</f>
        <v>0</v>
      </c>
      <c r="Q720">
        <f>IF($A720="","", $I720 + IFERROR(O720/30*$H720,0))</f>
        <v>0</v>
      </c>
      <c r="R720">
        <f>IF($A720="","", IF(J720&lt;=$F720, "Yes", ""))</f>
        <v>0</v>
      </c>
      <c r="S720">
        <f>IF(R720="Yes", CEILING(MAX($G720, Q720-J720), $G720), 0)</f>
        <v>0</v>
      </c>
      <c r="T720">
        <f>IFERROR(J720/(O720/30),"")</f>
        <v>0</v>
      </c>
    </row>
    <row r="721" spans="10:20">
      <c r="J721">
        <f>IF($A721="","", SUMIFS(Mov_Qty, Mov_Item, $A721))</f>
        <v>0</v>
      </c>
      <c r="K721">
        <f>IF($A721="","", J721 * $E721)</f>
        <v>0</v>
      </c>
      <c r="L721">
        <f>IF($A721="","", SUMIFS(-Mov_Qty, Mov_Item, $A721, Mov_Type, "Consumption", Mov_Date, "&gt;="&amp;$V$2, Mov_Date, "&lt;="&amp;$W$2))</f>
        <v>0</v>
      </c>
      <c r="M721">
        <f>IF($A721="","", SUMIFS(-Mov_Qty, Mov_Item, $A721, Mov_Type, "Consumption", Mov_Date, "&gt;="&amp;$X$2, Mov_Date, "&lt;="&amp;$Y$2))</f>
        <v>0</v>
      </c>
      <c r="N721">
        <f>IF($A721="","", SUMIFS(-Mov_Qty, Mov_Item, $A721, Mov_Type, "Consumption", Mov_Date, "&gt;="&amp;$Z$2, Mov_Date, "&lt;="&amp;$AA$2))</f>
        <v>0</v>
      </c>
      <c r="O721">
        <f>IFERROR(AVERAGE(L721:N721),"")</f>
        <v>0</v>
      </c>
      <c r="P721">
        <f>IF(O721&gt;=Cfg_HiMove, "Yes", "")</f>
        <v>0</v>
      </c>
      <c r="Q721">
        <f>IF($A721="","", $I721 + IFERROR(O721/30*$H721,0))</f>
        <v>0</v>
      </c>
      <c r="R721">
        <f>IF($A721="","", IF(J721&lt;=$F721, "Yes", ""))</f>
        <v>0</v>
      </c>
      <c r="S721">
        <f>IF(R721="Yes", CEILING(MAX($G721, Q721-J721), $G721), 0)</f>
        <v>0</v>
      </c>
      <c r="T721">
        <f>IFERROR(J721/(O721/30),"")</f>
        <v>0</v>
      </c>
    </row>
    <row r="722" spans="10:20">
      <c r="J722">
        <f>IF($A722="","", SUMIFS(Mov_Qty, Mov_Item, $A722))</f>
        <v>0</v>
      </c>
      <c r="K722">
        <f>IF($A722="","", J722 * $E722)</f>
        <v>0</v>
      </c>
      <c r="L722">
        <f>IF($A722="","", SUMIFS(-Mov_Qty, Mov_Item, $A722, Mov_Type, "Consumption", Mov_Date, "&gt;="&amp;$V$2, Mov_Date, "&lt;="&amp;$W$2))</f>
        <v>0</v>
      </c>
      <c r="M722">
        <f>IF($A722="","", SUMIFS(-Mov_Qty, Mov_Item, $A722, Mov_Type, "Consumption", Mov_Date, "&gt;="&amp;$X$2, Mov_Date, "&lt;="&amp;$Y$2))</f>
        <v>0</v>
      </c>
      <c r="N722">
        <f>IF($A722="","", SUMIFS(-Mov_Qty, Mov_Item, $A722, Mov_Type, "Consumption", Mov_Date, "&gt;="&amp;$Z$2, Mov_Date, "&lt;="&amp;$AA$2))</f>
        <v>0</v>
      </c>
      <c r="O722">
        <f>IFERROR(AVERAGE(L722:N722),"")</f>
        <v>0</v>
      </c>
      <c r="P722">
        <f>IF(O722&gt;=Cfg_HiMove, "Yes", "")</f>
        <v>0</v>
      </c>
      <c r="Q722">
        <f>IF($A722="","", $I722 + IFERROR(O722/30*$H722,0))</f>
        <v>0</v>
      </c>
      <c r="R722">
        <f>IF($A722="","", IF(J722&lt;=$F722, "Yes", ""))</f>
        <v>0</v>
      </c>
      <c r="S722">
        <f>IF(R722="Yes", CEILING(MAX($G722, Q722-J722), $G722), 0)</f>
        <v>0</v>
      </c>
      <c r="T722">
        <f>IFERROR(J722/(O722/30),"")</f>
        <v>0</v>
      </c>
    </row>
    <row r="723" spans="10:20">
      <c r="J723">
        <f>IF($A723="","", SUMIFS(Mov_Qty, Mov_Item, $A723))</f>
        <v>0</v>
      </c>
      <c r="K723">
        <f>IF($A723="","", J723 * $E723)</f>
        <v>0</v>
      </c>
      <c r="L723">
        <f>IF($A723="","", SUMIFS(-Mov_Qty, Mov_Item, $A723, Mov_Type, "Consumption", Mov_Date, "&gt;="&amp;$V$2, Mov_Date, "&lt;="&amp;$W$2))</f>
        <v>0</v>
      </c>
      <c r="M723">
        <f>IF($A723="","", SUMIFS(-Mov_Qty, Mov_Item, $A723, Mov_Type, "Consumption", Mov_Date, "&gt;="&amp;$X$2, Mov_Date, "&lt;="&amp;$Y$2))</f>
        <v>0</v>
      </c>
      <c r="N723">
        <f>IF($A723="","", SUMIFS(-Mov_Qty, Mov_Item, $A723, Mov_Type, "Consumption", Mov_Date, "&gt;="&amp;$Z$2, Mov_Date, "&lt;="&amp;$AA$2))</f>
        <v>0</v>
      </c>
      <c r="O723">
        <f>IFERROR(AVERAGE(L723:N723),"")</f>
        <v>0</v>
      </c>
      <c r="P723">
        <f>IF(O723&gt;=Cfg_HiMove, "Yes", "")</f>
        <v>0</v>
      </c>
      <c r="Q723">
        <f>IF($A723="","", $I723 + IFERROR(O723/30*$H723,0))</f>
        <v>0</v>
      </c>
      <c r="R723">
        <f>IF($A723="","", IF(J723&lt;=$F723, "Yes", ""))</f>
        <v>0</v>
      </c>
      <c r="S723">
        <f>IF(R723="Yes", CEILING(MAX($G723, Q723-J723), $G723), 0)</f>
        <v>0</v>
      </c>
      <c r="T723">
        <f>IFERROR(J723/(O723/30),"")</f>
        <v>0</v>
      </c>
    </row>
    <row r="724" spans="10:20">
      <c r="J724">
        <f>IF($A724="","", SUMIFS(Mov_Qty, Mov_Item, $A724))</f>
        <v>0</v>
      </c>
      <c r="K724">
        <f>IF($A724="","", J724 * $E724)</f>
        <v>0</v>
      </c>
      <c r="L724">
        <f>IF($A724="","", SUMIFS(-Mov_Qty, Mov_Item, $A724, Mov_Type, "Consumption", Mov_Date, "&gt;="&amp;$V$2, Mov_Date, "&lt;="&amp;$W$2))</f>
        <v>0</v>
      </c>
      <c r="M724">
        <f>IF($A724="","", SUMIFS(-Mov_Qty, Mov_Item, $A724, Mov_Type, "Consumption", Mov_Date, "&gt;="&amp;$X$2, Mov_Date, "&lt;="&amp;$Y$2))</f>
        <v>0</v>
      </c>
      <c r="N724">
        <f>IF($A724="","", SUMIFS(-Mov_Qty, Mov_Item, $A724, Mov_Type, "Consumption", Mov_Date, "&gt;="&amp;$Z$2, Mov_Date, "&lt;="&amp;$AA$2))</f>
        <v>0</v>
      </c>
      <c r="O724">
        <f>IFERROR(AVERAGE(L724:N724),"")</f>
        <v>0</v>
      </c>
      <c r="P724">
        <f>IF(O724&gt;=Cfg_HiMove, "Yes", "")</f>
        <v>0</v>
      </c>
      <c r="Q724">
        <f>IF($A724="","", $I724 + IFERROR(O724/30*$H724,0))</f>
        <v>0</v>
      </c>
      <c r="R724">
        <f>IF($A724="","", IF(J724&lt;=$F724, "Yes", ""))</f>
        <v>0</v>
      </c>
      <c r="S724">
        <f>IF(R724="Yes", CEILING(MAX($G724, Q724-J724), $G724), 0)</f>
        <v>0</v>
      </c>
      <c r="T724">
        <f>IFERROR(J724/(O724/30),"")</f>
        <v>0</v>
      </c>
    </row>
    <row r="725" spans="10:20">
      <c r="J725">
        <f>IF($A725="","", SUMIFS(Mov_Qty, Mov_Item, $A725))</f>
        <v>0</v>
      </c>
      <c r="K725">
        <f>IF($A725="","", J725 * $E725)</f>
        <v>0</v>
      </c>
      <c r="L725">
        <f>IF($A725="","", SUMIFS(-Mov_Qty, Mov_Item, $A725, Mov_Type, "Consumption", Mov_Date, "&gt;="&amp;$V$2, Mov_Date, "&lt;="&amp;$W$2))</f>
        <v>0</v>
      </c>
      <c r="M725">
        <f>IF($A725="","", SUMIFS(-Mov_Qty, Mov_Item, $A725, Mov_Type, "Consumption", Mov_Date, "&gt;="&amp;$X$2, Mov_Date, "&lt;="&amp;$Y$2))</f>
        <v>0</v>
      </c>
      <c r="N725">
        <f>IF($A725="","", SUMIFS(-Mov_Qty, Mov_Item, $A725, Mov_Type, "Consumption", Mov_Date, "&gt;="&amp;$Z$2, Mov_Date, "&lt;="&amp;$AA$2))</f>
        <v>0</v>
      </c>
      <c r="O725">
        <f>IFERROR(AVERAGE(L725:N725),"")</f>
        <v>0</v>
      </c>
      <c r="P725">
        <f>IF(O725&gt;=Cfg_HiMove, "Yes", "")</f>
        <v>0</v>
      </c>
      <c r="Q725">
        <f>IF($A725="","", $I725 + IFERROR(O725/30*$H725,0))</f>
        <v>0</v>
      </c>
      <c r="R725">
        <f>IF($A725="","", IF(J725&lt;=$F725, "Yes", ""))</f>
        <v>0</v>
      </c>
      <c r="S725">
        <f>IF(R725="Yes", CEILING(MAX($G725, Q725-J725), $G725), 0)</f>
        <v>0</v>
      </c>
      <c r="T725">
        <f>IFERROR(J725/(O725/30),"")</f>
        <v>0</v>
      </c>
    </row>
    <row r="726" spans="10:20">
      <c r="J726">
        <f>IF($A726="","", SUMIFS(Mov_Qty, Mov_Item, $A726))</f>
        <v>0</v>
      </c>
      <c r="K726">
        <f>IF($A726="","", J726 * $E726)</f>
        <v>0</v>
      </c>
      <c r="L726">
        <f>IF($A726="","", SUMIFS(-Mov_Qty, Mov_Item, $A726, Mov_Type, "Consumption", Mov_Date, "&gt;="&amp;$V$2, Mov_Date, "&lt;="&amp;$W$2))</f>
        <v>0</v>
      </c>
      <c r="M726">
        <f>IF($A726="","", SUMIFS(-Mov_Qty, Mov_Item, $A726, Mov_Type, "Consumption", Mov_Date, "&gt;="&amp;$X$2, Mov_Date, "&lt;="&amp;$Y$2))</f>
        <v>0</v>
      </c>
      <c r="N726">
        <f>IF($A726="","", SUMIFS(-Mov_Qty, Mov_Item, $A726, Mov_Type, "Consumption", Mov_Date, "&gt;="&amp;$Z$2, Mov_Date, "&lt;="&amp;$AA$2))</f>
        <v>0</v>
      </c>
      <c r="O726">
        <f>IFERROR(AVERAGE(L726:N726),"")</f>
        <v>0</v>
      </c>
      <c r="P726">
        <f>IF(O726&gt;=Cfg_HiMove, "Yes", "")</f>
        <v>0</v>
      </c>
      <c r="Q726">
        <f>IF($A726="","", $I726 + IFERROR(O726/30*$H726,0))</f>
        <v>0</v>
      </c>
      <c r="R726">
        <f>IF($A726="","", IF(J726&lt;=$F726, "Yes", ""))</f>
        <v>0</v>
      </c>
      <c r="S726">
        <f>IF(R726="Yes", CEILING(MAX($G726, Q726-J726), $G726), 0)</f>
        <v>0</v>
      </c>
      <c r="T726">
        <f>IFERROR(J726/(O726/30),"")</f>
        <v>0</v>
      </c>
    </row>
    <row r="727" spans="10:20">
      <c r="J727">
        <f>IF($A727="","", SUMIFS(Mov_Qty, Mov_Item, $A727))</f>
        <v>0</v>
      </c>
      <c r="K727">
        <f>IF($A727="","", J727 * $E727)</f>
        <v>0</v>
      </c>
      <c r="L727">
        <f>IF($A727="","", SUMIFS(-Mov_Qty, Mov_Item, $A727, Mov_Type, "Consumption", Mov_Date, "&gt;="&amp;$V$2, Mov_Date, "&lt;="&amp;$W$2))</f>
        <v>0</v>
      </c>
      <c r="M727">
        <f>IF($A727="","", SUMIFS(-Mov_Qty, Mov_Item, $A727, Mov_Type, "Consumption", Mov_Date, "&gt;="&amp;$X$2, Mov_Date, "&lt;="&amp;$Y$2))</f>
        <v>0</v>
      </c>
      <c r="N727">
        <f>IF($A727="","", SUMIFS(-Mov_Qty, Mov_Item, $A727, Mov_Type, "Consumption", Mov_Date, "&gt;="&amp;$Z$2, Mov_Date, "&lt;="&amp;$AA$2))</f>
        <v>0</v>
      </c>
      <c r="O727">
        <f>IFERROR(AVERAGE(L727:N727),"")</f>
        <v>0</v>
      </c>
      <c r="P727">
        <f>IF(O727&gt;=Cfg_HiMove, "Yes", "")</f>
        <v>0</v>
      </c>
      <c r="Q727">
        <f>IF($A727="","", $I727 + IFERROR(O727/30*$H727,0))</f>
        <v>0</v>
      </c>
      <c r="R727">
        <f>IF($A727="","", IF(J727&lt;=$F727, "Yes", ""))</f>
        <v>0</v>
      </c>
      <c r="S727">
        <f>IF(R727="Yes", CEILING(MAX($G727, Q727-J727), $G727), 0)</f>
        <v>0</v>
      </c>
      <c r="T727">
        <f>IFERROR(J727/(O727/30),"")</f>
        <v>0</v>
      </c>
    </row>
    <row r="728" spans="10:20">
      <c r="J728">
        <f>IF($A728="","", SUMIFS(Mov_Qty, Mov_Item, $A728))</f>
        <v>0</v>
      </c>
      <c r="K728">
        <f>IF($A728="","", J728 * $E728)</f>
        <v>0</v>
      </c>
      <c r="L728">
        <f>IF($A728="","", SUMIFS(-Mov_Qty, Mov_Item, $A728, Mov_Type, "Consumption", Mov_Date, "&gt;="&amp;$V$2, Mov_Date, "&lt;="&amp;$W$2))</f>
        <v>0</v>
      </c>
      <c r="M728">
        <f>IF($A728="","", SUMIFS(-Mov_Qty, Mov_Item, $A728, Mov_Type, "Consumption", Mov_Date, "&gt;="&amp;$X$2, Mov_Date, "&lt;="&amp;$Y$2))</f>
        <v>0</v>
      </c>
      <c r="N728">
        <f>IF($A728="","", SUMIFS(-Mov_Qty, Mov_Item, $A728, Mov_Type, "Consumption", Mov_Date, "&gt;="&amp;$Z$2, Mov_Date, "&lt;="&amp;$AA$2))</f>
        <v>0</v>
      </c>
      <c r="O728">
        <f>IFERROR(AVERAGE(L728:N728),"")</f>
        <v>0</v>
      </c>
      <c r="P728">
        <f>IF(O728&gt;=Cfg_HiMove, "Yes", "")</f>
        <v>0</v>
      </c>
      <c r="Q728">
        <f>IF($A728="","", $I728 + IFERROR(O728/30*$H728,0))</f>
        <v>0</v>
      </c>
      <c r="R728">
        <f>IF($A728="","", IF(J728&lt;=$F728, "Yes", ""))</f>
        <v>0</v>
      </c>
      <c r="S728">
        <f>IF(R728="Yes", CEILING(MAX($G728, Q728-J728), $G728), 0)</f>
        <v>0</v>
      </c>
      <c r="T728">
        <f>IFERROR(J728/(O728/30),"")</f>
        <v>0</v>
      </c>
    </row>
    <row r="729" spans="10:20">
      <c r="J729">
        <f>IF($A729="","", SUMIFS(Mov_Qty, Mov_Item, $A729))</f>
        <v>0</v>
      </c>
      <c r="K729">
        <f>IF($A729="","", J729 * $E729)</f>
        <v>0</v>
      </c>
      <c r="L729">
        <f>IF($A729="","", SUMIFS(-Mov_Qty, Mov_Item, $A729, Mov_Type, "Consumption", Mov_Date, "&gt;="&amp;$V$2, Mov_Date, "&lt;="&amp;$W$2))</f>
        <v>0</v>
      </c>
      <c r="M729">
        <f>IF($A729="","", SUMIFS(-Mov_Qty, Mov_Item, $A729, Mov_Type, "Consumption", Mov_Date, "&gt;="&amp;$X$2, Mov_Date, "&lt;="&amp;$Y$2))</f>
        <v>0</v>
      </c>
      <c r="N729">
        <f>IF($A729="","", SUMIFS(-Mov_Qty, Mov_Item, $A729, Mov_Type, "Consumption", Mov_Date, "&gt;="&amp;$Z$2, Mov_Date, "&lt;="&amp;$AA$2))</f>
        <v>0</v>
      </c>
      <c r="O729">
        <f>IFERROR(AVERAGE(L729:N729),"")</f>
        <v>0</v>
      </c>
      <c r="P729">
        <f>IF(O729&gt;=Cfg_HiMove, "Yes", "")</f>
        <v>0</v>
      </c>
      <c r="Q729">
        <f>IF($A729="","", $I729 + IFERROR(O729/30*$H729,0))</f>
        <v>0</v>
      </c>
      <c r="R729">
        <f>IF($A729="","", IF(J729&lt;=$F729, "Yes", ""))</f>
        <v>0</v>
      </c>
      <c r="S729">
        <f>IF(R729="Yes", CEILING(MAX($G729, Q729-J729), $G729), 0)</f>
        <v>0</v>
      </c>
      <c r="T729">
        <f>IFERROR(J729/(O729/30),"")</f>
        <v>0</v>
      </c>
    </row>
    <row r="730" spans="10:20">
      <c r="J730">
        <f>IF($A730="","", SUMIFS(Mov_Qty, Mov_Item, $A730))</f>
        <v>0</v>
      </c>
      <c r="K730">
        <f>IF($A730="","", J730 * $E730)</f>
        <v>0</v>
      </c>
      <c r="L730">
        <f>IF($A730="","", SUMIFS(-Mov_Qty, Mov_Item, $A730, Mov_Type, "Consumption", Mov_Date, "&gt;="&amp;$V$2, Mov_Date, "&lt;="&amp;$W$2))</f>
        <v>0</v>
      </c>
      <c r="M730">
        <f>IF($A730="","", SUMIFS(-Mov_Qty, Mov_Item, $A730, Mov_Type, "Consumption", Mov_Date, "&gt;="&amp;$X$2, Mov_Date, "&lt;="&amp;$Y$2))</f>
        <v>0</v>
      </c>
      <c r="N730">
        <f>IF($A730="","", SUMIFS(-Mov_Qty, Mov_Item, $A730, Mov_Type, "Consumption", Mov_Date, "&gt;="&amp;$Z$2, Mov_Date, "&lt;="&amp;$AA$2))</f>
        <v>0</v>
      </c>
      <c r="O730">
        <f>IFERROR(AVERAGE(L730:N730),"")</f>
        <v>0</v>
      </c>
      <c r="P730">
        <f>IF(O730&gt;=Cfg_HiMove, "Yes", "")</f>
        <v>0</v>
      </c>
      <c r="Q730">
        <f>IF($A730="","", $I730 + IFERROR(O730/30*$H730,0))</f>
        <v>0</v>
      </c>
      <c r="R730">
        <f>IF($A730="","", IF(J730&lt;=$F730, "Yes", ""))</f>
        <v>0</v>
      </c>
      <c r="S730">
        <f>IF(R730="Yes", CEILING(MAX($G730, Q730-J730), $G730), 0)</f>
        <v>0</v>
      </c>
      <c r="T730">
        <f>IFERROR(J730/(O730/30),"")</f>
        <v>0</v>
      </c>
    </row>
    <row r="731" spans="10:20">
      <c r="J731">
        <f>IF($A731="","", SUMIFS(Mov_Qty, Mov_Item, $A731))</f>
        <v>0</v>
      </c>
      <c r="K731">
        <f>IF($A731="","", J731 * $E731)</f>
        <v>0</v>
      </c>
      <c r="L731">
        <f>IF($A731="","", SUMIFS(-Mov_Qty, Mov_Item, $A731, Mov_Type, "Consumption", Mov_Date, "&gt;="&amp;$V$2, Mov_Date, "&lt;="&amp;$W$2))</f>
        <v>0</v>
      </c>
      <c r="M731">
        <f>IF($A731="","", SUMIFS(-Mov_Qty, Mov_Item, $A731, Mov_Type, "Consumption", Mov_Date, "&gt;="&amp;$X$2, Mov_Date, "&lt;="&amp;$Y$2))</f>
        <v>0</v>
      </c>
      <c r="N731">
        <f>IF($A731="","", SUMIFS(-Mov_Qty, Mov_Item, $A731, Mov_Type, "Consumption", Mov_Date, "&gt;="&amp;$Z$2, Mov_Date, "&lt;="&amp;$AA$2))</f>
        <v>0</v>
      </c>
      <c r="O731">
        <f>IFERROR(AVERAGE(L731:N731),"")</f>
        <v>0</v>
      </c>
      <c r="P731">
        <f>IF(O731&gt;=Cfg_HiMove, "Yes", "")</f>
        <v>0</v>
      </c>
      <c r="Q731">
        <f>IF($A731="","", $I731 + IFERROR(O731/30*$H731,0))</f>
        <v>0</v>
      </c>
      <c r="R731">
        <f>IF($A731="","", IF(J731&lt;=$F731, "Yes", ""))</f>
        <v>0</v>
      </c>
      <c r="S731">
        <f>IF(R731="Yes", CEILING(MAX($G731, Q731-J731), $G731), 0)</f>
        <v>0</v>
      </c>
      <c r="T731">
        <f>IFERROR(J731/(O731/30),"")</f>
        <v>0</v>
      </c>
    </row>
    <row r="732" spans="10:20">
      <c r="J732">
        <f>IF($A732="","", SUMIFS(Mov_Qty, Mov_Item, $A732))</f>
        <v>0</v>
      </c>
      <c r="K732">
        <f>IF($A732="","", J732 * $E732)</f>
        <v>0</v>
      </c>
      <c r="L732">
        <f>IF($A732="","", SUMIFS(-Mov_Qty, Mov_Item, $A732, Mov_Type, "Consumption", Mov_Date, "&gt;="&amp;$V$2, Mov_Date, "&lt;="&amp;$W$2))</f>
        <v>0</v>
      </c>
      <c r="M732">
        <f>IF($A732="","", SUMIFS(-Mov_Qty, Mov_Item, $A732, Mov_Type, "Consumption", Mov_Date, "&gt;="&amp;$X$2, Mov_Date, "&lt;="&amp;$Y$2))</f>
        <v>0</v>
      </c>
      <c r="N732">
        <f>IF($A732="","", SUMIFS(-Mov_Qty, Mov_Item, $A732, Mov_Type, "Consumption", Mov_Date, "&gt;="&amp;$Z$2, Mov_Date, "&lt;="&amp;$AA$2))</f>
        <v>0</v>
      </c>
      <c r="O732">
        <f>IFERROR(AVERAGE(L732:N732),"")</f>
        <v>0</v>
      </c>
      <c r="P732">
        <f>IF(O732&gt;=Cfg_HiMove, "Yes", "")</f>
        <v>0</v>
      </c>
      <c r="Q732">
        <f>IF($A732="","", $I732 + IFERROR(O732/30*$H732,0))</f>
        <v>0</v>
      </c>
      <c r="R732">
        <f>IF($A732="","", IF(J732&lt;=$F732, "Yes", ""))</f>
        <v>0</v>
      </c>
      <c r="S732">
        <f>IF(R732="Yes", CEILING(MAX($G732, Q732-J732), $G732), 0)</f>
        <v>0</v>
      </c>
      <c r="T732">
        <f>IFERROR(J732/(O732/30),"")</f>
        <v>0</v>
      </c>
    </row>
    <row r="733" spans="10:20">
      <c r="J733">
        <f>IF($A733="","", SUMIFS(Mov_Qty, Mov_Item, $A733))</f>
        <v>0</v>
      </c>
      <c r="K733">
        <f>IF($A733="","", J733 * $E733)</f>
        <v>0</v>
      </c>
      <c r="L733">
        <f>IF($A733="","", SUMIFS(-Mov_Qty, Mov_Item, $A733, Mov_Type, "Consumption", Mov_Date, "&gt;="&amp;$V$2, Mov_Date, "&lt;="&amp;$W$2))</f>
        <v>0</v>
      </c>
      <c r="M733">
        <f>IF($A733="","", SUMIFS(-Mov_Qty, Mov_Item, $A733, Mov_Type, "Consumption", Mov_Date, "&gt;="&amp;$X$2, Mov_Date, "&lt;="&amp;$Y$2))</f>
        <v>0</v>
      </c>
      <c r="N733">
        <f>IF($A733="","", SUMIFS(-Mov_Qty, Mov_Item, $A733, Mov_Type, "Consumption", Mov_Date, "&gt;="&amp;$Z$2, Mov_Date, "&lt;="&amp;$AA$2))</f>
        <v>0</v>
      </c>
      <c r="O733">
        <f>IFERROR(AVERAGE(L733:N733),"")</f>
        <v>0</v>
      </c>
      <c r="P733">
        <f>IF(O733&gt;=Cfg_HiMove, "Yes", "")</f>
        <v>0</v>
      </c>
      <c r="Q733">
        <f>IF($A733="","", $I733 + IFERROR(O733/30*$H733,0))</f>
        <v>0</v>
      </c>
      <c r="R733">
        <f>IF($A733="","", IF(J733&lt;=$F733, "Yes", ""))</f>
        <v>0</v>
      </c>
      <c r="S733">
        <f>IF(R733="Yes", CEILING(MAX($G733, Q733-J733), $G733), 0)</f>
        <v>0</v>
      </c>
      <c r="T733">
        <f>IFERROR(J733/(O733/30),"")</f>
        <v>0</v>
      </c>
    </row>
    <row r="734" spans="10:20">
      <c r="J734">
        <f>IF($A734="","", SUMIFS(Mov_Qty, Mov_Item, $A734))</f>
        <v>0</v>
      </c>
      <c r="K734">
        <f>IF($A734="","", J734 * $E734)</f>
        <v>0</v>
      </c>
      <c r="L734">
        <f>IF($A734="","", SUMIFS(-Mov_Qty, Mov_Item, $A734, Mov_Type, "Consumption", Mov_Date, "&gt;="&amp;$V$2, Mov_Date, "&lt;="&amp;$W$2))</f>
        <v>0</v>
      </c>
      <c r="M734">
        <f>IF($A734="","", SUMIFS(-Mov_Qty, Mov_Item, $A734, Mov_Type, "Consumption", Mov_Date, "&gt;="&amp;$X$2, Mov_Date, "&lt;="&amp;$Y$2))</f>
        <v>0</v>
      </c>
      <c r="N734">
        <f>IF($A734="","", SUMIFS(-Mov_Qty, Mov_Item, $A734, Mov_Type, "Consumption", Mov_Date, "&gt;="&amp;$Z$2, Mov_Date, "&lt;="&amp;$AA$2))</f>
        <v>0</v>
      </c>
      <c r="O734">
        <f>IFERROR(AVERAGE(L734:N734),"")</f>
        <v>0</v>
      </c>
      <c r="P734">
        <f>IF(O734&gt;=Cfg_HiMove, "Yes", "")</f>
        <v>0</v>
      </c>
      <c r="Q734">
        <f>IF($A734="","", $I734 + IFERROR(O734/30*$H734,0))</f>
        <v>0</v>
      </c>
      <c r="R734">
        <f>IF($A734="","", IF(J734&lt;=$F734, "Yes", ""))</f>
        <v>0</v>
      </c>
      <c r="S734">
        <f>IF(R734="Yes", CEILING(MAX($G734, Q734-J734), $G734), 0)</f>
        <v>0</v>
      </c>
      <c r="T734">
        <f>IFERROR(J734/(O734/30),"")</f>
        <v>0</v>
      </c>
    </row>
    <row r="735" spans="10:20">
      <c r="J735">
        <f>IF($A735="","", SUMIFS(Mov_Qty, Mov_Item, $A735))</f>
        <v>0</v>
      </c>
      <c r="K735">
        <f>IF($A735="","", J735 * $E735)</f>
        <v>0</v>
      </c>
      <c r="L735">
        <f>IF($A735="","", SUMIFS(-Mov_Qty, Mov_Item, $A735, Mov_Type, "Consumption", Mov_Date, "&gt;="&amp;$V$2, Mov_Date, "&lt;="&amp;$W$2))</f>
        <v>0</v>
      </c>
      <c r="M735">
        <f>IF($A735="","", SUMIFS(-Mov_Qty, Mov_Item, $A735, Mov_Type, "Consumption", Mov_Date, "&gt;="&amp;$X$2, Mov_Date, "&lt;="&amp;$Y$2))</f>
        <v>0</v>
      </c>
      <c r="N735">
        <f>IF($A735="","", SUMIFS(-Mov_Qty, Mov_Item, $A735, Mov_Type, "Consumption", Mov_Date, "&gt;="&amp;$Z$2, Mov_Date, "&lt;="&amp;$AA$2))</f>
        <v>0</v>
      </c>
      <c r="O735">
        <f>IFERROR(AVERAGE(L735:N735),"")</f>
        <v>0</v>
      </c>
      <c r="P735">
        <f>IF(O735&gt;=Cfg_HiMove, "Yes", "")</f>
        <v>0</v>
      </c>
      <c r="Q735">
        <f>IF($A735="","", $I735 + IFERROR(O735/30*$H735,0))</f>
        <v>0</v>
      </c>
      <c r="R735">
        <f>IF($A735="","", IF(J735&lt;=$F735, "Yes", ""))</f>
        <v>0</v>
      </c>
      <c r="S735">
        <f>IF(R735="Yes", CEILING(MAX($G735, Q735-J735), $G735), 0)</f>
        <v>0</v>
      </c>
      <c r="T735">
        <f>IFERROR(J735/(O735/30),"")</f>
        <v>0</v>
      </c>
    </row>
    <row r="736" spans="10:20">
      <c r="J736">
        <f>IF($A736="","", SUMIFS(Mov_Qty, Mov_Item, $A736))</f>
        <v>0</v>
      </c>
      <c r="K736">
        <f>IF($A736="","", J736 * $E736)</f>
        <v>0</v>
      </c>
      <c r="L736">
        <f>IF($A736="","", SUMIFS(-Mov_Qty, Mov_Item, $A736, Mov_Type, "Consumption", Mov_Date, "&gt;="&amp;$V$2, Mov_Date, "&lt;="&amp;$W$2))</f>
        <v>0</v>
      </c>
      <c r="M736">
        <f>IF($A736="","", SUMIFS(-Mov_Qty, Mov_Item, $A736, Mov_Type, "Consumption", Mov_Date, "&gt;="&amp;$X$2, Mov_Date, "&lt;="&amp;$Y$2))</f>
        <v>0</v>
      </c>
      <c r="N736">
        <f>IF($A736="","", SUMIFS(-Mov_Qty, Mov_Item, $A736, Mov_Type, "Consumption", Mov_Date, "&gt;="&amp;$Z$2, Mov_Date, "&lt;="&amp;$AA$2))</f>
        <v>0</v>
      </c>
      <c r="O736">
        <f>IFERROR(AVERAGE(L736:N736),"")</f>
        <v>0</v>
      </c>
      <c r="P736">
        <f>IF(O736&gt;=Cfg_HiMove, "Yes", "")</f>
        <v>0</v>
      </c>
      <c r="Q736">
        <f>IF($A736="","", $I736 + IFERROR(O736/30*$H736,0))</f>
        <v>0</v>
      </c>
      <c r="R736">
        <f>IF($A736="","", IF(J736&lt;=$F736, "Yes", ""))</f>
        <v>0</v>
      </c>
      <c r="S736">
        <f>IF(R736="Yes", CEILING(MAX($G736, Q736-J736), $G736), 0)</f>
        <v>0</v>
      </c>
      <c r="T736">
        <f>IFERROR(J736/(O736/30),"")</f>
        <v>0</v>
      </c>
    </row>
    <row r="737" spans="10:20">
      <c r="J737">
        <f>IF($A737="","", SUMIFS(Mov_Qty, Mov_Item, $A737))</f>
        <v>0</v>
      </c>
      <c r="K737">
        <f>IF($A737="","", J737 * $E737)</f>
        <v>0</v>
      </c>
      <c r="L737">
        <f>IF($A737="","", SUMIFS(-Mov_Qty, Mov_Item, $A737, Mov_Type, "Consumption", Mov_Date, "&gt;="&amp;$V$2, Mov_Date, "&lt;="&amp;$W$2))</f>
        <v>0</v>
      </c>
      <c r="M737">
        <f>IF($A737="","", SUMIFS(-Mov_Qty, Mov_Item, $A737, Mov_Type, "Consumption", Mov_Date, "&gt;="&amp;$X$2, Mov_Date, "&lt;="&amp;$Y$2))</f>
        <v>0</v>
      </c>
      <c r="N737">
        <f>IF($A737="","", SUMIFS(-Mov_Qty, Mov_Item, $A737, Mov_Type, "Consumption", Mov_Date, "&gt;="&amp;$Z$2, Mov_Date, "&lt;="&amp;$AA$2))</f>
        <v>0</v>
      </c>
      <c r="O737">
        <f>IFERROR(AVERAGE(L737:N737),"")</f>
        <v>0</v>
      </c>
      <c r="P737">
        <f>IF(O737&gt;=Cfg_HiMove, "Yes", "")</f>
        <v>0</v>
      </c>
      <c r="Q737">
        <f>IF($A737="","", $I737 + IFERROR(O737/30*$H737,0))</f>
        <v>0</v>
      </c>
      <c r="R737">
        <f>IF($A737="","", IF(J737&lt;=$F737, "Yes", ""))</f>
        <v>0</v>
      </c>
      <c r="S737">
        <f>IF(R737="Yes", CEILING(MAX($G737, Q737-J737), $G737), 0)</f>
        <v>0</v>
      </c>
      <c r="T737">
        <f>IFERROR(J737/(O737/30),"")</f>
        <v>0</v>
      </c>
    </row>
    <row r="738" spans="10:20">
      <c r="J738">
        <f>IF($A738="","", SUMIFS(Mov_Qty, Mov_Item, $A738))</f>
        <v>0</v>
      </c>
      <c r="K738">
        <f>IF($A738="","", J738 * $E738)</f>
        <v>0</v>
      </c>
      <c r="L738">
        <f>IF($A738="","", SUMIFS(-Mov_Qty, Mov_Item, $A738, Mov_Type, "Consumption", Mov_Date, "&gt;="&amp;$V$2, Mov_Date, "&lt;="&amp;$W$2))</f>
        <v>0</v>
      </c>
      <c r="M738">
        <f>IF($A738="","", SUMIFS(-Mov_Qty, Mov_Item, $A738, Mov_Type, "Consumption", Mov_Date, "&gt;="&amp;$X$2, Mov_Date, "&lt;="&amp;$Y$2))</f>
        <v>0</v>
      </c>
      <c r="N738">
        <f>IF($A738="","", SUMIFS(-Mov_Qty, Mov_Item, $A738, Mov_Type, "Consumption", Mov_Date, "&gt;="&amp;$Z$2, Mov_Date, "&lt;="&amp;$AA$2))</f>
        <v>0</v>
      </c>
      <c r="O738">
        <f>IFERROR(AVERAGE(L738:N738),"")</f>
        <v>0</v>
      </c>
      <c r="P738">
        <f>IF(O738&gt;=Cfg_HiMove, "Yes", "")</f>
        <v>0</v>
      </c>
      <c r="Q738">
        <f>IF($A738="","", $I738 + IFERROR(O738/30*$H738,0))</f>
        <v>0</v>
      </c>
      <c r="R738">
        <f>IF($A738="","", IF(J738&lt;=$F738, "Yes", ""))</f>
        <v>0</v>
      </c>
      <c r="S738">
        <f>IF(R738="Yes", CEILING(MAX($G738, Q738-J738), $G738), 0)</f>
        <v>0</v>
      </c>
      <c r="T738">
        <f>IFERROR(J738/(O738/30),"")</f>
        <v>0</v>
      </c>
    </row>
    <row r="739" spans="10:20">
      <c r="J739">
        <f>IF($A739="","", SUMIFS(Mov_Qty, Mov_Item, $A739))</f>
        <v>0</v>
      </c>
      <c r="K739">
        <f>IF($A739="","", J739 * $E739)</f>
        <v>0</v>
      </c>
      <c r="L739">
        <f>IF($A739="","", SUMIFS(-Mov_Qty, Mov_Item, $A739, Mov_Type, "Consumption", Mov_Date, "&gt;="&amp;$V$2, Mov_Date, "&lt;="&amp;$W$2))</f>
        <v>0</v>
      </c>
      <c r="M739">
        <f>IF($A739="","", SUMIFS(-Mov_Qty, Mov_Item, $A739, Mov_Type, "Consumption", Mov_Date, "&gt;="&amp;$X$2, Mov_Date, "&lt;="&amp;$Y$2))</f>
        <v>0</v>
      </c>
      <c r="N739">
        <f>IF($A739="","", SUMIFS(-Mov_Qty, Mov_Item, $A739, Mov_Type, "Consumption", Mov_Date, "&gt;="&amp;$Z$2, Mov_Date, "&lt;="&amp;$AA$2))</f>
        <v>0</v>
      </c>
      <c r="O739">
        <f>IFERROR(AVERAGE(L739:N739),"")</f>
        <v>0</v>
      </c>
      <c r="P739">
        <f>IF(O739&gt;=Cfg_HiMove, "Yes", "")</f>
        <v>0</v>
      </c>
      <c r="Q739">
        <f>IF($A739="","", $I739 + IFERROR(O739/30*$H739,0))</f>
        <v>0</v>
      </c>
      <c r="R739">
        <f>IF($A739="","", IF(J739&lt;=$F739, "Yes", ""))</f>
        <v>0</v>
      </c>
      <c r="S739">
        <f>IF(R739="Yes", CEILING(MAX($G739, Q739-J739), $G739), 0)</f>
        <v>0</v>
      </c>
      <c r="T739">
        <f>IFERROR(J739/(O739/30),"")</f>
        <v>0</v>
      </c>
    </row>
    <row r="740" spans="10:20">
      <c r="J740">
        <f>IF($A740="","", SUMIFS(Mov_Qty, Mov_Item, $A740))</f>
        <v>0</v>
      </c>
      <c r="K740">
        <f>IF($A740="","", J740 * $E740)</f>
        <v>0</v>
      </c>
      <c r="L740">
        <f>IF($A740="","", SUMIFS(-Mov_Qty, Mov_Item, $A740, Mov_Type, "Consumption", Mov_Date, "&gt;="&amp;$V$2, Mov_Date, "&lt;="&amp;$W$2))</f>
        <v>0</v>
      </c>
      <c r="M740">
        <f>IF($A740="","", SUMIFS(-Mov_Qty, Mov_Item, $A740, Mov_Type, "Consumption", Mov_Date, "&gt;="&amp;$X$2, Mov_Date, "&lt;="&amp;$Y$2))</f>
        <v>0</v>
      </c>
      <c r="N740">
        <f>IF($A740="","", SUMIFS(-Mov_Qty, Mov_Item, $A740, Mov_Type, "Consumption", Mov_Date, "&gt;="&amp;$Z$2, Mov_Date, "&lt;="&amp;$AA$2))</f>
        <v>0</v>
      </c>
      <c r="O740">
        <f>IFERROR(AVERAGE(L740:N740),"")</f>
        <v>0</v>
      </c>
      <c r="P740">
        <f>IF(O740&gt;=Cfg_HiMove, "Yes", "")</f>
        <v>0</v>
      </c>
      <c r="Q740">
        <f>IF($A740="","", $I740 + IFERROR(O740/30*$H740,0))</f>
        <v>0</v>
      </c>
      <c r="R740">
        <f>IF($A740="","", IF(J740&lt;=$F740, "Yes", ""))</f>
        <v>0</v>
      </c>
      <c r="S740">
        <f>IF(R740="Yes", CEILING(MAX($G740, Q740-J740), $G740), 0)</f>
        <v>0</v>
      </c>
      <c r="T740">
        <f>IFERROR(J740/(O740/30),"")</f>
        <v>0</v>
      </c>
    </row>
    <row r="741" spans="10:20">
      <c r="J741">
        <f>IF($A741="","", SUMIFS(Mov_Qty, Mov_Item, $A741))</f>
        <v>0</v>
      </c>
      <c r="K741">
        <f>IF($A741="","", J741 * $E741)</f>
        <v>0</v>
      </c>
      <c r="L741">
        <f>IF($A741="","", SUMIFS(-Mov_Qty, Mov_Item, $A741, Mov_Type, "Consumption", Mov_Date, "&gt;="&amp;$V$2, Mov_Date, "&lt;="&amp;$W$2))</f>
        <v>0</v>
      </c>
      <c r="M741">
        <f>IF($A741="","", SUMIFS(-Mov_Qty, Mov_Item, $A741, Mov_Type, "Consumption", Mov_Date, "&gt;="&amp;$X$2, Mov_Date, "&lt;="&amp;$Y$2))</f>
        <v>0</v>
      </c>
      <c r="N741">
        <f>IF($A741="","", SUMIFS(-Mov_Qty, Mov_Item, $A741, Mov_Type, "Consumption", Mov_Date, "&gt;="&amp;$Z$2, Mov_Date, "&lt;="&amp;$AA$2))</f>
        <v>0</v>
      </c>
      <c r="O741">
        <f>IFERROR(AVERAGE(L741:N741),"")</f>
        <v>0</v>
      </c>
      <c r="P741">
        <f>IF(O741&gt;=Cfg_HiMove, "Yes", "")</f>
        <v>0</v>
      </c>
      <c r="Q741">
        <f>IF($A741="","", $I741 + IFERROR(O741/30*$H741,0))</f>
        <v>0</v>
      </c>
      <c r="R741">
        <f>IF($A741="","", IF(J741&lt;=$F741, "Yes", ""))</f>
        <v>0</v>
      </c>
      <c r="S741">
        <f>IF(R741="Yes", CEILING(MAX($G741, Q741-J741), $G741), 0)</f>
        <v>0</v>
      </c>
      <c r="T741">
        <f>IFERROR(J741/(O741/30),"")</f>
        <v>0</v>
      </c>
    </row>
    <row r="742" spans="10:20">
      <c r="J742">
        <f>IF($A742="","", SUMIFS(Mov_Qty, Mov_Item, $A742))</f>
        <v>0</v>
      </c>
      <c r="K742">
        <f>IF($A742="","", J742 * $E742)</f>
        <v>0</v>
      </c>
      <c r="L742">
        <f>IF($A742="","", SUMIFS(-Mov_Qty, Mov_Item, $A742, Mov_Type, "Consumption", Mov_Date, "&gt;="&amp;$V$2, Mov_Date, "&lt;="&amp;$W$2))</f>
        <v>0</v>
      </c>
      <c r="M742">
        <f>IF($A742="","", SUMIFS(-Mov_Qty, Mov_Item, $A742, Mov_Type, "Consumption", Mov_Date, "&gt;="&amp;$X$2, Mov_Date, "&lt;="&amp;$Y$2))</f>
        <v>0</v>
      </c>
      <c r="N742">
        <f>IF($A742="","", SUMIFS(-Mov_Qty, Mov_Item, $A742, Mov_Type, "Consumption", Mov_Date, "&gt;="&amp;$Z$2, Mov_Date, "&lt;="&amp;$AA$2))</f>
        <v>0</v>
      </c>
      <c r="O742">
        <f>IFERROR(AVERAGE(L742:N742),"")</f>
        <v>0</v>
      </c>
      <c r="P742">
        <f>IF(O742&gt;=Cfg_HiMove, "Yes", "")</f>
        <v>0</v>
      </c>
      <c r="Q742">
        <f>IF($A742="","", $I742 + IFERROR(O742/30*$H742,0))</f>
        <v>0</v>
      </c>
      <c r="R742">
        <f>IF($A742="","", IF(J742&lt;=$F742, "Yes", ""))</f>
        <v>0</v>
      </c>
      <c r="S742">
        <f>IF(R742="Yes", CEILING(MAX($G742, Q742-J742), $G742), 0)</f>
        <v>0</v>
      </c>
      <c r="T742">
        <f>IFERROR(J742/(O742/30),"")</f>
        <v>0</v>
      </c>
    </row>
    <row r="743" spans="10:20">
      <c r="J743">
        <f>IF($A743="","", SUMIFS(Mov_Qty, Mov_Item, $A743))</f>
        <v>0</v>
      </c>
      <c r="K743">
        <f>IF($A743="","", J743 * $E743)</f>
        <v>0</v>
      </c>
      <c r="L743">
        <f>IF($A743="","", SUMIFS(-Mov_Qty, Mov_Item, $A743, Mov_Type, "Consumption", Mov_Date, "&gt;="&amp;$V$2, Mov_Date, "&lt;="&amp;$W$2))</f>
        <v>0</v>
      </c>
      <c r="M743">
        <f>IF($A743="","", SUMIFS(-Mov_Qty, Mov_Item, $A743, Mov_Type, "Consumption", Mov_Date, "&gt;="&amp;$X$2, Mov_Date, "&lt;="&amp;$Y$2))</f>
        <v>0</v>
      </c>
      <c r="N743">
        <f>IF($A743="","", SUMIFS(-Mov_Qty, Mov_Item, $A743, Mov_Type, "Consumption", Mov_Date, "&gt;="&amp;$Z$2, Mov_Date, "&lt;="&amp;$AA$2))</f>
        <v>0</v>
      </c>
      <c r="O743">
        <f>IFERROR(AVERAGE(L743:N743),"")</f>
        <v>0</v>
      </c>
      <c r="P743">
        <f>IF(O743&gt;=Cfg_HiMove, "Yes", "")</f>
        <v>0</v>
      </c>
      <c r="Q743">
        <f>IF($A743="","", $I743 + IFERROR(O743/30*$H743,0))</f>
        <v>0</v>
      </c>
      <c r="R743">
        <f>IF($A743="","", IF(J743&lt;=$F743, "Yes", ""))</f>
        <v>0</v>
      </c>
      <c r="S743">
        <f>IF(R743="Yes", CEILING(MAX($G743, Q743-J743), $G743), 0)</f>
        <v>0</v>
      </c>
      <c r="T743">
        <f>IFERROR(J743/(O743/30),"")</f>
        <v>0</v>
      </c>
    </row>
    <row r="744" spans="10:20">
      <c r="J744">
        <f>IF($A744="","", SUMIFS(Mov_Qty, Mov_Item, $A744))</f>
        <v>0</v>
      </c>
      <c r="K744">
        <f>IF($A744="","", J744 * $E744)</f>
        <v>0</v>
      </c>
      <c r="L744">
        <f>IF($A744="","", SUMIFS(-Mov_Qty, Mov_Item, $A744, Mov_Type, "Consumption", Mov_Date, "&gt;="&amp;$V$2, Mov_Date, "&lt;="&amp;$W$2))</f>
        <v>0</v>
      </c>
      <c r="M744">
        <f>IF($A744="","", SUMIFS(-Mov_Qty, Mov_Item, $A744, Mov_Type, "Consumption", Mov_Date, "&gt;="&amp;$X$2, Mov_Date, "&lt;="&amp;$Y$2))</f>
        <v>0</v>
      </c>
      <c r="N744">
        <f>IF($A744="","", SUMIFS(-Mov_Qty, Mov_Item, $A744, Mov_Type, "Consumption", Mov_Date, "&gt;="&amp;$Z$2, Mov_Date, "&lt;="&amp;$AA$2))</f>
        <v>0</v>
      </c>
      <c r="O744">
        <f>IFERROR(AVERAGE(L744:N744),"")</f>
        <v>0</v>
      </c>
      <c r="P744">
        <f>IF(O744&gt;=Cfg_HiMove, "Yes", "")</f>
        <v>0</v>
      </c>
      <c r="Q744">
        <f>IF($A744="","", $I744 + IFERROR(O744/30*$H744,0))</f>
        <v>0</v>
      </c>
      <c r="R744">
        <f>IF($A744="","", IF(J744&lt;=$F744, "Yes", ""))</f>
        <v>0</v>
      </c>
      <c r="S744">
        <f>IF(R744="Yes", CEILING(MAX($G744, Q744-J744), $G744), 0)</f>
        <v>0</v>
      </c>
      <c r="T744">
        <f>IFERROR(J744/(O744/30),"")</f>
        <v>0</v>
      </c>
    </row>
    <row r="745" spans="10:20">
      <c r="J745">
        <f>IF($A745="","", SUMIFS(Mov_Qty, Mov_Item, $A745))</f>
        <v>0</v>
      </c>
      <c r="K745">
        <f>IF($A745="","", J745 * $E745)</f>
        <v>0</v>
      </c>
      <c r="L745">
        <f>IF($A745="","", SUMIFS(-Mov_Qty, Mov_Item, $A745, Mov_Type, "Consumption", Mov_Date, "&gt;="&amp;$V$2, Mov_Date, "&lt;="&amp;$W$2))</f>
        <v>0</v>
      </c>
      <c r="M745">
        <f>IF($A745="","", SUMIFS(-Mov_Qty, Mov_Item, $A745, Mov_Type, "Consumption", Mov_Date, "&gt;="&amp;$X$2, Mov_Date, "&lt;="&amp;$Y$2))</f>
        <v>0</v>
      </c>
      <c r="N745">
        <f>IF($A745="","", SUMIFS(-Mov_Qty, Mov_Item, $A745, Mov_Type, "Consumption", Mov_Date, "&gt;="&amp;$Z$2, Mov_Date, "&lt;="&amp;$AA$2))</f>
        <v>0</v>
      </c>
      <c r="O745">
        <f>IFERROR(AVERAGE(L745:N745),"")</f>
        <v>0</v>
      </c>
      <c r="P745">
        <f>IF(O745&gt;=Cfg_HiMove, "Yes", "")</f>
        <v>0</v>
      </c>
      <c r="Q745">
        <f>IF($A745="","", $I745 + IFERROR(O745/30*$H745,0))</f>
        <v>0</v>
      </c>
      <c r="R745">
        <f>IF($A745="","", IF(J745&lt;=$F745, "Yes", ""))</f>
        <v>0</v>
      </c>
      <c r="S745">
        <f>IF(R745="Yes", CEILING(MAX($G745, Q745-J745), $G745), 0)</f>
        <v>0</v>
      </c>
      <c r="T745">
        <f>IFERROR(J745/(O745/30),"")</f>
        <v>0</v>
      </c>
    </row>
    <row r="746" spans="10:20">
      <c r="J746">
        <f>IF($A746="","", SUMIFS(Mov_Qty, Mov_Item, $A746))</f>
        <v>0</v>
      </c>
      <c r="K746">
        <f>IF($A746="","", J746 * $E746)</f>
        <v>0</v>
      </c>
      <c r="L746">
        <f>IF($A746="","", SUMIFS(-Mov_Qty, Mov_Item, $A746, Mov_Type, "Consumption", Mov_Date, "&gt;="&amp;$V$2, Mov_Date, "&lt;="&amp;$W$2))</f>
        <v>0</v>
      </c>
      <c r="M746">
        <f>IF($A746="","", SUMIFS(-Mov_Qty, Mov_Item, $A746, Mov_Type, "Consumption", Mov_Date, "&gt;="&amp;$X$2, Mov_Date, "&lt;="&amp;$Y$2))</f>
        <v>0</v>
      </c>
      <c r="N746">
        <f>IF($A746="","", SUMIFS(-Mov_Qty, Mov_Item, $A746, Mov_Type, "Consumption", Mov_Date, "&gt;="&amp;$Z$2, Mov_Date, "&lt;="&amp;$AA$2))</f>
        <v>0</v>
      </c>
      <c r="O746">
        <f>IFERROR(AVERAGE(L746:N746),"")</f>
        <v>0</v>
      </c>
      <c r="P746">
        <f>IF(O746&gt;=Cfg_HiMove, "Yes", "")</f>
        <v>0</v>
      </c>
      <c r="Q746">
        <f>IF($A746="","", $I746 + IFERROR(O746/30*$H746,0))</f>
        <v>0</v>
      </c>
      <c r="R746">
        <f>IF($A746="","", IF(J746&lt;=$F746, "Yes", ""))</f>
        <v>0</v>
      </c>
      <c r="S746">
        <f>IF(R746="Yes", CEILING(MAX($G746, Q746-J746), $G746), 0)</f>
        <v>0</v>
      </c>
      <c r="T746">
        <f>IFERROR(J746/(O746/30),"")</f>
        <v>0</v>
      </c>
    </row>
    <row r="747" spans="10:20">
      <c r="J747">
        <f>IF($A747="","", SUMIFS(Mov_Qty, Mov_Item, $A747))</f>
        <v>0</v>
      </c>
      <c r="K747">
        <f>IF($A747="","", J747 * $E747)</f>
        <v>0</v>
      </c>
      <c r="L747">
        <f>IF($A747="","", SUMIFS(-Mov_Qty, Mov_Item, $A747, Mov_Type, "Consumption", Mov_Date, "&gt;="&amp;$V$2, Mov_Date, "&lt;="&amp;$W$2))</f>
        <v>0</v>
      </c>
      <c r="M747">
        <f>IF($A747="","", SUMIFS(-Mov_Qty, Mov_Item, $A747, Mov_Type, "Consumption", Mov_Date, "&gt;="&amp;$X$2, Mov_Date, "&lt;="&amp;$Y$2))</f>
        <v>0</v>
      </c>
      <c r="N747">
        <f>IF($A747="","", SUMIFS(-Mov_Qty, Mov_Item, $A747, Mov_Type, "Consumption", Mov_Date, "&gt;="&amp;$Z$2, Mov_Date, "&lt;="&amp;$AA$2))</f>
        <v>0</v>
      </c>
      <c r="O747">
        <f>IFERROR(AVERAGE(L747:N747),"")</f>
        <v>0</v>
      </c>
      <c r="P747">
        <f>IF(O747&gt;=Cfg_HiMove, "Yes", "")</f>
        <v>0</v>
      </c>
      <c r="Q747">
        <f>IF($A747="","", $I747 + IFERROR(O747/30*$H747,0))</f>
        <v>0</v>
      </c>
      <c r="R747">
        <f>IF($A747="","", IF(J747&lt;=$F747, "Yes", ""))</f>
        <v>0</v>
      </c>
      <c r="S747">
        <f>IF(R747="Yes", CEILING(MAX($G747, Q747-J747), $G747), 0)</f>
        <v>0</v>
      </c>
      <c r="T747">
        <f>IFERROR(J747/(O747/30),"")</f>
        <v>0</v>
      </c>
    </row>
    <row r="748" spans="10:20">
      <c r="J748">
        <f>IF($A748="","", SUMIFS(Mov_Qty, Mov_Item, $A748))</f>
        <v>0</v>
      </c>
      <c r="K748">
        <f>IF($A748="","", J748 * $E748)</f>
        <v>0</v>
      </c>
      <c r="L748">
        <f>IF($A748="","", SUMIFS(-Mov_Qty, Mov_Item, $A748, Mov_Type, "Consumption", Mov_Date, "&gt;="&amp;$V$2, Mov_Date, "&lt;="&amp;$W$2))</f>
        <v>0</v>
      </c>
      <c r="M748">
        <f>IF($A748="","", SUMIFS(-Mov_Qty, Mov_Item, $A748, Mov_Type, "Consumption", Mov_Date, "&gt;="&amp;$X$2, Mov_Date, "&lt;="&amp;$Y$2))</f>
        <v>0</v>
      </c>
      <c r="N748">
        <f>IF($A748="","", SUMIFS(-Mov_Qty, Mov_Item, $A748, Mov_Type, "Consumption", Mov_Date, "&gt;="&amp;$Z$2, Mov_Date, "&lt;="&amp;$AA$2))</f>
        <v>0</v>
      </c>
      <c r="O748">
        <f>IFERROR(AVERAGE(L748:N748),"")</f>
        <v>0</v>
      </c>
      <c r="P748">
        <f>IF(O748&gt;=Cfg_HiMove, "Yes", "")</f>
        <v>0</v>
      </c>
      <c r="Q748">
        <f>IF($A748="","", $I748 + IFERROR(O748/30*$H748,0))</f>
        <v>0</v>
      </c>
      <c r="R748">
        <f>IF($A748="","", IF(J748&lt;=$F748, "Yes", ""))</f>
        <v>0</v>
      </c>
      <c r="S748">
        <f>IF(R748="Yes", CEILING(MAX($G748, Q748-J748), $G748), 0)</f>
        <v>0</v>
      </c>
      <c r="T748">
        <f>IFERROR(J748/(O748/30),"")</f>
        <v>0</v>
      </c>
    </row>
    <row r="749" spans="10:20">
      <c r="J749">
        <f>IF($A749="","", SUMIFS(Mov_Qty, Mov_Item, $A749))</f>
        <v>0</v>
      </c>
      <c r="K749">
        <f>IF($A749="","", J749 * $E749)</f>
        <v>0</v>
      </c>
      <c r="L749">
        <f>IF($A749="","", SUMIFS(-Mov_Qty, Mov_Item, $A749, Mov_Type, "Consumption", Mov_Date, "&gt;="&amp;$V$2, Mov_Date, "&lt;="&amp;$W$2))</f>
        <v>0</v>
      </c>
      <c r="M749">
        <f>IF($A749="","", SUMIFS(-Mov_Qty, Mov_Item, $A749, Mov_Type, "Consumption", Mov_Date, "&gt;="&amp;$X$2, Mov_Date, "&lt;="&amp;$Y$2))</f>
        <v>0</v>
      </c>
      <c r="N749">
        <f>IF($A749="","", SUMIFS(-Mov_Qty, Mov_Item, $A749, Mov_Type, "Consumption", Mov_Date, "&gt;="&amp;$Z$2, Mov_Date, "&lt;="&amp;$AA$2))</f>
        <v>0</v>
      </c>
      <c r="O749">
        <f>IFERROR(AVERAGE(L749:N749),"")</f>
        <v>0</v>
      </c>
      <c r="P749">
        <f>IF(O749&gt;=Cfg_HiMove, "Yes", "")</f>
        <v>0</v>
      </c>
      <c r="Q749">
        <f>IF($A749="","", $I749 + IFERROR(O749/30*$H749,0))</f>
        <v>0</v>
      </c>
      <c r="R749">
        <f>IF($A749="","", IF(J749&lt;=$F749, "Yes", ""))</f>
        <v>0</v>
      </c>
      <c r="S749">
        <f>IF(R749="Yes", CEILING(MAX($G749, Q749-J749), $G749), 0)</f>
        <v>0</v>
      </c>
      <c r="T749">
        <f>IFERROR(J749/(O749/30),"")</f>
        <v>0</v>
      </c>
    </row>
    <row r="750" spans="10:20">
      <c r="J750">
        <f>IF($A750="","", SUMIFS(Mov_Qty, Mov_Item, $A750))</f>
        <v>0</v>
      </c>
      <c r="K750">
        <f>IF($A750="","", J750 * $E750)</f>
        <v>0</v>
      </c>
      <c r="L750">
        <f>IF($A750="","", SUMIFS(-Mov_Qty, Mov_Item, $A750, Mov_Type, "Consumption", Mov_Date, "&gt;="&amp;$V$2, Mov_Date, "&lt;="&amp;$W$2))</f>
        <v>0</v>
      </c>
      <c r="M750">
        <f>IF($A750="","", SUMIFS(-Mov_Qty, Mov_Item, $A750, Mov_Type, "Consumption", Mov_Date, "&gt;="&amp;$X$2, Mov_Date, "&lt;="&amp;$Y$2))</f>
        <v>0</v>
      </c>
      <c r="N750">
        <f>IF($A750="","", SUMIFS(-Mov_Qty, Mov_Item, $A750, Mov_Type, "Consumption", Mov_Date, "&gt;="&amp;$Z$2, Mov_Date, "&lt;="&amp;$AA$2))</f>
        <v>0</v>
      </c>
      <c r="O750">
        <f>IFERROR(AVERAGE(L750:N750),"")</f>
        <v>0</v>
      </c>
      <c r="P750">
        <f>IF(O750&gt;=Cfg_HiMove, "Yes", "")</f>
        <v>0</v>
      </c>
      <c r="Q750">
        <f>IF($A750="","", $I750 + IFERROR(O750/30*$H750,0))</f>
        <v>0</v>
      </c>
      <c r="R750">
        <f>IF($A750="","", IF(J750&lt;=$F750, "Yes", ""))</f>
        <v>0</v>
      </c>
      <c r="S750">
        <f>IF(R750="Yes", CEILING(MAX($G750, Q750-J750), $G750), 0)</f>
        <v>0</v>
      </c>
      <c r="T750">
        <f>IFERROR(J750/(O750/30),"")</f>
        <v>0</v>
      </c>
    </row>
    <row r="751" spans="10:20">
      <c r="J751">
        <f>IF($A751="","", SUMIFS(Mov_Qty, Mov_Item, $A751))</f>
        <v>0</v>
      </c>
      <c r="K751">
        <f>IF($A751="","", J751 * $E751)</f>
        <v>0</v>
      </c>
      <c r="L751">
        <f>IF($A751="","", SUMIFS(-Mov_Qty, Mov_Item, $A751, Mov_Type, "Consumption", Mov_Date, "&gt;="&amp;$V$2, Mov_Date, "&lt;="&amp;$W$2))</f>
        <v>0</v>
      </c>
      <c r="M751">
        <f>IF($A751="","", SUMIFS(-Mov_Qty, Mov_Item, $A751, Mov_Type, "Consumption", Mov_Date, "&gt;="&amp;$X$2, Mov_Date, "&lt;="&amp;$Y$2))</f>
        <v>0</v>
      </c>
      <c r="N751">
        <f>IF($A751="","", SUMIFS(-Mov_Qty, Mov_Item, $A751, Mov_Type, "Consumption", Mov_Date, "&gt;="&amp;$Z$2, Mov_Date, "&lt;="&amp;$AA$2))</f>
        <v>0</v>
      </c>
      <c r="O751">
        <f>IFERROR(AVERAGE(L751:N751),"")</f>
        <v>0</v>
      </c>
      <c r="P751">
        <f>IF(O751&gt;=Cfg_HiMove, "Yes", "")</f>
        <v>0</v>
      </c>
      <c r="Q751">
        <f>IF($A751="","", $I751 + IFERROR(O751/30*$H751,0))</f>
        <v>0</v>
      </c>
      <c r="R751">
        <f>IF($A751="","", IF(J751&lt;=$F751, "Yes", ""))</f>
        <v>0</v>
      </c>
      <c r="S751">
        <f>IF(R751="Yes", CEILING(MAX($G751, Q751-J751), $G751), 0)</f>
        <v>0</v>
      </c>
      <c r="T751">
        <f>IFERROR(J751/(O751/30),"")</f>
        <v>0</v>
      </c>
    </row>
    <row r="752" spans="10:20">
      <c r="J752">
        <f>IF($A752="","", SUMIFS(Mov_Qty, Mov_Item, $A752))</f>
        <v>0</v>
      </c>
      <c r="K752">
        <f>IF($A752="","", J752 * $E752)</f>
        <v>0</v>
      </c>
      <c r="L752">
        <f>IF($A752="","", SUMIFS(-Mov_Qty, Mov_Item, $A752, Mov_Type, "Consumption", Mov_Date, "&gt;="&amp;$V$2, Mov_Date, "&lt;="&amp;$W$2))</f>
        <v>0</v>
      </c>
      <c r="M752">
        <f>IF($A752="","", SUMIFS(-Mov_Qty, Mov_Item, $A752, Mov_Type, "Consumption", Mov_Date, "&gt;="&amp;$X$2, Mov_Date, "&lt;="&amp;$Y$2))</f>
        <v>0</v>
      </c>
      <c r="N752">
        <f>IF($A752="","", SUMIFS(-Mov_Qty, Mov_Item, $A752, Mov_Type, "Consumption", Mov_Date, "&gt;="&amp;$Z$2, Mov_Date, "&lt;="&amp;$AA$2))</f>
        <v>0</v>
      </c>
      <c r="O752">
        <f>IFERROR(AVERAGE(L752:N752),"")</f>
        <v>0</v>
      </c>
      <c r="P752">
        <f>IF(O752&gt;=Cfg_HiMove, "Yes", "")</f>
        <v>0</v>
      </c>
      <c r="Q752">
        <f>IF($A752="","", $I752 + IFERROR(O752/30*$H752,0))</f>
        <v>0</v>
      </c>
      <c r="R752">
        <f>IF($A752="","", IF(J752&lt;=$F752, "Yes", ""))</f>
        <v>0</v>
      </c>
      <c r="S752">
        <f>IF(R752="Yes", CEILING(MAX($G752, Q752-J752), $G752), 0)</f>
        <v>0</v>
      </c>
      <c r="T752">
        <f>IFERROR(J752/(O752/30),"")</f>
        <v>0</v>
      </c>
    </row>
    <row r="753" spans="10:20">
      <c r="J753">
        <f>IF($A753="","", SUMIFS(Mov_Qty, Mov_Item, $A753))</f>
        <v>0</v>
      </c>
      <c r="K753">
        <f>IF($A753="","", J753 * $E753)</f>
        <v>0</v>
      </c>
      <c r="L753">
        <f>IF($A753="","", SUMIFS(-Mov_Qty, Mov_Item, $A753, Mov_Type, "Consumption", Mov_Date, "&gt;="&amp;$V$2, Mov_Date, "&lt;="&amp;$W$2))</f>
        <v>0</v>
      </c>
      <c r="M753">
        <f>IF($A753="","", SUMIFS(-Mov_Qty, Mov_Item, $A753, Mov_Type, "Consumption", Mov_Date, "&gt;="&amp;$X$2, Mov_Date, "&lt;="&amp;$Y$2))</f>
        <v>0</v>
      </c>
      <c r="N753">
        <f>IF($A753="","", SUMIFS(-Mov_Qty, Mov_Item, $A753, Mov_Type, "Consumption", Mov_Date, "&gt;="&amp;$Z$2, Mov_Date, "&lt;="&amp;$AA$2))</f>
        <v>0</v>
      </c>
      <c r="O753">
        <f>IFERROR(AVERAGE(L753:N753),"")</f>
        <v>0</v>
      </c>
      <c r="P753">
        <f>IF(O753&gt;=Cfg_HiMove, "Yes", "")</f>
        <v>0</v>
      </c>
      <c r="Q753">
        <f>IF($A753="","", $I753 + IFERROR(O753/30*$H753,0))</f>
        <v>0</v>
      </c>
      <c r="R753">
        <f>IF($A753="","", IF(J753&lt;=$F753, "Yes", ""))</f>
        <v>0</v>
      </c>
      <c r="S753">
        <f>IF(R753="Yes", CEILING(MAX($G753, Q753-J753), $G753), 0)</f>
        <v>0</v>
      </c>
      <c r="T753">
        <f>IFERROR(J753/(O753/30),"")</f>
        <v>0</v>
      </c>
    </row>
    <row r="754" spans="10:20">
      <c r="J754">
        <f>IF($A754="","", SUMIFS(Mov_Qty, Mov_Item, $A754))</f>
        <v>0</v>
      </c>
      <c r="K754">
        <f>IF($A754="","", J754 * $E754)</f>
        <v>0</v>
      </c>
      <c r="L754">
        <f>IF($A754="","", SUMIFS(-Mov_Qty, Mov_Item, $A754, Mov_Type, "Consumption", Mov_Date, "&gt;="&amp;$V$2, Mov_Date, "&lt;="&amp;$W$2))</f>
        <v>0</v>
      </c>
      <c r="M754">
        <f>IF($A754="","", SUMIFS(-Mov_Qty, Mov_Item, $A754, Mov_Type, "Consumption", Mov_Date, "&gt;="&amp;$X$2, Mov_Date, "&lt;="&amp;$Y$2))</f>
        <v>0</v>
      </c>
      <c r="N754">
        <f>IF($A754="","", SUMIFS(-Mov_Qty, Mov_Item, $A754, Mov_Type, "Consumption", Mov_Date, "&gt;="&amp;$Z$2, Mov_Date, "&lt;="&amp;$AA$2))</f>
        <v>0</v>
      </c>
      <c r="O754">
        <f>IFERROR(AVERAGE(L754:N754),"")</f>
        <v>0</v>
      </c>
      <c r="P754">
        <f>IF(O754&gt;=Cfg_HiMove, "Yes", "")</f>
        <v>0</v>
      </c>
      <c r="Q754">
        <f>IF($A754="","", $I754 + IFERROR(O754/30*$H754,0))</f>
        <v>0</v>
      </c>
      <c r="R754">
        <f>IF($A754="","", IF(J754&lt;=$F754, "Yes", ""))</f>
        <v>0</v>
      </c>
      <c r="S754">
        <f>IF(R754="Yes", CEILING(MAX($G754, Q754-J754), $G754), 0)</f>
        <v>0</v>
      </c>
      <c r="T754">
        <f>IFERROR(J754/(O754/30),"")</f>
        <v>0</v>
      </c>
    </row>
    <row r="755" spans="10:20">
      <c r="J755">
        <f>IF($A755="","", SUMIFS(Mov_Qty, Mov_Item, $A755))</f>
        <v>0</v>
      </c>
      <c r="K755">
        <f>IF($A755="","", J755 * $E755)</f>
        <v>0</v>
      </c>
      <c r="L755">
        <f>IF($A755="","", SUMIFS(-Mov_Qty, Mov_Item, $A755, Mov_Type, "Consumption", Mov_Date, "&gt;="&amp;$V$2, Mov_Date, "&lt;="&amp;$W$2))</f>
        <v>0</v>
      </c>
      <c r="M755">
        <f>IF($A755="","", SUMIFS(-Mov_Qty, Mov_Item, $A755, Mov_Type, "Consumption", Mov_Date, "&gt;="&amp;$X$2, Mov_Date, "&lt;="&amp;$Y$2))</f>
        <v>0</v>
      </c>
      <c r="N755">
        <f>IF($A755="","", SUMIFS(-Mov_Qty, Mov_Item, $A755, Mov_Type, "Consumption", Mov_Date, "&gt;="&amp;$Z$2, Mov_Date, "&lt;="&amp;$AA$2))</f>
        <v>0</v>
      </c>
      <c r="O755">
        <f>IFERROR(AVERAGE(L755:N755),"")</f>
        <v>0</v>
      </c>
      <c r="P755">
        <f>IF(O755&gt;=Cfg_HiMove, "Yes", "")</f>
        <v>0</v>
      </c>
      <c r="Q755">
        <f>IF($A755="","", $I755 + IFERROR(O755/30*$H755,0))</f>
        <v>0</v>
      </c>
      <c r="R755">
        <f>IF($A755="","", IF(J755&lt;=$F755, "Yes", ""))</f>
        <v>0</v>
      </c>
      <c r="S755">
        <f>IF(R755="Yes", CEILING(MAX($G755, Q755-J755), $G755), 0)</f>
        <v>0</v>
      </c>
      <c r="T755">
        <f>IFERROR(J755/(O755/30),"")</f>
        <v>0</v>
      </c>
    </row>
    <row r="756" spans="10:20">
      <c r="J756">
        <f>IF($A756="","", SUMIFS(Mov_Qty, Mov_Item, $A756))</f>
        <v>0</v>
      </c>
      <c r="K756">
        <f>IF($A756="","", J756 * $E756)</f>
        <v>0</v>
      </c>
      <c r="L756">
        <f>IF($A756="","", SUMIFS(-Mov_Qty, Mov_Item, $A756, Mov_Type, "Consumption", Mov_Date, "&gt;="&amp;$V$2, Mov_Date, "&lt;="&amp;$W$2))</f>
        <v>0</v>
      </c>
      <c r="M756">
        <f>IF($A756="","", SUMIFS(-Mov_Qty, Mov_Item, $A756, Mov_Type, "Consumption", Mov_Date, "&gt;="&amp;$X$2, Mov_Date, "&lt;="&amp;$Y$2))</f>
        <v>0</v>
      </c>
      <c r="N756">
        <f>IF($A756="","", SUMIFS(-Mov_Qty, Mov_Item, $A756, Mov_Type, "Consumption", Mov_Date, "&gt;="&amp;$Z$2, Mov_Date, "&lt;="&amp;$AA$2))</f>
        <v>0</v>
      </c>
      <c r="O756">
        <f>IFERROR(AVERAGE(L756:N756),"")</f>
        <v>0</v>
      </c>
      <c r="P756">
        <f>IF(O756&gt;=Cfg_HiMove, "Yes", "")</f>
        <v>0</v>
      </c>
      <c r="Q756">
        <f>IF($A756="","", $I756 + IFERROR(O756/30*$H756,0))</f>
        <v>0</v>
      </c>
      <c r="R756">
        <f>IF($A756="","", IF(J756&lt;=$F756, "Yes", ""))</f>
        <v>0</v>
      </c>
      <c r="S756">
        <f>IF(R756="Yes", CEILING(MAX($G756, Q756-J756), $G756), 0)</f>
        <v>0</v>
      </c>
      <c r="T756">
        <f>IFERROR(J756/(O756/30),"")</f>
        <v>0</v>
      </c>
    </row>
    <row r="757" spans="10:20">
      <c r="J757">
        <f>IF($A757="","", SUMIFS(Mov_Qty, Mov_Item, $A757))</f>
        <v>0</v>
      </c>
      <c r="K757">
        <f>IF($A757="","", J757 * $E757)</f>
        <v>0</v>
      </c>
      <c r="L757">
        <f>IF($A757="","", SUMIFS(-Mov_Qty, Mov_Item, $A757, Mov_Type, "Consumption", Mov_Date, "&gt;="&amp;$V$2, Mov_Date, "&lt;="&amp;$W$2))</f>
        <v>0</v>
      </c>
      <c r="M757">
        <f>IF($A757="","", SUMIFS(-Mov_Qty, Mov_Item, $A757, Mov_Type, "Consumption", Mov_Date, "&gt;="&amp;$X$2, Mov_Date, "&lt;="&amp;$Y$2))</f>
        <v>0</v>
      </c>
      <c r="N757">
        <f>IF($A757="","", SUMIFS(-Mov_Qty, Mov_Item, $A757, Mov_Type, "Consumption", Mov_Date, "&gt;="&amp;$Z$2, Mov_Date, "&lt;="&amp;$AA$2))</f>
        <v>0</v>
      </c>
      <c r="O757">
        <f>IFERROR(AVERAGE(L757:N757),"")</f>
        <v>0</v>
      </c>
      <c r="P757">
        <f>IF(O757&gt;=Cfg_HiMove, "Yes", "")</f>
        <v>0</v>
      </c>
      <c r="Q757">
        <f>IF($A757="","", $I757 + IFERROR(O757/30*$H757,0))</f>
        <v>0</v>
      </c>
      <c r="R757">
        <f>IF($A757="","", IF(J757&lt;=$F757, "Yes", ""))</f>
        <v>0</v>
      </c>
      <c r="S757">
        <f>IF(R757="Yes", CEILING(MAX($G757, Q757-J757), $G757), 0)</f>
        <v>0</v>
      </c>
      <c r="T757">
        <f>IFERROR(J757/(O757/30),"")</f>
        <v>0</v>
      </c>
    </row>
    <row r="758" spans="10:20">
      <c r="J758">
        <f>IF($A758="","", SUMIFS(Mov_Qty, Mov_Item, $A758))</f>
        <v>0</v>
      </c>
      <c r="K758">
        <f>IF($A758="","", J758 * $E758)</f>
        <v>0</v>
      </c>
      <c r="L758">
        <f>IF($A758="","", SUMIFS(-Mov_Qty, Mov_Item, $A758, Mov_Type, "Consumption", Mov_Date, "&gt;="&amp;$V$2, Mov_Date, "&lt;="&amp;$W$2))</f>
        <v>0</v>
      </c>
      <c r="M758">
        <f>IF($A758="","", SUMIFS(-Mov_Qty, Mov_Item, $A758, Mov_Type, "Consumption", Mov_Date, "&gt;="&amp;$X$2, Mov_Date, "&lt;="&amp;$Y$2))</f>
        <v>0</v>
      </c>
      <c r="N758">
        <f>IF($A758="","", SUMIFS(-Mov_Qty, Mov_Item, $A758, Mov_Type, "Consumption", Mov_Date, "&gt;="&amp;$Z$2, Mov_Date, "&lt;="&amp;$AA$2))</f>
        <v>0</v>
      </c>
      <c r="O758">
        <f>IFERROR(AVERAGE(L758:N758),"")</f>
        <v>0</v>
      </c>
      <c r="P758">
        <f>IF(O758&gt;=Cfg_HiMove, "Yes", "")</f>
        <v>0</v>
      </c>
      <c r="Q758">
        <f>IF($A758="","", $I758 + IFERROR(O758/30*$H758,0))</f>
        <v>0</v>
      </c>
      <c r="R758">
        <f>IF($A758="","", IF(J758&lt;=$F758, "Yes", ""))</f>
        <v>0</v>
      </c>
      <c r="S758">
        <f>IF(R758="Yes", CEILING(MAX($G758, Q758-J758), $G758), 0)</f>
        <v>0</v>
      </c>
      <c r="T758">
        <f>IFERROR(J758/(O758/30),"")</f>
        <v>0</v>
      </c>
    </row>
    <row r="759" spans="10:20">
      <c r="J759">
        <f>IF($A759="","", SUMIFS(Mov_Qty, Mov_Item, $A759))</f>
        <v>0</v>
      </c>
      <c r="K759">
        <f>IF($A759="","", J759 * $E759)</f>
        <v>0</v>
      </c>
      <c r="L759">
        <f>IF($A759="","", SUMIFS(-Mov_Qty, Mov_Item, $A759, Mov_Type, "Consumption", Mov_Date, "&gt;="&amp;$V$2, Mov_Date, "&lt;="&amp;$W$2))</f>
        <v>0</v>
      </c>
      <c r="M759">
        <f>IF($A759="","", SUMIFS(-Mov_Qty, Mov_Item, $A759, Mov_Type, "Consumption", Mov_Date, "&gt;="&amp;$X$2, Mov_Date, "&lt;="&amp;$Y$2))</f>
        <v>0</v>
      </c>
      <c r="N759">
        <f>IF($A759="","", SUMIFS(-Mov_Qty, Mov_Item, $A759, Mov_Type, "Consumption", Mov_Date, "&gt;="&amp;$Z$2, Mov_Date, "&lt;="&amp;$AA$2))</f>
        <v>0</v>
      </c>
      <c r="O759">
        <f>IFERROR(AVERAGE(L759:N759),"")</f>
        <v>0</v>
      </c>
      <c r="P759">
        <f>IF(O759&gt;=Cfg_HiMove, "Yes", "")</f>
        <v>0</v>
      </c>
      <c r="Q759">
        <f>IF($A759="","", $I759 + IFERROR(O759/30*$H759,0))</f>
        <v>0</v>
      </c>
      <c r="R759">
        <f>IF($A759="","", IF(J759&lt;=$F759, "Yes", ""))</f>
        <v>0</v>
      </c>
      <c r="S759">
        <f>IF(R759="Yes", CEILING(MAX($G759, Q759-J759), $G759), 0)</f>
        <v>0</v>
      </c>
      <c r="T759">
        <f>IFERROR(J759/(O759/30),"")</f>
        <v>0</v>
      </c>
    </row>
    <row r="760" spans="10:20">
      <c r="J760">
        <f>IF($A760="","", SUMIFS(Mov_Qty, Mov_Item, $A760))</f>
        <v>0</v>
      </c>
      <c r="K760">
        <f>IF($A760="","", J760 * $E760)</f>
        <v>0</v>
      </c>
      <c r="L760">
        <f>IF($A760="","", SUMIFS(-Mov_Qty, Mov_Item, $A760, Mov_Type, "Consumption", Mov_Date, "&gt;="&amp;$V$2, Mov_Date, "&lt;="&amp;$W$2))</f>
        <v>0</v>
      </c>
      <c r="M760">
        <f>IF($A760="","", SUMIFS(-Mov_Qty, Mov_Item, $A760, Mov_Type, "Consumption", Mov_Date, "&gt;="&amp;$X$2, Mov_Date, "&lt;="&amp;$Y$2))</f>
        <v>0</v>
      </c>
      <c r="N760">
        <f>IF($A760="","", SUMIFS(-Mov_Qty, Mov_Item, $A760, Mov_Type, "Consumption", Mov_Date, "&gt;="&amp;$Z$2, Mov_Date, "&lt;="&amp;$AA$2))</f>
        <v>0</v>
      </c>
      <c r="O760">
        <f>IFERROR(AVERAGE(L760:N760),"")</f>
        <v>0</v>
      </c>
      <c r="P760">
        <f>IF(O760&gt;=Cfg_HiMove, "Yes", "")</f>
        <v>0</v>
      </c>
      <c r="Q760">
        <f>IF($A760="","", $I760 + IFERROR(O760/30*$H760,0))</f>
        <v>0</v>
      </c>
      <c r="R760">
        <f>IF($A760="","", IF(J760&lt;=$F760, "Yes", ""))</f>
        <v>0</v>
      </c>
      <c r="S760">
        <f>IF(R760="Yes", CEILING(MAX($G760, Q760-J760), $G760), 0)</f>
        <v>0</v>
      </c>
      <c r="T760">
        <f>IFERROR(J760/(O760/30),"")</f>
        <v>0</v>
      </c>
    </row>
    <row r="761" spans="10:20">
      <c r="J761">
        <f>IF($A761="","", SUMIFS(Mov_Qty, Mov_Item, $A761))</f>
        <v>0</v>
      </c>
      <c r="K761">
        <f>IF($A761="","", J761 * $E761)</f>
        <v>0</v>
      </c>
      <c r="L761">
        <f>IF($A761="","", SUMIFS(-Mov_Qty, Mov_Item, $A761, Mov_Type, "Consumption", Mov_Date, "&gt;="&amp;$V$2, Mov_Date, "&lt;="&amp;$W$2))</f>
        <v>0</v>
      </c>
      <c r="M761">
        <f>IF($A761="","", SUMIFS(-Mov_Qty, Mov_Item, $A761, Mov_Type, "Consumption", Mov_Date, "&gt;="&amp;$X$2, Mov_Date, "&lt;="&amp;$Y$2))</f>
        <v>0</v>
      </c>
      <c r="N761">
        <f>IF($A761="","", SUMIFS(-Mov_Qty, Mov_Item, $A761, Mov_Type, "Consumption", Mov_Date, "&gt;="&amp;$Z$2, Mov_Date, "&lt;="&amp;$AA$2))</f>
        <v>0</v>
      </c>
      <c r="O761">
        <f>IFERROR(AVERAGE(L761:N761),"")</f>
        <v>0</v>
      </c>
      <c r="P761">
        <f>IF(O761&gt;=Cfg_HiMove, "Yes", "")</f>
        <v>0</v>
      </c>
      <c r="Q761">
        <f>IF($A761="","", $I761 + IFERROR(O761/30*$H761,0))</f>
        <v>0</v>
      </c>
      <c r="R761">
        <f>IF($A761="","", IF(J761&lt;=$F761, "Yes", ""))</f>
        <v>0</v>
      </c>
      <c r="S761">
        <f>IF(R761="Yes", CEILING(MAX($G761, Q761-J761), $G761), 0)</f>
        <v>0</v>
      </c>
      <c r="T761">
        <f>IFERROR(J761/(O761/30),"")</f>
        <v>0</v>
      </c>
    </row>
    <row r="762" spans="10:20">
      <c r="J762">
        <f>IF($A762="","", SUMIFS(Mov_Qty, Mov_Item, $A762))</f>
        <v>0</v>
      </c>
      <c r="K762">
        <f>IF($A762="","", J762 * $E762)</f>
        <v>0</v>
      </c>
      <c r="L762">
        <f>IF($A762="","", SUMIFS(-Mov_Qty, Mov_Item, $A762, Mov_Type, "Consumption", Mov_Date, "&gt;="&amp;$V$2, Mov_Date, "&lt;="&amp;$W$2))</f>
        <v>0</v>
      </c>
      <c r="M762">
        <f>IF($A762="","", SUMIFS(-Mov_Qty, Mov_Item, $A762, Mov_Type, "Consumption", Mov_Date, "&gt;="&amp;$X$2, Mov_Date, "&lt;="&amp;$Y$2))</f>
        <v>0</v>
      </c>
      <c r="N762">
        <f>IF($A762="","", SUMIFS(-Mov_Qty, Mov_Item, $A762, Mov_Type, "Consumption", Mov_Date, "&gt;="&amp;$Z$2, Mov_Date, "&lt;="&amp;$AA$2))</f>
        <v>0</v>
      </c>
      <c r="O762">
        <f>IFERROR(AVERAGE(L762:N762),"")</f>
        <v>0</v>
      </c>
      <c r="P762">
        <f>IF(O762&gt;=Cfg_HiMove, "Yes", "")</f>
        <v>0</v>
      </c>
      <c r="Q762">
        <f>IF($A762="","", $I762 + IFERROR(O762/30*$H762,0))</f>
        <v>0</v>
      </c>
      <c r="R762">
        <f>IF($A762="","", IF(J762&lt;=$F762, "Yes", ""))</f>
        <v>0</v>
      </c>
      <c r="S762">
        <f>IF(R762="Yes", CEILING(MAX($G762, Q762-J762), $G762), 0)</f>
        <v>0</v>
      </c>
      <c r="T762">
        <f>IFERROR(J762/(O762/30),"")</f>
        <v>0</v>
      </c>
    </row>
    <row r="763" spans="10:20">
      <c r="J763">
        <f>IF($A763="","", SUMIFS(Mov_Qty, Mov_Item, $A763))</f>
        <v>0</v>
      </c>
      <c r="K763">
        <f>IF($A763="","", J763 * $E763)</f>
        <v>0</v>
      </c>
      <c r="L763">
        <f>IF($A763="","", SUMIFS(-Mov_Qty, Mov_Item, $A763, Mov_Type, "Consumption", Mov_Date, "&gt;="&amp;$V$2, Mov_Date, "&lt;="&amp;$W$2))</f>
        <v>0</v>
      </c>
      <c r="M763">
        <f>IF($A763="","", SUMIFS(-Mov_Qty, Mov_Item, $A763, Mov_Type, "Consumption", Mov_Date, "&gt;="&amp;$X$2, Mov_Date, "&lt;="&amp;$Y$2))</f>
        <v>0</v>
      </c>
      <c r="N763">
        <f>IF($A763="","", SUMIFS(-Mov_Qty, Mov_Item, $A763, Mov_Type, "Consumption", Mov_Date, "&gt;="&amp;$Z$2, Mov_Date, "&lt;="&amp;$AA$2))</f>
        <v>0</v>
      </c>
      <c r="O763">
        <f>IFERROR(AVERAGE(L763:N763),"")</f>
        <v>0</v>
      </c>
      <c r="P763">
        <f>IF(O763&gt;=Cfg_HiMove, "Yes", "")</f>
        <v>0</v>
      </c>
      <c r="Q763">
        <f>IF($A763="","", $I763 + IFERROR(O763/30*$H763,0))</f>
        <v>0</v>
      </c>
      <c r="R763">
        <f>IF($A763="","", IF(J763&lt;=$F763, "Yes", ""))</f>
        <v>0</v>
      </c>
      <c r="S763">
        <f>IF(R763="Yes", CEILING(MAX($G763, Q763-J763), $G763), 0)</f>
        <v>0</v>
      </c>
      <c r="T763">
        <f>IFERROR(J763/(O763/30),"")</f>
        <v>0</v>
      </c>
    </row>
    <row r="764" spans="10:20">
      <c r="J764">
        <f>IF($A764="","", SUMIFS(Mov_Qty, Mov_Item, $A764))</f>
        <v>0</v>
      </c>
      <c r="K764">
        <f>IF($A764="","", J764 * $E764)</f>
        <v>0</v>
      </c>
      <c r="L764">
        <f>IF($A764="","", SUMIFS(-Mov_Qty, Mov_Item, $A764, Mov_Type, "Consumption", Mov_Date, "&gt;="&amp;$V$2, Mov_Date, "&lt;="&amp;$W$2))</f>
        <v>0</v>
      </c>
      <c r="M764">
        <f>IF($A764="","", SUMIFS(-Mov_Qty, Mov_Item, $A764, Mov_Type, "Consumption", Mov_Date, "&gt;="&amp;$X$2, Mov_Date, "&lt;="&amp;$Y$2))</f>
        <v>0</v>
      </c>
      <c r="N764">
        <f>IF($A764="","", SUMIFS(-Mov_Qty, Mov_Item, $A764, Mov_Type, "Consumption", Mov_Date, "&gt;="&amp;$Z$2, Mov_Date, "&lt;="&amp;$AA$2))</f>
        <v>0</v>
      </c>
      <c r="O764">
        <f>IFERROR(AVERAGE(L764:N764),"")</f>
        <v>0</v>
      </c>
      <c r="P764">
        <f>IF(O764&gt;=Cfg_HiMove, "Yes", "")</f>
        <v>0</v>
      </c>
      <c r="Q764">
        <f>IF($A764="","", $I764 + IFERROR(O764/30*$H764,0))</f>
        <v>0</v>
      </c>
      <c r="R764">
        <f>IF($A764="","", IF(J764&lt;=$F764, "Yes", ""))</f>
        <v>0</v>
      </c>
      <c r="S764">
        <f>IF(R764="Yes", CEILING(MAX($G764, Q764-J764), $G764), 0)</f>
        <v>0</v>
      </c>
      <c r="T764">
        <f>IFERROR(J764/(O764/30),"")</f>
        <v>0</v>
      </c>
    </row>
    <row r="765" spans="10:20">
      <c r="J765">
        <f>IF($A765="","", SUMIFS(Mov_Qty, Mov_Item, $A765))</f>
        <v>0</v>
      </c>
      <c r="K765">
        <f>IF($A765="","", J765 * $E765)</f>
        <v>0</v>
      </c>
      <c r="L765">
        <f>IF($A765="","", SUMIFS(-Mov_Qty, Mov_Item, $A765, Mov_Type, "Consumption", Mov_Date, "&gt;="&amp;$V$2, Mov_Date, "&lt;="&amp;$W$2))</f>
        <v>0</v>
      </c>
      <c r="M765">
        <f>IF($A765="","", SUMIFS(-Mov_Qty, Mov_Item, $A765, Mov_Type, "Consumption", Mov_Date, "&gt;="&amp;$X$2, Mov_Date, "&lt;="&amp;$Y$2))</f>
        <v>0</v>
      </c>
      <c r="N765">
        <f>IF($A765="","", SUMIFS(-Mov_Qty, Mov_Item, $A765, Mov_Type, "Consumption", Mov_Date, "&gt;="&amp;$Z$2, Mov_Date, "&lt;="&amp;$AA$2))</f>
        <v>0</v>
      </c>
      <c r="O765">
        <f>IFERROR(AVERAGE(L765:N765),"")</f>
        <v>0</v>
      </c>
      <c r="P765">
        <f>IF(O765&gt;=Cfg_HiMove, "Yes", "")</f>
        <v>0</v>
      </c>
      <c r="Q765">
        <f>IF($A765="","", $I765 + IFERROR(O765/30*$H765,0))</f>
        <v>0</v>
      </c>
      <c r="R765">
        <f>IF($A765="","", IF(J765&lt;=$F765, "Yes", ""))</f>
        <v>0</v>
      </c>
      <c r="S765">
        <f>IF(R765="Yes", CEILING(MAX($G765, Q765-J765), $G765), 0)</f>
        <v>0</v>
      </c>
      <c r="T765">
        <f>IFERROR(J765/(O765/30),"")</f>
        <v>0</v>
      </c>
    </row>
    <row r="766" spans="10:20">
      <c r="J766">
        <f>IF($A766="","", SUMIFS(Mov_Qty, Mov_Item, $A766))</f>
        <v>0</v>
      </c>
      <c r="K766">
        <f>IF($A766="","", J766 * $E766)</f>
        <v>0</v>
      </c>
      <c r="L766">
        <f>IF($A766="","", SUMIFS(-Mov_Qty, Mov_Item, $A766, Mov_Type, "Consumption", Mov_Date, "&gt;="&amp;$V$2, Mov_Date, "&lt;="&amp;$W$2))</f>
        <v>0</v>
      </c>
      <c r="M766">
        <f>IF($A766="","", SUMIFS(-Mov_Qty, Mov_Item, $A766, Mov_Type, "Consumption", Mov_Date, "&gt;="&amp;$X$2, Mov_Date, "&lt;="&amp;$Y$2))</f>
        <v>0</v>
      </c>
      <c r="N766">
        <f>IF($A766="","", SUMIFS(-Mov_Qty, Mov_Item, $A766, Mov_Type, "Consumption", Mov_Date, "&gt;="&amp;$Z$2, Mov_Date, "&lt;="&amp;$AA$2))</f>
        <v>0</v>
      </c>
      <c r="O766">
        <f>IFERROR(AVERAGE(L766:N766),"")</f>
        <v>0</v>
      </c>
      <c r="P766">
        <f>IF(O766&gt;=Cfg_HiMove, "Yes", "")</f>
        <v>0</v>
      </c>
      <c r="Q766">
        <f>IF($A766="","", $I766 + IFERROR(O766/30*$H766,0))</f>
        <v>0</v>
      </c>
      <c r="R766">
        <f>IF($A766="","", IF(J766&lt;=$F766, "Yes", ""))</f>
        <v>0</v>
      </c>
      <c r="S766">
        <f>IF(R766="Yes", CEILING(MAX($G766, Q766-J766), $G766), 0)</f>
        <v>0</v>
      </c>
      <c r="T766">
        <f>IFERROR(J766/(O766/30),"")</f>
        <v>0</v>
      </c>
    </row>
    <row r="767" spans="10:20">
      <c r="J767">
        <f>IF($A767="","", SUMIFS(Mov_Qty, Mov_Item, $A767))</f>
        <v>0</v>
      </c>
      <c r="K767">
        <f>IF($A767="","", J767 * $E767)</f>
        <v>0</v>
      </c>
      <c r="L767">
        <f>IF($A767="","", SUMIFS(-Mov_Qty, Mov_Item, $A767, Mov_Type, "Consumption", Mov_Date, "&gt;="&amp;$V$2, Mov_Date, "&lt;="&amp;$W$2))</f>
        <v>0</v>
      </c>
      <c r="M767">
        <f>IF($A767="","", SUMIFS(-Mov_Qty, Mov_Item, $A767, Mov_Type, "Consumption", Mov_Date, "&gt;="&amp;$X$2, Mov_Date, "&lt;="&amp;$Y$2))</f>
        <v>0</v>
      </c>
      <c r="N767">
        <f>IF($A767="","", SUMIFS(-Mov_Qty, Mov_Item, $A767, Mov_Type, "Consumption", Mov_Date, "&gt;="&amp;$Z$2, Mov_Date, "&lt;="&amp;$AA$2))</f>
        <v>0</v>
      </c>
      <c r="O767">
        <f>IFERROR(AVERAGE(L767:N767),"")</f>
        <v>0</v>
      </c>
      <c r="P767">
        <f>IF(O767&gt;=Cfg_HiMove, "Yes", "")</f>
        <v>0</v>
      </c>
      <c r="Q767">
        <f>IF($A767="","", $I767 + IFERROR(O767/30*$H767,0))</f>
        <v>0</v>
      </c>
      <c r="R767">
        <f>IF($A767="","", IF(J767&lt;=$F767, "Yes", ""))</f>
        <v>0</v>
      </c>
      <c r="S767">
        <f>IF(R767="Yes", CEILING(MAX($G767, Q767-J767), $G767), 0)</f>
        <v>0</v>
      </c>
      <c r="T767">
        <f>IFERROR(J767/(O767/30),"")</f>
        <v>0</v>
      </c>
    </row>
    <row r="768" spans="10:20">
      <c r="J768">
        <f>IF($A768="","", SUMIFS(Mov_Qty, Mov_Item, $A768))</f>
        <v>0</v>
      </c>
      <c r="K768">
        <f>IF($A768="","", J768 * $E768)</f>
        <v>0</v>
      </c>
      <c r="L768">
        <f>IF($A768="","", SUMIFS(-Mov_Qty, Mov_Item, $A768, Mov_Type, "Consumption", Mov_Date, "&gt;="&amp;$V$2, Mov_Date, "&lt;="&amp;$W$2))</f>
        <v>0</v>
      </c>
      <c r="M768">
        <f>IF($A768="","", SUMIFS(-Mov_Qty, Mov_Item, $A768, Mov_Type, "Consumption", Mov_Date, "&gt;="&amp;$X$2, Mov_Date, "&lt;="&amp;$Y$2))</f>
        <v>0</v>
      </c>
      <c r="N768">
        <f>IF($A768="","", SUMIFS(-Mov_Qty, Mov_Item, $A768, Mov_Type, "Consumption", Mov_Date, "&gt;="&amp;$Z$2, Mov_Date, "&lt;="&amp;$AA$2))</f>
        <v>0</v>
      </c>
      <c r="O768">
        <f>IFERROR(AVERAGE(L768:N768),"")</f>
        <v>0</v>
      </c>
      <c r="P768">
        <f>IF(O768&gt;=Cfg_HiMove, "Yes", "")</f>
        <v>0</v>
      </c>
      <c r="Q768">
        <f>IF($A768="","", $I768 + IFERROR(O768/30*$H768,0))</f>
        <v>0</v>
      </c>
      <c r="R768">
        <f>IF($A768="","", IF(J768&lt;=$F768, "Yes", ""))</f>
        <v>0</v>
      </c>
      <c r="S768">
        <f>IF(R768="Yes", CEILING(MAX($G768, Q768-J768), $G768), 0)</f>
        <v>0</v>
      </c>
      <c r="T768">
        <f>IFERROR(J768/(O768/30),"")</f>
        <v>0</v>
      </c>
    </row>
    <row r="769" spans="10:20">
      <c r="J769">
        <f>IF($A769="","", SUMIFS(Mov_Qty, Mov_Item, $A769))</f>
        <v>0</v>
      </c>
      <c r="K769">
        <f>IF($A769="","", J769 * $E769)</f>
        <v>0</v>
      </c>
      <c r="L769">
        <f>IF($A769="","", SUMIFS(-Mov_Qty, Mov_Item, $A769, Mov_Type, "Consumption", Mov_Date, "&gt;="&amp;$V$2, Mov_Date, "&lt;="&amp;$W$2))</f>
        <v>0</v>
      </c>
      <c r="M769">
        <f>IF($A769="","", SUMIFS(-Mov_Qty, Mov_Item, $A769, Mov_Type, "Consumption", Mov_Date, "&gt;="&amp;$X$2, Mov_Date, "&lt;="&amp;$Y$2))</f>
        <v>0</v>
      </c>
      <c r="N769">
        <f>IF($A769="","", SUMIFS(-Mov_Qty, Mov_Item, $A769, Mov_Type, "Consumption", Mov_Date, "&gt;="&amp;$Z$2, Mov_Date, "&lt;="&amp;$AA$2))</f>
        <v>0</v>
      </c>
      <c r="O769">
        <f>IFERROR(AVERAGE(L769:N769),"")</f>
        <v>0</v>
      </c>
      <c r="P769">
        <f>IF(O769&gt;=Cfg_HiMove, "Yes", "")</f>
        <v>0</v>
      </c>
      <c r="Q769">
        <f>IF($A769="","", $I769 + IFERROR(O769/30*$H769,0))</f>
        <v>0</v>
      </c>
      <c r="R769">
        <f>IF($A769="","", IF(J769&lt;=$F769, "Yes", ""))</f>
        <v>0</v>
      </c>
      <c r="S769">
        <f>IF(R769="Yes", CEILING(MAX($G769, Q769-J769), $G769), 0)</f>
        <v>0</v>
      </c>
      <c r="T769">
        <f>IFERROR(J769/(O769/30),"")</f>
        <v>0</v>
      </c>
    </row>
    <row r="770" spans="10:20">
      <c r="J770">
        <f>IF($A770="","", SUMIFS(Mov_Qty, Mov_Item, $A770))</f>
        <v>0</v>
      </c>
      <c r="K770">
        <f>IF($A770="","", J770 * $E770)</f>
        <v>0</v>
      </c>
      <c r="L770">
        <f>IF($A770="","", SUMIFS(-Mov_Qty, Mov_Item, $A770, Mov_Type, "Consumption", Mov_Date, "&gt;="&amp;$V$2, Mov_Date, "&lt;="&amp;$W$2))</f>
        <v>0</v>
      </c>
      <c r="M770">
        <f>IF($A770="","", SUMIFS(-Mov_Qty, Mov_Item, $A770, Mov_Type, "Consumption", Mov_Date, "&gt;="&amp;$X$2, Mov_Date, "&lt;="&amp;$Y$2))</f>
        <v>0</v>
      </c>
      <c r="N770">
        <f>IF($A770="","", SUMIFS(-Mov_Qty, Mov_Item, $A770, Mov_Type, "Consumption", Mov_Date, "&gt;="&amp;$Z$2, Mov_Date, "&lt;="&amp;$AA$2))</f>
        <v>0</v>
      </c>
      <c r="O770">
        <f>IFERROR(AVERAGE(L770:N770),"")</f>
        <v>0</v>
      </c>
      <c r="P770">
        <f>IF(O770&gt;=Cfg_HiMove, "Yes", "")</f>
        <v>0</v>
      </c>
      <c r="Q770">
        <f>IF($A770="","", $I770 + IFERROR(O770/30*$H770,0))</f>
        <v>0</v>
      </c>
      <c r="R770">
        <f>IF($A770="","", IF(J770&lt;=$F770, "Yes", ""))</f>
        <v>0</v>
      </c>
      <c r="S770">
        <f>IF(R770="Yes", CEILING(MAX($G770, Q770-J770), $G770), 0)</f>
        <v>0</v>
      </c>
      <c r="T770">
        <f>IFERROR(J770/(O770/30),"")</f>
        <v>0</v>
      </c>
    </row>
    <row r="771" spans="10:20">
      <c r="J771">
        <f>IF($A771="","", SUMIFS(Mov_Qty, Mov_Item, $A771))</f>
        <v>0</v>
      </c>
      <c r="K771">
        <f>IF($A771="","", J771 * $E771)</f>
        <v>0</v>
      </c>
      <c r="L771">
        <f>IF($A771="","", SUMIFS(-Mov_Qty, Mov_Item, $A771, Mov_Type, "Consumption", Mov_Date, "&gt;="&amp;$V$2, Mov_Date, "&lt;="&amp;$W$2))</f>
        <v>0</v>
      </c>
      <c r="M771">
        <f>IF($A771="","", SUMIFS(-Mov_Qty, Mov_Item, $A771, Mov_Type, "Consumption", Mov_Date, "&gt;="&amp;$X$2, Mov_Date, "&lt;="&amp;$Y$2))</f>
        <v>0</v>
      </c>
      <c r="N771">
        <f>IF($A771="","", SUMIFS(-Mov_Qty, Mov_Item, $A771, Mov_Type, "Consumption", Mov_Date, "&gt;="&amp;$Z$2, Mov_Date, "&lt;="&amp;$AA$2))</f>
        <v>0</v>
      </c>
      <c r="O771">
        <f>IFERROR(AVERAGE(L771:N771),"")</f>
        <v>0</v>
      </c>
      <c r="P771">
        <f>IF(O771&gt;=Cfg_HiMove, "Yes", "")</f>
        <v>0</v>
      </c>
      <c r="Q771">
        <f>IF($A771="","", $I771 + IFERROR(O771/30*$H771,0))</f>
        <v>0</v>
      </c>
      <c r="R771">
        <f>IF($A771="","", IF(J771&lt;=$F771, "Yes", ""))</f>
        <v>0</v>
      </c>
      <c r="S771">
        <f>IF(R771="Yes", CEILING(MAX($G771, Q771-J771), $G771), 0)</f>
        <v>0</v>
      </c>
      <c r="T771">
        <f>IFERROR(J771/(O771/30),"")</f>
        <v>0</v>
      </c>
    </row>
    <row r="772" spans="10:20">
      <c r="J772">
        <f>IF($A772="","", SUMIFS(Mov_Qty, Mov_Item, $A772))</f>
        <v>0</v>
      </c>
      <c r="K772">
        <f>IF($A772="","", J772 * $E772)</f>
        <v>0</v>
      </c>
      <c r="L772">
        <f>IF($A772="","", SUMIFS(-Mov_Qty, Mov_Item, $A772, Mov_Type, "Consumption", Mov_Date, "&gt;="&amp;$V$2, Mov_Date, "&lt;="&amp;$W$2))</f>
        <v>0</v>
      </c>
      <c r="M772">
        <f>IF($A772="","", SUMIFS(-Mov_Qty, Mov_Item, $A772, Mov_Type, "Consumption", Mov_Date, "&gt;="&amp;$X$2, Mov_Date, "&lt;="&amp;$Y$2))</f>
        <v>0</v>
      </c>
      <c r="N772">
        <f>IF($A772="","", SUMIFS(-Mov_Qty, Mov_Item, $A772, Mov_Type, "Consumption", Mov_Date, "&gt;="&amp;$Z$2, Mov_Date, "&lt;="&amp;$AA$2))</f>
        <v>0</v>
      </c>
      <c r="O772">
        <f>IFERROR(AVERAGE(L772:N772),"")</f>
        <v>0</v>
      </c>
      <c r="P772">
        <f>IF(O772&gt;=Cfg_HiMove, "Yes", "")</f>
        <v>0</v>
      </c>
      <c r="Q772">
        <f>IF($A772="","", $I772 + IFERROR(O772/30*$H772,0))</f>
        <v>0</v>
      </c>
      <c r="R772">
        <f>IF($A772="","", IF(J772&lt;=$F772, "Yes", ""))</f>
        <v>0</v>
      </c>
      <c r="S772">
        <f>IF(R772="Yes", CEILING(MAX($G772, Q772-J772), $G772), 0)</f>
        <v>0</v>
      </c>
      <c r="T772">
        <f>IFERROR(J772/(O772/30),"")</f>
        <v>0</v>
      </c>
    </row>
    <row r="773" spans="10:20">
      <c r="J773">
        <f>IF($A773="","", SUMIFS(Mov_Qty, Mov_Item, $A773))</f>
        <v>0</v>
      </c>
      <c r="K773">
        <f>IF($A773="","", J773 * $E773)</f>
        <v>0</v>
      </c>
      <c r="L773">
        <f>IF($A773="","", SUMIFS(-Mov_Qty, Mov_Item, $A773, Mov_Type, "Consumption", Mov_Date, "&gt;="&amp;$V$2, Mov_Date, "&lt;="&amp;$W$2))</f>
        <v>0</v>
      </c>
      <c r="M773">
        <f>IF($A773="","", SUMIFS(-Mov_Qty, Mov_Item, $A773, Mov_Type, "Consumption", Mov_Date, "&gt;="&amp;$X$2, Mov_Date, "&lt;="&amp;$Y$2))</f>
        <v>0</v>
      </c>
      <c r="N773">
        <f>IF($A773="","", SUMIFS(-Mov_Qty, Mov_Item, $A773, Mov_Type, "Consumption", Mov_Date, "&gt;="&amp;$Z$2, Mov_Date, "&lt;="&amp;$AA$2))</f>
        <v>0</v>
      </c>
      <c r="O773">
        <f>IFERROR(AVERAGE(L773:N773),"")</f>
        <v>0</v>
      </c>
      <c r="P773">
        <f>IF(O773&gt;=Cfg_HiMove, "Yes", "")</f>
        <v>0</v>
      </c>
      <c r="Q773">
        <f>IF($A773="","", $I773 + IFERROR(O773/30*$H773,0))</f>
        <v>0</v>
      </c>
      <c r="R773">
        <f>IF($A773="","", IF(J773&lt;=$F773, "Yes", ""))</f>
        <v>0</v>
      </c>
      <c r="S773">
        <f>IF(R773="Yes", CEILING(MAX($G773, Q773-J773), $G773), 0)</f>
        <v>0</v>
      </c>
      <c r="T773">
        <f>IFERROR(J773/(O773/30),"")</f>
        <v>0</v>
      </c>
    </row>
    <row r="774" spans="10:20">
      <c r="J774">
        <f>IF($A774="","", SUMIFS(Mov_Qty, Mov_Item, $A774))</f>
        <v>0</v>
      </c>
      <c r="K774">
        <f>IF($A774="","", J774 * $E774)</f>
        <v>0</v>
      </c>
      <c r="L774">
        <f>IF($A774="","", SUMIFS(-Mov_Qty, Mov_Item, $A774, Mov_Type, "Consumption", Mov_Date, "&gt;="&amp;$V$2, Mov_Date, "&lt;="&amp;$W$2))</f>
        <v>0</v>
      </c>
      <c r="M774">
        <f>IF($A774="","", SUMIFS(-Mov_Qty, Mov_Item, $A774, Mov_Type, "Consumption", Mov_Date, "&gt;="&amp;$X$2, Mov_Date, "&lt;="&amp;$Y$2))</f>
        <v>0</v>
      </c>
      <c r="N774">
        <f>IF($A774="","", SUMIFS(-Mov_Qty, Mov_Item, $A774, Mov_Type, "Consumption", Mov_Date, "&gt;="&amp;$Z$2, Mov_Date, "&lt;="&amp;$AA$2))</f>
        <v>0</v>
      </c>
      <c r="O774">
        <f>IFERROR(AVERAGE(L774:N774),"")</f>
        <v>0</v>
      </c>
      <c r="P774">
        <f>IF(O774&gt;=Cfg_HiMove, "Yes", "")</f>
        <v>0</v>
      </c>
      <c r="Q774">
        <f>IF($A774="","", $I774 + IFERROR(O774/30*$H774,0))</f>
        <v>0</v>
      </c>
      <c r="R774">
        <f>IF($A774="","", IF(J774&lt;=$F774, "Yes", ""))</f>
        <v>0</v>
      </c>
      <c r="S774">
        <f>IF(R774="Yes", CEILING(MAX($G774, Q774-J774), $G774), 0)</f>
        <v>0</v>
      </c>
      <c r="T774">
        <f>IFERROR(J774/(O774/30),"")</f>
        <v>0</v>
      </c>
    </row>
    <row r="775" spans="10:20">
      <c r="J775">
        <f>IF($A775="","", SUMIFS(Mov_Qty, Mov_Item, $A775))</f>
        <v>0</v>
      </c>
      <c r="K775">
        <f>IF($A775="","", J775 * $E775)</f>
        <v>0</v>
      </c>
      <c r="L775">
        <f>IF($A775="","", SUMIFS(-Mov_Qty, Mov_Item, $A775, Mov_Type, "Consumption", Mov_Date, "&gt;="&amp;$V$2, Mov_Date, "&lt;="&amp;$W$2))</f>
        <v>0</v>
      </c>
      <c r="M775">
        <f>IF($A775="","", SUMIFS(-Mov_Qty, Mov_Item, $A775, Mov_Type, "Consumption", Mov_Date, "&gt;="&amp;$X$2, Mov_Date, "&lt;="&amp;$Y$2))</f>
        <v>0</v>
      </c>
      <c r="N775">
        <f>IF($A775="","", SUMIFS(-Mov_Qty, Mov_Item, $A775, Mov_Type, "Consumption", Mov_Date, "&gt;="&amp;$Z$2, Mov_Date, "&lt;="&amp;$AA$2))</f>
        <v>0</v>
      </c>
      <c r="O775">
        <f>IFERROR(AVERAGE(L775:N775),"")</f>
        <v>0</v>
      </c>
      <c r="P775">
        <f>IF(O775&gt;=Cfg_HiMove, "Yes", "")</f>
        <v>0</v>
      </c>
      <c r="Q775">
        <f>IF($A775="","", $I775 + IFERROR(O775/30*$H775,0))</f>
        <v>0</v>
      </c>
      <c r="R775">
        <f>IF($A775="","", IF(J775&lt;=$F775, "Yes", ""))</f>
        <v>0</v>
      </c>
      <c r="S775">
        <f>IF(R775="Yes", CEILING(MAX($G775, Q775-J775), $G775), 0)</f>
        <v>0</v>
      </c>
      <c r="T775">
        <f>IFERROR(J775/(O775/30),"")</f>
        <v>0</v>
      </c>
    </row>
    <row r="776" spans="10:20">
      <c r="J776">
        <f>IF($A776="","", SUMIFS(Mov_Qty, Mov_Item, $A776))</f>
        <v>0</v>
      </c>
      <c r="K776">
        <f>IF($A776="","", J776 * $E776)</f>
        <v>0</v>
      </c>
      <c r="L776">
        <f>IF($A776="","", SUMIFS(-Mov_Qty, Mov_Item, $A776, Mov_Type, "Consumption", Mov_Date, "&gt;="&amp;$V$2, Mov_Date, "&lt;="&amp;$W$2))</f>
        <v>0</v>
      </c>
      <c r="M776">
        <f>IF($A776="","", SUMIFS(-Mov_Qty, Mov_Item, $A776, Mov_Type, "Consumption", Mov_Date, "&gt;="&amp;$X$2, Mov_Date, "&lt;="&amp;$Y$2))</f>
        <v>0</v>
      </c>
      <c r="N776">
        <f>IF($A776="","", SUMIFS(-Mov_Qty, Mov_Item, $A776, Mov_Type, "Consumption", Mov_Date, "&gt;="&amp;$Z$2, Mov_Date, "&lt;="&amp;$AA$2))</f>
        <v>0</v>
      </c>
      <c r="O776">
        <f>IFERROR(AVERAGE(L776:N776),"")</f>
        <v>0</v>
      </c>
      <c r="P776">
        <f>IF(O776&gt;=Cfg_HiMove, "Yes", "")</f>
        <v>0</v>
      </c>
      <c r="Q776">
        <f>IF($A776="","", $I776 + IFERROR(O776/30*$H776,0))</f>
        <v>0</v>
      </c>
      <c r="R776">
        <f>IF($A776="","", IF(J776&lt;=$F776, "Yes", ""))</f>
        <v>0</v>
      </c>
      <c r="S776">
        <f>IF(R776="Yes", CEILING(MAX($G776, Q776-J776), $G776), 0)</f>
        <v>0</v>
      </c>
      <c r="T776">
        <f>IFERROR(J776/(O776/30),"")</f>
        <v>0</v>
      </c>
    </row>
    <row r="777" spans="10:20">
      <c r="J777">
        <f>IF($A777="","", SUMIFS(Mov_Qty, Mov_Item, $A777))</f>
        <v>0</v>
      </c>
      <c r="K777">
        <f>IF($A777="","", J777 * $E777)</f>
        <v>0</v>
      </c>
      <c r="L777">
        <f>IF($A777="","", SUMIFS(-Mov_Qty, Mov_Item, $A777, Mov_Type, "Consumption", Mov_Date, "&gt;="&amp;$V$2, Mov_Date, "&lt;="&amp;$W$2))</f>
        <v>0</v>
      </c>
      <c r="M777">
        <f>IF($A777="","", SUMIFS(-Mov_Qty, Mov_Item, $A777, Mov_Type, "Consumption", Mov_Date, "&gt;="&amp;$X$2, Mov_Date, "&lt;="&amp;$Y$2))</f>
        <v>0</v>
      </c>
      <c r="N777">
        <f>IF($A777="","", SUMIFS(-Mov_Qty, Mov_Item, $A777, Mov_Type, "Consumption", Mov_Date, "&gt;="&amp;$Z$2, Mov_Date, "&lt;="&amp;$AA$2))</f>
        <v>0</v>
      </c>
      <c r="O777">
        <f>IFERROR(AVERAGE(L777:N777),"")</f>
        <v>0</v>
      </c>
      <c r="P777">
        <f>IF(O777&gt;=Cfg_HiMove, "Yes", "")</f>
        <v>0</v>
      </c>
      <c r="Q777">
        <f>IF($A777="","", $I777 + IFERROR(O777/30*$H777,0))</f>
        <v>0</v>
      </c>
      <c r="R777">
        <f>IF($A777="","", IF(J777&lt;=$F777, "Yes", ""))</f>
        <v>0</v>
      </c>
      <c r="S777">
        <f>IF(R777="Yes", CEILING(MAX($G777, Q777-J777), $G777), 0)</f>
        <v>0</v>
      </c>
      <c r="T777">
        <f>IFERROR(J777/(O777/30),"")</f>
        <v>0</v>
      </c>
    </row>
    <row r="778" spans="10:20">
      <c r="J778">
        <f>IF($A778="","", SUMIFS(Mov_Qty, Mov_Item, $A778))</f>
        <v>0</v>
      </c>
      <c r="K778">
        <f>IF($A778="","", J778 * $E778)</f>
        <v>0</v>
      </c>
      <c r="L778">
        <f>IF($A778="","", SUMIFS(-Mov_Qty, Mov_Item, $A778, Mov_Type, "Consumption", Mov_Date, "&gt;="&amp;$V$2, Mov_Date, "&lt;="&amp;$W$2))</f>
        <v>0</v>
      </c>
      <c r="M778">
        <f>IF($A778="","", SUMIFS(-Mov_Qty, Mov_Item, $A778, Mov_Type, "Consumption", Mov_Date, "&gt;="&amp;$X$2, Mov_Date, "&lt;="&amp;$Y$2))</f>
        <v>0</v>
      </c>
      <c r="N778">
        <f>IF($A778="","", SUMIFS(-Mov_Qty, Mov_Item, $A778, Mov_Type, "Consumption", Mov_Date, "&gt;="&amp;$Z$2, Mov_Date, "&lt;="&amp;$AA$2))</f>
        <v>0</v>
      </c>
      <c r="O778">
        <f>IFERROR(AVERAGE(L778:N778),"")</f>
        <v>0</v>
      </c>
      <c r="P778">
        <f>IF(O778&gt;=Cfg_HiMove, "Yes", "")</f>
        <v>0</v>
      </c>
      <c r="Q778">
        <f>IF($A778="","", $I778 + IFERROR(O778/30*$H778,0))</f>
        <v>0</v>
      </c>
      <c r="R778">
        <f>IF($A778="","", IF(J778&lt;=$F778, "Yes", ""))</f>
        <v>0</v>
      </c>
      <c r="S778">
        <f>IF(R778="Yes", CEILING(MAX($G778, Q778-J778), $G778), 0)</f>
        <v>0</v>
      </c>
      <c r="T778">
        <f>IFERROR(J778/(O778/30),"")</f>
        <v>0</v>
      </c>
    </row>
    <row r="779" spans="10:20">
      <c r="J779">
        <f>IF($A779="","", SUMIFS(Mov_Qty, Mov_Item, $A779))</f>
        <v>0</v>
      </c>
      <c r="K779">
        <f>IF($A779="","", J779 * $E779)</f>
        <v>0</v>
      </c>
      <c r="L779">
        <f>IF($A779="","", SUMIFS(-Mov_Qty, Mov_Item, $A779, Mov_Type, "Consumption", Mov_Date, "&gt;="&amp;$V$2, Mov_Date, "&lt;="&amp;$W$2))</f>
        <v>0</v>
      </c>
      <c r="M779">
        <f>IF($A779="","", SUMIFS(-Mov_Qty, Mov_Item, $A779, Mov_Type, "Consumption", Mov_Date, "&gt;="&amp;$X$2, Mov_Date, "&lt;="&amp;$Y$2))</f>
        <v>0</v>
      </c>
      <c r="N779">
        <f>IF($A779="","", SUMIFS(-Mov_Qty, Mov_Item, $A779, Mov_Type, "Consumption", Mov_Date, "&gt;="&amp;$Z$2, Mov_Date, "&lt;="&amp;$AA$2))</f>
        <v>0</v>
      </c>
      <c r="O779">
        <f>IFERROR(AVERAGE(L779:N779),"")</f>
        <v>0</v>
      </c>
      <c r="P779">
        <f>IF(O779&gt;=Cfg_HiMove, "Yes", "")</f>
        <v>0</v>
      </c>
      <c r="Q779">
        <f>IF($A779="","", $I779 + IFERROR(O779/30*$H779,0))</f>
        <v>0</v>
      </c>
      <c r="R779">
        <f>IF($A779="","", IF(J779&lt;=$F779, "Yes", ""))</f>
        <v>0</v>
      </c>
      <c r="S779">
        <f>IF(R779="Yes", CEILING(MAX($G779, Q779-J779), $G779), 0)</f>
        <v>0</v>
      </c>
      <c r="T779">
        <f>IFERROR(J779/(O779/30),"")</f>
        <v>0</v>
      </c>
    </row>
    <row r="780" spans="10:20">
      <c r="J780">
        <f>IF($A780="","", SUMIFS(Mov_Qty, Mov_Item, $A780))</f>
        <v>0</v>
      </c>
      <c r="K780">
        <f>IF($A780="","", J780 * $E780)</f>
        <v>0</v>
      </c>
      <c r="L780">
        <f>IF($A780="","", SUMIFS(-Mov_Qty, Mov_Item, $A780, Mov_Type, "Consumption", Mov_Date, "&gt;="&amp;$V$2, Mov_Date, "&lt;="&amp;$W$2))</f>
        <v>0</v>
      </c>
      <c r="M780">
        <f>IF($A780="","", SUMIFS(-Mov_Qty, Mov_Item, $A780, Mov_Type, "Consumption", Mov_Date, "&gt;="&amp;$X$2, Mov_Date, "&lt;="&amp;$Y$2))</f>
        <v>0</v>
      </c>
      <c r="N780">
        <f>IF($A780="","", SUMIFS(-Mov_Qty, Mov_Item, $A780, Mov_Type, "Consumption", Mov_Date, "&gt;="&amp;$Z$2, Mov_Date, "&lt;="&amp;$AA$2))</f>
        <v>0</v>
      </c>
      <c r="O780">
        <f>IFERROR(AVERAGE(L780:N780),"")</f>
        <v>0</v>
      </c>
      <c r="P780">
        <f>IF(O780&gt;=Cfg_HiMove, "Yes", "")</f>
        <v>0</v>
      </c>
      <c r="Q780">
        <f>IF($A780="","", $I780 + IFERROR(O780/30*$H780,0))</f>
        <v>0</v>
      </c>
      <c r="R780">
        <f>IF($A780="","", IF(J780&lt;=$F780, "Yes", ""))</f>
        <v>0</v>
      </c>
      <c r="S780">
        <f>IF(R780="Yes", CEILING(MAX($G780, Q780-J780), $G780), 0)</f>
        <v>0</v>
      </c>
      <c r="T780">
        <f>IFERROR(J780/(O780/30),"")</f>
        <v>0</v>
      </c>
    </row>
    <row r="781" spans="10:20">
      <c r="J781">
        <f>IF($A781="","", SUMIFS(Mov_Qty, Mov_Item, $A781))</f>
        <v>0</v>
      </c>
      <c r="K781">
        <f>IF($A781="","", J781 * $E781)</f>
        <v>0</v>
      </c>
      <c r="L781">
        <f>IF($A781="","", SUMIFS(-Mov_Qty, Mov_Item, $A781, Mov_Type, "Consumption", Mov_Date, "&gt;="&amp;$V$2, Mov_Date, "&lt;="&amp;$W$2))</f>
        <v>0</v>
      </c>
      <c r="M781">
        <f>IF($A781="","", SUMIFS(-Mov_Qty, Mov_Item, $A781, Mov_Type, "Consumption", Mov_Date, "&gt;="&amp;$X$2, Mov_Date, "&lt;="&amp;$Y$2))</f>
        <v>0</v>
      </c>
      <c r="N781">
        <f>IF($A781="","", SUMIFS(-Mov_Qty, Mov_Item, $A781, Mov_Type, "Consumption", Mov_Date, "&gt;="&amp;$Z$2, Mov_Date, "&lt;="&amp;$AA$2))</f>
        <v>0</v>
      </c>
      <c r="O781">
        <f>IFERROR(AVERAGE(L781:N781),"")</f>
        <v>0</v>
      </c>
      <c r="P781">
        <f>IF(O781&gt;=Cfg_HiMove, "Yes", "")</f>
        <v>0</v>
      </c>
      <c r="Q781">
        <f>IF($A781="","", $I781 + IFERROR(O781/30*$H781,0))</f>
        <v>0</v>
      </c>
      <c r="R781">
        <f>IF($A781="","", IF(J781&lt;=$F781, "Yes", ""))</f>
        <v>0</v>
      </c>
      <c r="S781">
        <f>IF(R781="Yes", CEILING(MAX($G781, Q781-J781), $G781), 0)</f>
        <v>0</v>
      </c>
      <c r="T781">
        <f>IFERROR(J781/(O781/30),"")</f>
        <v>0</v>
      </c>
    </row>
    <row r="782" spans="10:20">
      <c r="J782">
        <f>IF($A782="","", SUMIFS(Mov_Qty, Mov_Item, $A782))</f>
        <v>0</v>
      </c>
      <c r="K782">
        <f>IF($A782="","", J782 * $E782)</f>
        <v>0</v>
      </c>
      <c r="L782">
        <f>IF($A782="","", SUMIFS(-Mov_Qty, Mov_Item, $A782, Mov_Type, "Consumption", Mov_Date, "&gt;="&amp;$V$2, Mov_Date, "&lt;="&amp;$W$2))</f>
        <v>0</v>
      </c>
      <c r="M782">
        <f>IF($A782="","", SUMIFS(-Mov_Qty, Mov_Item, $A782, Mov_Type, "Consumption", Mov_Date, "&gt;="&amp;$X$2, Mov_Date, "&lt;="&amp;$Y$2))</f>
        <v>0</v>
      </c>
      <c r="N782">
        <f>IF($A782="","", SUMIFS(-Mov_Qty, Mov_Item, $A782, Mov_Type, "Consumption", Mov_Date, "&gt;="&amp;$Z$2, Mov_Date, "&lt;="&amp;$AA$2))</f>
        <v>0</v>
      </c>
      <c r="O782">
        <f>IFERROR(AVERAGE(L782:N782),"")</f>
        <v>0</v>
      </c>
      <c r="P782">
        <f>IF(O782&gt;=Cfg_HiMove, "Yes", "")</f>
        <v>0</v>
      </c>
      <c r="Q782">
        <f>IF($A782="","", $I782 + IFERROR(O782/30*$H782,0))</f>
        <v>0</v>
      </c>
      <c r="R782">
        <f>IF($A782="","", IF(J782&lt;=$F782, "Yes", ""))</f>
        <v>0</v>
      </c>
      <c r="S782">
        <f>IF(R782="Yes", CEILING(MAX($G782, Q782-J782), $G782), 0)</f>
        <v>0</v>
      </c>
      <c r="T782">
        <f>IFERROR(J782/(O782/30),"")</f>
        <v>0</v>
      </c>
    </row>
    <row r="783" spans="10:20">
      <c r="J783">
        <f>IF($A783="","", SUMIFS(Mov_Qty, Mov_Item, $A783))</f>
        <v>0</v>
      </c>
      <c r="K783">
        <f>IF($A783="","", J783 * $E783)</f>
        <v>0</v>
      </c>
      <c r="L783">
        <f>IF($A783="","", SUMIFS(-Mov_Qty, Mov_Item, $A783, Mov_Type, "Consumption", Mov_Date, "&gt;="&amp;$V$2, Mov_Date, "&lt;="&amp;$W$2))</f>
        <v>0</v>
      </c>
      <c r="M783">
        <f>IF($A783="","", SUMIFS(-Mov_Qty, Mov_Item, $A783, Mov_Type, "Consumption", Mov_Date, "&gt;="&amp;$X$2, Mov_Date, "&lt;="&amp;$Y$2))</f>
        <v>0</v>
      </c>
      <c r="N783">
        <f>IF($A783="","", SUMIFS(-Mov_Qty, Mov_Item, $A783, Mov_Type, "Consumption", Mov_Date, "&gt;="&amp;$Z$2, Mov_Date, "&lt;="&amp;$AA$2))</f>
        <v>0</v>
      </c>
      <c r="O783">
        <f>IFERROR(AVERAGE(L783:N783),"")</f>
        <v>0</v>
      </c>
      <c r="P783">
        <f>IF(O783&gt;=Cfg_HiMove, "Yes", "")</f>
        <v>0</v>
      </c>
      <c r="Q783">
        <f>IF($A783="","", $I783 + IFERROR(O783/30*$H783,0))</f>
        <v>0</v>
      </c>
      <c r="R783">
        <f>IF($A783="","", IF(J783&lt;=$F783, "Yes", ""))</f>
        <v>0</v>
      </c>
      <c r="S783">
        <f>IF(R783="Yes", CEILING(MAX($G783, Q783-J783), $G783), 0)</f>
        <v>0</v>
      </c>
      <c r="T783">
        <f>IFERROR(J783/(O783/30),"")</f>
        <v>0</v>
      </c>
    </row>
    <row r="784" spans="10:20">
      <c r="J784">
        <f>IF($A784="","", SUMIFS(Mov_Qty, Mov_Item, $A784))</f>
        <v>0</v>
      </c>
      <c r="K784">
        <f>IF($A784="","", J784 * $E784)</f>
        <v>0</v>
      </c>
      <c r="L784">
        <f>IF($A784="","", SUMIFS(-Mov_Qty, Mov_Item, $A784, Mov_Type, "Consumption", Mov_Date, "&gt;="&amp;$V$2, Mov_Date, "&lt;="&amp;$W$2))</f>
        <v>0</v>
      </c>
      <c r="M784">
        <f>IF($A784="","", SUMIFS(-Mov_Qty, Mov_Item, $A784, Mov_Type, "Consumption", Mov_Date, "&gt;="&amp;$X$2, Mov_Date, "&lt;="&amp;$Y$2))</f>
        <v>0</v>
      </c>
      <c r="N784">
        <f>IF($A784="","", SUMIFS(-Mov_Qty, Mov_Item, $A784, Mov_Type, "Consumption", Mov_Date, "&gt;="&amp;$Z$2, Mov_Date, "&lt;="&amp;$AA$2))</f>
        <v>0</v>
      </c>
      <c r="O784">
        <f>IFERROR(AVERAGE(L784:N784),"")</f>
        <v>0</v>
      </c>
      <c r="P784">
        <f>IF(O784&gt;=Cfg_HiMove, "Yes", "")</f>
        <v>0</v>
      </c>
      <c r="Q784">
        <f>IF($A784="","", $I784 + IFERROR(O784/30*$H784,0))</f>
        <v>0</v>
      </c>
      <c r="R784">
        <f>IF($A784="","", IF(J784&lt;=$F784, "Yes", ""))</f>
        <v>0</v>
      </c>
      <c r="S784">
        <f>IF(R784="Yes", CEILING(MAX($G784, Q784-J784), $G784), 0)</f>
        <v>0</v>
      </c>
      <c r="T784">
        <f>IFERROR(J784/(O784/30),"")</f>
        <v>0</v>
      </c>
    </row>
    <row r="785" spans="10:20">
      <c r="J785">
        <f>IF($A785="","", SUMIFS(Mov_Qty, Mov_Item, $A785))</f>
        <v>0</v>
      </c>
      <c r="K785">
        <f>IF($A785="","", J785 * $E785)</f>
        <v>0</v>
      </c>
      <c r="L785">
        <f>IF($A785="","", SUMIFS(-Mov_Qty, Mov_Item, $A785, Mov_Type, "Consumption", Mov_Date, "&gt;="&amp;$V$2, Mov_Date, "&lt;="&amp;$W$2))</f>
        <v>0</v>
      </c>
      <c r="M785">
        <f>IF($A785="","", SUMIFS(-Mov_Qty, Mov_Item, $A785, Mov_Type, "Consumption", Mov_Date, "&gt;="&amp;$X$2, Mov_Date, "&lt;="&amp;$Y$2))</f>
        <v>0</v>
      </c>
      <c r="N785">
        <f>IF($A785="","", SUMIFS(-Mov_Qty, Mov_Item, $A785, Mov_Type, "Consumption", Mov_Date, "&gt;="&amp;$Z$2, Mov_Date, "&lt;="&amp;$AA$2))</f>
        <v>0</v>
      </c>
      <c r="O785">
        <f>IFERROR(AVERAGE(L785:N785),"")</f>
        <v>0</v>
      </c>
      <c r="P785">
        <f>IF(O785&gt;=Cfg_HiMove, "Yes", "")</f>
        <v>0</v>
      </c>
      <c r="Q785">
        <f>IF($A785="","", $I785 + IFERROR(O785/30*$H785,0))</f>
        <v>0</v>
      </c>
      <c r="R785">
        <f>IF($A785="","", IF(J785&lt;=$F785, "Yes", ""))</f>
        <v>0</v>
      </c>
      <c r="S785">
        <f>IF(R785="Yes", CEILING(MAX($G785, Q785-J785), $G785), 0)</f>
        <v>0</v>
      </c>
      <c r="T785">
        <f>IFERROR(J785/(O785/30),"")</f>
        <v>0</v>
      </c>
    </row>
    <row r="786" spans="10:20">
      <c r="J786">
        <f>IF($A786="","", SUMIFS(Mov_Qty, Mov_Item, $A786))</f>
        <v>0</v>
      </c>
      <c r="K786">
        <f>IF($A786="","", J786 * $E786)</f>
        <v>0</v>
      </c>
      <c r="L786">
        <f>IF($A786="","", SUMIFS(-Mov_Qty, Mov_Item, $A786, Mov_Type, "Consumption", Mov_Date, "&gt;="&amp;$V$2, Mov_Date, "&lt;="&amp;$W$2))</f>
        <v>0</v>
      </c>
      <c r="M786">
        <f>IF($A786="","", SUMIFS(-Mov_Qty, Mov_Item, $A786, Mov_Type, "Consumption", Mov_Date, "&gt;="&amp;$X$2, Mov_Date, "&lt;="&amp;$Y$2))</f>
        <v>0</v>
      </c>
      <c r="N786">
        <f>IF($A786="","", SUMIFS(-Mov_Qty, Mov_Item, $A786, Mov_Type, "Consumption", Mov_Date, "&gt;="&amp;$Z$2, Mov_Date, "&lt;="&amp;$AA$2))</f>
        <v>0</v>
      </c>
      <c r="O786">
        <f>IFERROR(AVERAGE(L786:N786),"")</f>
        <v>0</v>
      </c>
      <c r="P786">
        <f>IF(O786&gt;=Cfg_HiMove, "Yes", "")</f>
        <v>0</v>
      </c>
      <c r="Q786">
        <f>IF($A786="","", $I786 + IFERROR(O786/30*$H786,0))</f>
        <v>0</v>
      </c>
      <c r="R786">
        <f>IF($A786="","", IF(J786&lt;=$F786, "Yes", ""))</f>
        <v>0</v>
      </c>
      <c r="S786">
        <f>IF(R786="Yes", CEILING(MAX($G786, Q786-J786), $G786), 0)</f>
        <v>0</v>
      </c>
      <c r="T786">
        <f>IFERROR(J786/(O786/30),"")</f>
        <v>0</v>
      </c>
    </row>
    <row r="787" spans="10:20">
      <c r="J787">
        <f>IF($A787="","", SUMIFS(Mov_Qty, Mov_Item, $A787))</f>
        <v>0</v>
      </c>
      <c r="K787">
        <f>IF($A787="","", J787 * $E787)</f>
        <v>0</v>
      </c>
      <c r="L787">
        <f>IF($A787="","", SUMIFS(-Mov_Qty, Mov_Item, $A787, Mov_Type, "Consumption", Mov_Date, "&gt;="&amp;$V$2, Mov_Date, "&lt;="&amp;$W$2))</f>
        <v>0</v>
      </c>
      <c r="M787">
        <f>IF($A787="","", SUMIFS(-Mov_Qty, Mov_Item, $A787, Mov_Type, "Consumption", Mov_Date, "&gt;="&amp;$X$2, Mov_Date, "&lt;="&amp;$Y$2))</f>
        <v>0</v>
      </c>
      <c r="N787">
        <f>IF($A787="","", SUMIFS(-Mov_Qty, Mov_Item, $A787, Mov_Type, "Consumption", Mov_Date, "&gt;="&amp;$Z$2, Mov_Date, "&lt;="&amp;$AA$2))</f>
        <v>0</v>
      </c>
      <c r="O787">
        <f>IFERROR(AVERAGE(L787:N787),"")</f>
        <v>0</v>
      </c>
      <c r="P787">
        <f>IF(O787&gt;=Cfg_HiMove, "Yes", "")</f>
        <v>0</v>
      </c>
      <c r="Q787">
        <f>IF($A787="","", $I787 + IFERROR(O787/30*$H787,0))</f>
        <v>0</v>
      </c>
      <c r="R787">
        <f>IF($A787="","", IF(J787&lt;=$F787, "Yes", ""))</f>
        <v>0</v>
      </c>
      <c r="S787">
        <f>IF(R787="Yes", CEILING(MAX($G787, Q787-J787), $G787), 0)</f>
        <v>0</v>
      </c>
      <c r="T787">
        <f>IFERROR(J787/(O787/30),"")</f>
        <v>0</v>
      </c>
    </row>
    <row r="788" spans="10:20">
      <c r="J788">
        <f>IF($A788="","", SUMIFS(Mov_Qty, Mov_Item, $A788))</f>
        <v>0</v>
      </c>
      <c r="K788">
        <f>IF($A788="","", J788 * $E788)</f>
        <v>0</v>
      </c>
      <c r="L788">
        <f>IF($A788="","", SUMIFS(-Mov_Qty, Mov_Item, $A788, Mov_Type, "Consumption", Mov_Date, "&gt;="&amp;$V$2, Mov_Date, "&lt;="&amp;$W$2))</f>
        <v>0</v>
      </c>
      <c r="M788">
        <f>IF($A788="","", SUMIFS(-Mov_Qty, Mov_Item, $A788, Mov_Type, "Consumption", Mov_Date, "&gt;="&amp;$X$2, Mov_Date, "&lt;="&amp;$Y$2))</f>
        <v>0</v>
      </c>
      <c r="N788">
        <f>IF($A788="","", SUMIFS(-Mov_Qty, Mov_Item, $A788, Mov_Type, "Consumption", Mov_Date, "&gt;="&amp;$Z$2, Mov_Date, "&lt;="&amp;$AA$2))</f>
        <v>0</v>
      </c>
      <c r="O788">
        <f>IFERROR(AVERAGE(L788:N788),"")</f>
        <v>0</v>
      </c>
      <c r="P788">
        <f>IF(O788&gt;=Cfg_HiMove, "Yes", "")</f>
        <v>0</v>
      </c>
      <c r="Q788">
        <f>IF($A788="","", $I788 + IFERROR(O788/30*$H788,0))</f>
        <v>0</v>
      </c>
      <c r="R788">
        <f>IF($A788="","", IF(J788&lt;=$F788, "Yes", ""))</f>
        <v>0</v>
      </c>
      <c r="S788">
        <f>IF(R788="Yes", CEILING(MAX($G788, Q788-J788), $G788), 0)</f>
        <v>0</v>
      </c>
      <c r="T788">
        <f>IFERROR(J788/(O788/30),"")</f>
        <v>0</v>
      </c>
    </row>
    <row r="789" spans="10:20">
      <c r="J789">
        <f>IF($A789="","", SUMIFS(Mov_Qty, Mov_Item, $A789))</f>
        <v>0</v>
      </c>
      <c r="K789">
        <f>IF($A789="","", J789 * $E789)</f>
        <v>0</v>
      </c>
      <c r="L789">
        <f>IF($A789="","", SUMIFS(-Mov_Qty, Mov_Item, $A789, Mov_Type, "Consumption", Mov_Date, "&gt;="&amp;$V$2, Mov_Date, "&lt;="&amp;$W$2))</f>
        <v>0</v>
      </c>
      <c r="M789">
        <f>IF($A789="","", SUMIFS(-Mov_Qty, Mov_Item, $A789, Mov_Type, "Consumption", Mov_Date, "&gt;="&amp;$X$2, Mov_Date, "&lt;="&amp;$Y$2))</f>
        <v>0</v>
      </c>
      <c r="N789">
        <f>IF($A789="","", SUMIFS(-Mov_Qty, Mov_Item, $A789, Mov_Type, "Consumption", Mov_Date, "&gt;="&amp;$Z$2, Mov_Date, "&lt;="&amp;$AA$2))</f>
        <v>0</v>
      </c>
      <c r="O789">
        <f>IFERROR(AVERAGE(L789:N789),"")</f>
        <v>0</v>
      </c>
      <c r="P789">
        <f>IF(O789&gt;=Cfg_HiMove, "Yes", "")</f>
        <v>0</v>
      </c>
      <c r="Q789">
        <f>IF($A789="","", $I789 + IFERROR(O789/30*$H789,0))</f>
        <v>0</v>
      </c>
      <c r="R789">
        <f>IF($A789="","", IF(J789&lt;=$F789, "Yes", ""))</f>
        <v>0</v>
      </c>
      <c r="S789">
        <f>IF(R789="Yes", CEILING(MAX($G789, Q789-J789), $G789), 0)</f>
        <v>0</v>
      </c>
      <c r="T789">
        <f>IFERROR(J789/(O789/30),"")</f>
        <v>0</v>
      </c>
    </row>
    <row r="790" spans="10:20">
      <c r="J790">
        <f>IF($A790="","", SUMIFS(Mov_Qty, Mov_Item, $A790))</f>
        <v>0</v>
      </c>
      <c r="K790">
        <f>IF($A790="","", J790 * $E790)</f>
        <v>0</v>
      </c>
      <c r="L790">
        <f>IF($A790="","", SUMIFS(-Mov_Qty, Mov_Item, $A790, Mov_Type, "Consumption", Mov_Date, "&gt;="&amp;$V$2, Mov_Date, "&lt;="&amp;$W$2))</f>
        <v>0</v>
      </c>
      <c r="M790">
        <f>IF($A790="","", SUMIFS(-Mov_Qty, Mov_Item, $A790, Mov_Type, "Consumption", Mov_Date, "&gt;="&amp;$X$2, Mov_Date, "&lt;="&amp;$Y$2))</f>
        <v>0</v>
      </c>
      <c r="N790">
        <f>IF($A790="","", SUMIFS(-Mov_Qty, Mov_Item, $A790, Mov_Type, "Consumption", Mov_Date, "&gt;="&amp;$Z$2, Mov_Date, "&lt;="&amp;$AA$2))</f>
        <v>0</v>
      </c>
      <c r="O790">
        <f>IFERROR(AVERAGE(L790:N790),"")</f>
        <v>0</v>
      </c>
      <c r="P790">
        <f>IF(O790&gt;=Cfg_HiMove, "Yes", "")</f>
        <v>0</v>
      </c>
      <c r="Q790">
        <f>IF($A790="","", $I790 + IFERROR(O790/30*$H790,0))</f>
        <v>0</v>
      </c>
      <c r="R790">
        <f>IF($A790="","", IF(J790&lt;=$F790, "Yes", ""))</f>
        <v>0</v>
      </c>
      <c r="S790">
        <f>IF(R790="Yes", CEILING(MAX($G790, Q790-J790), $G790), 0)</f>
        <v>0</v>
      </c>
      <c r="T790">
        <f>IFERROR(J790/(O790/30),"")</f>
        <v>0</v>
      </c>
    </row>
    <row r="791" spans="10:20">
      <c r="J791">
        <f>IF($A791="","", SUMIFS(Mov_Qty, Mov_Item, $A791))</f>
        <v>0</v>
      </c>
      <c r="K791">
        <f>IF($A791="","", J791 * $E791)</f>
        <v>0</v>
      </c>
      <c r="L791">
        <f>IF($A791="","", SUMIFS(-Mov_Qty, Mov_Item, $A791, Mov_Type, "Consumption", Mov_Date, "&gt;="&amp;$V$2, Mov_Date, "&lt;="&amp;$W$2))</f>
        <v>0</v>
      </c>
      <c r="M791">
        <f>IF($A791="","", SUMIFS(-Mov_Qty, Mov_Item, $A791, Mov_Type, "Consumption", Mov_Date, "&gt;="&amp;$X$2, Mov_Date, "&lt;="&amp;$Y$2))</f>
        <v>0</v>
      </c>
      <c r="N791">
        <f>IF($A791="","", SUMIFS(-Mov_Qty, Mov_Item, $A791, Mov_Type, "Consumption", Mov_Date, "&gt;="&amp;$Z$2, Mov_Date, "&lt;="&amp;$AA$2))</f>
        <v>0</v>
      </c>
      <c r="O791">
        <f>IFERROR(AVERAGE(L791:N791),"")</f>
        <v>0</v>
      </c>
      <c r="P791">
        <f>IF(O791&gt;=Cfg_HiMove, "Yes", "")</f>
        <v>0</v>
      </c>
      <c r="Q791">
        <f>IF($A791="","", $I791 + IFERROR(O791/30*$H791,0))</f>
        <v>0</v>
      </c>
      <c r="R791">
        <f>IF($A791="","", IF(J791&lt;=$F791, "Yes", ""))</f>
        <v>0</v>
      </c>
      <c r="S791">
        <f>IF(R791="Yes", CEILING(MAX($G791, Q791-J791), $G791), 0)</f>
        <v>0</v>
      </c>
      <c r="T791">
        <f>IFERROR(J791/(O791/30),"")</f>
        <v>0</v>
      </c>
    </row>
    <row r="792" spans="10:20">
      <c r="J792">
        <f>IF($A792="","", SUMIFS(Mov_Qty, Mov_Item, $A792))</f>
        <v>0</v>
      </c>
      <c r="K792">
        <f>IF($A792="","", J792 * $E792)</f>
        <v>0</v>
      </c>
      <c r="L792">
        <f>IF($A792="","", SUMIFS(-Mov_Qty, Mov_Item, $A792, Mov_Type, "Consumption", Mov_Date, "&gt;="&amp;$V$2, Mov_Date, "&lt;="&amp;$W$2))</f>
        <v>0</v>
      </c>
      <c r="M792">
        <f>IF($A792="","", SUMIFS(-Mov_Qty, Mov_Item, $A792, Mov_Type, "Consumption", Mov_Date, "&gt;="&amp;$X$2, Mov_Date, "&lt;="&amp;$Y$2))</f>
        <v>0</v>
      </c>
      <c r="N792">
        <f>IF($A792="","", SUMIFS(-Mov_Qty, Mov_Item, $A792, Mov_Type, "Consumption", Mov_Date, "&gt;="&amp;$Z$2, Mov_Date, "&lt;="&amp;$AA$2))</f>
        <v>0</v>
      </c>
      <c r="O792">
        <f>IFERROR(AVERAGE(L792:N792),"")</f>
        <v>0</v>
      </c>
      <c r="P792">
        <f>IF(O792&gt;=Cfg_HiMove, "Yes", "")</f>
        <v>0</v>
      </c>
      <c r="Q792">
        <f>IF($A792="","", $I792 + IFERROR(O792/30*$H792,0))</f>
        <v>0</v>
      </c>
      <c r="R792">
        <f>IF($A792="","", IF(J792&lt;=$F792, "Yes", ""))</f>
        <v>0</v>
      </c>
      <c r="S792">
        <f>IF(R792="Yes", CEILING(MAX($G792, Q792-J792), $G792), 0)</f>
        <v>0</v>
      </c>
      <c r="T792">
        <f>IFERROR(J792/(O792/30),"")</f>
        <v>0</v>
      </c>
    </row>
    <row r="793" spans="10:20">
      <c r="J793">
        <f>IF($A793="","", SUMIFS(Mov_Qty, Mov_Item, $A793))</f>
        <v>0</v>
      </c>
      <c r="K793">
        <f>IF($A793="","", J793 * $E793)</f>
        <v>0</v>
      </c>
      <c r="L793">
        <f>IF($A793="","", SUMIFS(-Mov_Qty, Mov_Item, $A793, Mov_Type, "Consumption", Mov_Date, "&gt;="&amp;$V$2, Mov_Date, "&lt;="&amp;$W$2))</f>
        <v>0</v>
      </c>
      <c r="M793">
        <f>IF($A793="","", SUMIFS(-Mov_Qty, Mov_Item, $A793, Mov_Type, "Consumption", Mov_Date, "&gt;="&amp;$X$2, Mov_Date, "&lt;="&amp;$Y$2))</f>
        <v>0</v>
      </c>
      <c r="N793">
        <f>IF($A793="","", SUMIFS(-Mov_Qty, Mov_Item, $A793, Mov_Type, "Consumption", Mov_Date, "&gt;="&amp;$Z$2, Mov_Date, "&lt;="&amp;$AA$2))</f>
        <v>0</v>
      </c>
      <c r="O793">
        <f>IFERROR(AVERAGE(L793:N793),"")</f>
        <v>0</v>
      </c>
      <c r="P793">
        <f>IF(O793&gt;=Cfg_HiMove, "Yes", "")</f>
        <v>0</v>
      </c>
      <c r="Q793">
        <f>IF($A793="","", $I793 + IFERROR(O793/30*$H793,0))</f>
        <v>0</v>
      </c>
      <c r="R793">
        <f>IF($A793="","", IF(J793&lt;=$F793, "Yes", ""))</f>
        <v>0</v>
      </c>
      <c r="S793">
        <f>IF(R793="Yes", CEILING(MAX($G793, Q793-J793), $G793), 0)</f>
        <v>0</v>
      </c>
      <c r="T793">
        <f>IFERROR(J793/(O793/30),"")</f>
        <v>0</v>
      </c>
    </row>
    <row r="794" spans="10:20">
      <c r="J794">
        <f>IF($A794="","", SUMIFS(Mov_Qty, Mov_Item, $A794))</f>
        <v>0</v>
      </c>
      <c r="K794">
        <f>IF($A794="","", J794 * $E794)</f>
        <v>0</v>
      </c>
      <c r="L794">
        <f>IF($A794="","", SUMIFS(-Mov_Qty, Mov_Item, $A794, Mov_Type, "Consumption", Mov_Date, "&gt;="&amp;$V$2, Mov_Date, "&lt;="&amp;$W$2))</f>
        <v>0</v>
      </c>
      <c r="M794">
        <f>IF($A794="","", SUMIFS(-Mov_Qty, Mov_Item, $A794, Mov_Type, "Consumption", Mov_Date, "&gt;="&amp;$X$2, Mov_Date, "&lt;="&amp;$Y$2))</f>
        <v>0</v>
      </c>
      <c r="N794">
        <f>IF($A794="","", SUMIFS(-Mov_Qty, Mov_Item, $A794, Mov_Type, "Consumption", Mov_Date, "&gt;="&amp;$Z$2, Mov_Date, "&lt;="&amp;$AA$2))</f>
        <v>0</v>
      </c>
      <c r="O794">
        <f>IFERROR(AVERAGE(L794:N794),"")</f>
        <v>0</v>
      </c>
      <c r="P794">
        <f>IF(O794&gt;=Cfg_HiMove, "Yes", "")</f>
        <v>0</v>
      </c>
      <c r="Q794">
        <f>IF($A794="","", $I794 + IFERROR(O794/30*$H794,0))</f>
        <v>0</v>
      </c>
      <c r="R794">
        <f>IF($A794="","", IF(J794&lt;=$F794, "Yes", ""))</f>
        <v>0</v>
      </c>
      <c r="S794">
        <f>IF(R794="Yes", CEILING(MAX($G794, Q794-J794), $G794), 0)</f>
        <v>0</v>
      </c>
      <c r="T794">
        <f>IFERROR(J794/(O794/30),"")</f>
        <v>0</v>
      </c>
    </row>
    <row r="795" spans="10:20">
      <c r="J795">
        <f>IF($A795="","", SUMIFS(Mov_Qty, Mov_Item, $A795))</f>
        <v>0</v>
      </c>
      <c r="K795">
        <f>IF($A795="","", J795 * $E795)</f>
        <v>0</v>
      </c>
      <c r="L795">
        <f>IF($A795="","", SUMIFS(-Mov_Qty, Mov_Item, $A795, Mov_Type, "Consumption", Mov_Date, "&gt;="&amp;$V$2, Mov_Date, "&lt;="&amp;$W$2))</f>
        <v>0</v>
      </c>
      <c r="M795">
        <f>IF($A795="","", SUMIFS(-Mov_Qty, Mov_Item, $A795, Mov_Type, "Consumption", Mov_Date, "&gt;="&amp;$X$2, Mov_Date, "&lt;="&amp;$Y$2))</f>
        <v>0</v>
      </c>
      <c r="N795">
        <f>IF($A795="","", SUMIFS(-Mov_Qty, Mov_Item, $A795, Mov_Type, "Consumption", Mov_Date, "&gt;="&amp;$Z$2, Mov_Date, "&lt;="&amp;$AA$2))</f>
        <v>0</v>
      </c>
      <c r="O795">
        <f>IFERROR(AVERAGE(L795:N795),"")</f>
        <v>0</v>
      </c>
      <c r="P795">
        <f>IF(O795&gt;=Cfg_HiMove, "Yes", "")</f>
        <v>0</v>
      </c>
      <c r="Q795">
        <f>IF($A795="","", $I795 + IFERROR(O795/30*$H795,0))</f>
        <v>0</v>
      </c>
      <c r="R795">
        <f>IF($A795="","", IF(J795&lt;=$F795, "Yes", ""))</f>
        <v>0</v>
      </c>
      <c r="S795">
        <f>IF(R795="Yes", CEILING(MAX($G795, Q795-J795), $G795), 0)</f>
        <v>0</v>
      </c>
      <c r="T795">
        <f>IFERROR(J795/(O795/30),"")</f>
        <v>0</v>
      </c>
    </row>
    <row r="796" spans="10:20">
      <c r="J796">
        <f>IF($A796="","", SUMIFS(Mov_Qty, Mov_Item, $A796))</f>
        <v>0</v>
      </c>
      <c r="K796">
        <f>IF($A796="","", J796 * $E796)</f>
        <v>0</v>
      </c>
      <c r="L796">
        <f>IF($A796="","", SUMIFS(-Mov_Qty, Mov_Item, $A796, Mov_Type, "Consumption", Mov_Date, "&gt;="&amp;$V$2, Mov_Date, "&lt;="&amp;$W$2))</f>
        <v>0</v>
      </c>
      <c r="M796">
        <f>IF($A796="","", SUMIFS(-Mov_Qty, Mov_Item, $A796, Mov_Type, "Consumption", Mov_Date, "&gt;="&amp;$X$2, Mov_Date, "&lt;="&amp;$Y$2))</f>
        <v>0</v>
      </c>
      <c r="N796">
        <f>IF($A796="","", SUMIFS(-Mov_Qty, Mov_Item, $A796, Mov_Type, "Consumption", Mov_Date, "&gt;="&amp;$Z$2, Mov_Date, "&lt;="&amp;$AA$2))</f>
        <v>0</v>
      </c>
      <c r="O796">
        <f>IFERROR(AVERAGE(L796:N796),"")</f>
        <v>0</v>
      </c>
      <c r="P796">
        <f>IF(O796&gt;=Cfg_HiMove, "Yes", "")</f>
        <v>0</v>
      </c>
      <c r="Q796">
        <f>IF($A796="","", $I796 + IFERROR(O796/30*$H796,0))</f>
        <v>0</v>
      </c>
      <c r="R796">
        <f>IF($A796="","", IF(J796&lt;=$F796, "Yes", ""))</f>
        <v>0</v>
      </c>
      <c r="S796">
        <f>IF(R796="Yes", CEILING(MAX($G796, Q796-J796), $G796), 0)</f>
        <v>0</v>
      </c>
      <c r="T796">
        <f>IFERROR(J796/(O796/30),"")</f>
        <v>0</v>
      </c>
    </row>
    <row r="797" spans="10:20">
      <c r="J797">
        <f>IF($A797="","", SUMIFS(Mov_Qty, Mov_Item, $A797))</f>
        <v>0</v>
      </c>
      <c r="K797">
        <f>IF($A797="","", J797 * $E797)</f>
        <v>0</v>
      </c>
      <c r="L797">
        <f>IF($A797="","", SUMIFS(-Mov_Qty, Mov_Item, $A797, Mov_Type, "Consumption", Mov_Date, "&gt;="&amp;$V$2, Mov_Date, "&lt;="&amp;$W$2))</f>
        <v>0</v>
      </c>
      <c r="M797">
        <f>IF($A797="","", SUMIFS(-Mov_Qty, Mov_Item, $A797, Mov_Type, "Consumption", Mov_Date, "&gt;="&amp;$X$2, Mov_Date, "&lt;="&amp;$Y$2))</f>
        <v>0</v>
      </c>
      <c r="N797">
        <f>IF($A797="","", SUMIFS(-Mov_Qty, Mov_Item, $A797, Mov_Type, "Consumption", Mov_Date, "&gt;="&amp;$Z$2, Mov_Date, "&lt;="&amp;$AA$2))</f>
        <v>0</v>
      </c>
      <c r="O797">
        <f>IFERROR(AVERAGE(L797:N797),"")</f>
        <v>0</v>
      </c>
      <c r="P797">
        <f>IF(O797&gt;=Cfg_HiMove, "Yes", "")</f>
        <v>0</v>
      </c>
      <c r="Q797">
        <f>IF($A797="","", $I797 + IFERROR(O797/30*$H797,0))</f>
        <v>0</v>
      </c>
      <c r="R797">
        <f>IF($A797="","", IF(J797&lt;=$F797, "Yes", ""))</f>
        <v>0</v>
      </c>
      <c r="S797">
        <f>IF(R797="Yes", CEILING(MAX($G797, Q797-J797), $G797), 0)</f>
        <v>0</v>
      </c>
      <c r="T797">
        <f>IFERROR(J797/(O797/30),"")</f>
        <v>0</v>
      </c>
    </row>
    <row r="798" spans="10:20">
      <c r="J798">
        <f>IF($A798="","", SUMIFS(Mov_Qty, Mov_Item, $A798))</f>
        <v>0</v>
      </c>
      <c r="K798">
        <f>IF($A798="","", J798 * $E798)</f>
        <v>0</v>
      </c>
      <c r="L798">
        <f>IF($A798="","", SUMIFS(-Mov_Qty, Mov_Item, $A798, Mov_Type, "Consumption", Mov_Date, "&gt;="&amp;$V$2, Mov_Date, "&lt;="&amp;$W$2))</f>
        <v>0</v>
      </c>
      <c r="M798">
        <f>IF($A798="","", SUMIFS(-Mov_Qty, Mov_Item, $A798, Mov_Type, "Consumption", Mov_Date, "&gt;="&amp;$X$2, Mov_Date, "&lt;="&amp;$Y$2))</f>
        <v>0</v>
      </c>
      <c r="N798">
        <f>IF($A798="","", SUMIFS(-Mov_Qty, Mov_Item, $A798, Mov_Type, "Consumption", Mov_Date, "&gt;="&amp;$Z$2, Mov_Date, "&lt;="&amp;$AA$2))</f>
        <v>0</v>
      </c>
      <c r="O798">
        <f>IFERROR(AVERAGE(L798:N798),"")</f>
        <v>0</v>
      </c>
      <c r="P798">
        <f>IF(O798&gt;=Cfg_HiMove, "Yes", "")</f>
        <v>0</v>
      </c>
      <c r="Q798">
        <f>IF($A798="","", $I798 + IFERROR(O798/30*$H798,0))</f>
        <v>0</v>
      </c>
      <c r="R798">
        <f>IF($A798="","", IF(J798&lt;=$F798, "Yes", ""))</f>
        <v>0</v>
      </c>
      <c r="S798">
        <f>IF(R798="Yes", CEILING(MAX($G798, Q798-J798), $G798), 0)</f>
        <v>0</v>
      </c>
      <c r="T798">
        <f>IFERROR(J798/(O798/30),"")</f>
        <v>0</v>
      </c>
    </row>
    <row r="799" spans="10:20">
      <c r="J799">
        <f>IF($A799="","", SUMIFS(Mov_Qty, Mov_Item, $A799))</f>
        <v>0</v>
      </c>
      <c r="K799">
        <f>IF($A799="","", J799 * $E799)</f>
        <v>0</v>
      </c>
      <c r="L799">
        <f>IF($A799="","", SUMIFS(-Mov_Qty, Mov_Item, $A799, Mov_Type, "Consumption", Mov_Date, "&gt;="&amp;$V$2, Mov_Date, "&lt;="&amp;$W$2))</f>
        <v>0</v>
      </c>
      <c r="M799">
        <f>IF($A799="","", SUMIFS(-Mov_Qty, Mov_Item, $A799, Mov_Type, "Consumption", Mov_Date, "&gt;="&amp;$X$2, Mov_Date, "&lt;="&amp;$Y$2))</f>
        <v>0</v>
      </c>
      <c r="N799">
        <f>IF($A799="","", SUMIFS(-Mov_Qty, Mov_Item, $A799, Mov_Type, "Consumption", Mov_Date, "&gt;="&amp;$Z$2, Mov_Date, "&lt;="&amp;$AA$2))</f>
        <v>0</v>
      </c>
      <c r="O799">
        <f>IFERROR(AVERAGE(L799:N799),"")</f>
        <v>0</v>
      </c>
      <c r="P799">
        <f>IF(O799&gt;=Cfg_HiMove, "Yes", "")</f>
        <v>0</v>
      </c>
      <c r="Q799">
        <f>IF($A799="","", $I799 + IFERROR(O799/30*$H799,0))</f>
        <v>0</v>
      </c>
      <c r="R799">
        <f>IF($A799="","", IF(J799&lt;=$F799, "Yes", ""))</f>
        <v>0</v>
      </c>
      <c r="S799">
        <f>IF(R799="Yes", CEILING(MAX($G799, Q799-J799), $G799), 0)</f>
        <v>0</v>
      </c>
      <c r="T799">
        <f>IFERROR(J799/(O799/30),"")</f>
        <v>0</v>
      </c>
    </row>
    <row r="800" spans="10:20">
      <c r="J800">
        <f>IF($A800="","", SUMIFS(Mov_Qty, Mov_Item, $A800))</f>
        <v>0</v>
      </c>
      <c r="K800">
        <f>IF($A800="","", J800 * $E800)</f>
        <v>0</v>
      </c>
      <c r="L800">
        <f>IF($A800="","", SUMIFS(-Mov_Qty, Mov_Item, $A800, Mov_Type, "Consumption", Mov_Date, "&gt;="&amp;$V$2, Mov_Date, "&lt;="&amp;$W$2))</f>
        <v>0</v>
      </c>
      <c r="M800">
        <f>IF($A800="","", SUMIFS(-Mov_Qty, Mov_Item, $A800, Mov_Type, "Consumption", Mov_Date, "&gt;="&amp;$X$2, Mov_Date, "&lt;="&amp;$Y$2))</f>
        <v>0</v>
      </c>
      <c r="N800">
        <f>IF($A800="","", SUMIFS(-Mov_Qty, Mov_Item, $A800, Mov_Type, "Consumption", Mov_Date, "&gt;="&amp;$Z$2, Mov_Date, "&lt;="&amp;$AA$2))</f>
        <v>0</v>
      </c>
      <c r="O800">
        <f>IFERROR(AVERAGE(L800:N800),"")</f>
        <v>0</v>
      </c>
      <c r="P800">
        <f>IF(O800&gt;=Cfg_HiMove, "Yes", "")</f>
        <v>0</v>
      </c>
      <c r="Q800">
        <f>IF($A800="","", $I800 + IFERROR(O800/30*$H800,0))</f>
        <v>0</v>
      </c>
      <c r="R800">
        <f>IF($A800="","", IF(J800&lt;=$F800, "Yes", ""))</f>
        <v>0</v>
      </c>
      <c r="S800">
        <f>IF(R800="Yes", CEILING(MAX($G800, Q800-J800), $G800), 0)</f>
        <v>0</v>
      </c>
      <c r="T800">
        <f>IFERROR(J800/(O800/30),"")</f>
        <v>0</v>
      </c>
    </row>
    <row r="801" spans="10:20">
      <c r="J801">
        <f>IF($A801="","", SUMIFS(Mov_Qty, Mov_Item, $A801))</f>
        <v>0</v>
      </c>
      <c r="K801">
        <f>IF($A801="","", J801 * $E801)</f>
        <v>0</v>
      </c>
      <c r="L801">
        <f>IF($A801="","", SUMIFS(-Mov_Qty, Mov_Item, $A801, Mov_Type, "Consumption", Mov_Date, "&gt;="&amp;$V$2, Mov_Date, "&lt;="&amp;$W$2))</f>
        <v>0</v>
      </c>
      <c r="M801">
        <f>IF($A801="","", SUMIFS(-Mov_Qty, Mov_Item, $A801, Mov_Type, "Consumption", Mov_Date, "&gt;="&amp;$X$2, Mov_Date, "&lt;="&amp;$Y$2))</f>
        <v>0</v>
      </c>
      <c r="N801">
        <f>IF($A801="","", SUMIFS(-Mov_Qty, Mov_Item, $A801, Mov_Type, "Consumption", Mov_Date, "&gt;="&amp;$Z$2, Mov_Date, "&lt;="&amp;$AA$2))</f>
        <v>0</v>
      </c>
      <c r="O801">
        <f>IFERROR(AVERAGE(L801:N801),"")</f>
        <v>0</v>
      </c>
      <c r="P801">
        <f>IF(O801&gt;=Cfg_HiMove, "Yes", "")</f>
        <v>0</v>
      </c>
      <c r="Q801">
        <f>IF($A801="","", $I801 + IFERROR(O801/30*$H801,0))</f>
        <v>0</v>
      </c>
      <c r="R801">
        <f>IF($A801="","", IF(J801&lt;=$F801, "Yes", ""))</f>
        <v>0</v>
      </c>
      <c r="S801">
        <f>IF(R801="Yes", CEILING(MAX($G801, Q801-J801), $G801), 0)</f>
        <v>0</v>
      </c>
      <c r="T801">
        <f>IFERROR(J801/(O801/30),"")</f>
        <v>0</v>
      </c>
    </row>
    <row r="802" spans="10:20">
      <c r="J802">
        <f>IF($A802="","", SUMIFS(Mov_Qty, Mov_Item, $A802))</f>
        <v>0</v>
      </c>
      <c r="K802">
        <f>IF($A802="","", J802 * $E802)</f>
        <v>0</v>
      </c>
      <c r="L802">
        <f>IF($A802="","", SUMIFS(-Mov_Qty, Mov_Item, $A802, Mov_Type, "Consumption", Mov_Date, "&gt;="&amp;$V$2, Mov_Date, "&lt;="&amp;$W$2))</f>
        <v>0</v>
      </c>
      <c r="M802">
        <f>IF($A802="","", SUMIFS(-Mov_Qty, Mov_Item, $A802, Mov_Type, "Consumption", Mov_Date, "&gt;="&amp;$X$2, Mov_Date, "&lt;="&amp;$Y$2))</f>
        <v>0</v>
      </c>
      <c r="N802">
        <f>IF($A802="","", SUMIFS(-Mov_Qty, Mov_Item, $A802, Mov_Type, "Consumption", Mov_Date, "&gt;="&amp;$Z$2, Mov_Date, "&lt;="&amp;$AA$2))</f>
        <v>0</v>
      </c>
      <c r="O802">
        <f>IFERROR(AVERAGE(L802:N802),"")</f>
        <v>0</v>
      </c>
      <c r="P802">
        <f>IF(O802&gt;=Cfg_HiMove, "Yes", "")</f>
        <v>0</v>
      </c>
      <c r="Q802">
        <f>IF($A802="","", $I802 + IFERROR(O802/30*$H802,0))</f>
        <v>0</v>
      </c>
      <c r="R802">
        <f>IF($A802="","", IF(J802&lt;=$F802, "Yes", ""))</f>
        <v>0</v>
      </c>
      <c r="S802">
        <f>IF(R802="Yes", CEILING(MAX($G802, Q802-J802), $G802), 0)</f>
        <v>0</v>
      </c>
      <c r="T802">
        <f>IFERROR(J802/(O802/30),"")</f>
        <v>0</v>
      </c>
    </row>
    <row r="803" spans="10:20">
      <c r="J803">
        <f>IF($A803="","", SUMIFS(Mov_Qty, Mov_Item, $A803))</f>
        <v>0</v>
      </c>
      <c r="K803">
        <f>IF($A803="","", J803 * $E803)</f>
        <v>0</v>
      </c>
      <c r="L803">
        <f>IF($A803="","", SUMIFS(-Mov_Qty, Mov_Item, $A803, Mov_Type, "Consumption", Mov_Date, "&gt;="&amp;$V$2, Mov_Date, "&lt;="&amp;$W$2))</f>
        <v>0</v>
      </c>
      <c r="M803">
        <f>IF($A803="","", SUMIFS(-Mov_Qty, Mov_Item, $A803, Mov_Type, "Consumption", Mov_Date, "&gt;="&amp;$X$2, Mov_Date, "&lt;="&amp;$Y$2))</f>
        <v>0</v>
      </c>
      <c r="N803">
        <f>IF($A803="","", SUMIFS(-Mov_Qty, Mov_Item, $A803, Mov_Type, "Consumption", Mov_Date, "&gt;="&amp;$Z$2, Mov_Date, "&lt;="&amp;$AA$2))</f>
        <v>0</v>
      </c>
      <c r="O803">
        <f>IFERROR(AVERAGE(L803:N803),"")</f>
        <v>0</v>
      </c>
      <c r="P803">
        <f>IF(O803&gt;=Cfg_HiMove, "Yes", "")</f>
        <v>0</v>
      </c>
      <c r="Q803">
        <f>IF($A803="","", $I803 + IFERROR(O803/30*$H803,0))</f>
        <v>0</v>
      </c>
      <c r="R803">
        <f>IF($A803="","", IF(J803&lt;=$F803, "Yes", ""))</f>
        <v>0</v>
      </c>
      <c r="S803">
        <f>IF(R803="Yes", CEILING(MAX($G803, Q803-J803), $G803), 0)</f>
        <v>0</v>
      </c>
      <c r="T803">
        <f>IFERROR(J803/(O803/30),"")</f>
        <v>0</v>
      </c>
    </row>
    <row r="804" spans="10:20">
      <c r="J804">
        <f>IF($A804="","", SUMIFS(Mov_Qty, Mov_Item, $A804))</f>
        <v>0</v>
      </c>
      <c r="K804">
        <f>IF($A804="","", J804 * $E804)</f>
        <v>0</v>
      </c>
      <c r="L804">
        <f>IF($A804="","", SUMIFS(-Mov_Qty, Mov_Item, $A804, Mov_Type, "Consumption", Mov_Date, "&gt;="&amp;$V$2, Mov_Date, "&lt;="&amp;$W$2))</f>
        <v>0</v>
      </c>
      <c r="M804">
        <f>IF($A804="","", SUMIFS(-Mov_Qty, Mov_Item, $A804, Mov_Type, "Consumption", Mov_Date, "&gt;="&amp;$X$2, Mov_Date, "&lt;="&amp;$Y$2))</f>
        <v>0</v>
      </c>
      <c r="N804">
        <f>IF($A804="","", SUMIFS(-Mov_Qty, Mov_Item, $A804, Mov_Type, "Consumption", Mov_Date, "&gt;="&amp;$Z$2, Mov_Date, "&lt;="&amp;$AA$2))</f>
        <v>0</v>
      </c>
      <c r="O804">
        <f>IFERROR(AVERAGE(L804:N804),"")</f>
        <v>0</v>
      </c>
      <c r="P804">
        <f>IF(O804&gt;=Cfg_HiMove, "Yes", "")</f>
        <v>0</v>
      </c>
      <c r="Q804">
        <f>IF($A804="","", $I804 + IFERROR(O804/30*$H804,0))</f>
        <v>0</v>
      </c>
      <c r="R804">
        <f>IF($A804="","", IF(J804&lt;=$F804, "Yes", ""))</f>
        <v>0</v>
      </c>
      <c r="S804">
        <f>IF(R804="Yes", CEILING(MAX($G804, Q804-J804), $G804), 0)</f>
        <v>0</v>
      </c>
      <c r="T804">
        <f>IFERROR(J804/(O804/30),"")</f>
        <v>0</v>
      </c>
    </row>
    <row r="805" spans="10:20">
      <c r="J805">
        <f>IF($A805="","", SUMIFS(Mov_Qty, Mov_Item, $A805))</f>
        <v>0</v>
      </c>
      <c r="K805">
        <f>IF($A805="","", J805 * $E805)</f>
        <v>0</v>
      </c>
      <c r="L805">
        <f>IF($A805="","", SUMIFS(-Mov_Qty, Mov_Item, $A805, Mov_Type, "Consumption", Mov_Date, "&gt;="&amp;$V$2, Mov_Date, "&lt;="&amp;$W$2))</f>
        <v>0</v>
      </c>
      <c r="M805">
        <f>IF($A805="","", SUMIFS(-Mov_Qty, Mov_Item, $A805, Mov_Type, "Consumption", Mov_Date, "&gt;="&amp;$X$2, Mov_Date, "&lt;="&amp;$Y$2))</f>
        <v>0</v>
      </c>
      <c r="N805">
        <f>IF($A805="","", SUMIFS(-Mov_Qty, Mov_Item, $A805, Mov_Type, "Consumption", Mov_Date, "&gt;="&amp;$Z$2, Mov_Date, "&lt;="&amp;$AA$2))</f>
        <v>0</v>
      </c>
      <c r="O805">
        <f>IFERROR(AVERAGE(L805:N805),"")</f>
        <v>0</v>
      </c>
      <c r="P805">
        <f>IF(O805&gt;=Cfg_HiMove, "Yes", "")</f>
        <v>0</v>
      </c>
      <c r="Q805">
        <f>IF($A805="","", $I805 + IFERROR(O805/30*$H805,0))</f>
        <v>0</v>
      </c>
      <c r="R805">
        <f>IF($A805="","", IF(J805&lt;=$F805, "Yes", ""))</f>
        <v>0</v>
      </c>
      <c r="S805">
        <f>IF(R805="Yes", CEILING(MAX($G805, Q805-J805), $G805), 0)</f>
        <v>0</v>
      </c>
      <c r="T805">
        <f>IFERROR(J805/(O805/30),"")</f>
        <v>0</v>
      </c>
    </row>
    <row r="806" spans="10:20">
      <c r="J806">
        <f>IF($A806="","", SUMIFS(Mov_Qty, Mov_Item, $A806))</f>
        <v>0</v>
      </c>
      <c r="K806">
        <f>IF($A806="","", J806 * $E806)</f>
        <v>0</v>
      </c>
      <c r="L806">
        <f>IF($A806="","", SUMIFS(-Mov_Qty, Mov_Item, $A806, Mov_Type, "Consumption", Mov_Date, "&gt;="&amp;$V$2, Mov_Date, "&lt;="&amp;$W$2))</f>
        <v>0</v>
      </c>
      <c r="M806">
        <f>IF($A806="","", SUMIFS(-Mov_Qty, Mov_Item, $A806, Mov_Type, "Consumption", Mov_Date, "&gt;="&amp;$X$2, Mov_Date, "&lt;="&amp;$Y$2))</f>
        <v>0</v>
      </c>
      <c r="N806">
        <f>IF($A806="","", SUMIFS(-Mov_Qty, Mov_Item, $A806, Mov_Type, "Consumption", Mov_Date, "&gt;="&amp;$Z$2, Mov_Date, "&lt;="&amp;$AA$2))</f>
        <v>0</v>
      </c>
      <c r="O806">
        <f>IFERROR(AVERAGE(L806:N806),"")</f>
        <v>0</v>
      </c>
      <c r="P806">
        <f>IF(O806&gt;=Cfg_HiMove, "Yes", "")</f>
        <v>0</v>
      </c>
      <c r="Q806">
        <f>IF($A806="","", $I806 + IFERROR(O806/30*$H806,0))</f>
        <v>0</v>
      </c>
      <c r="R806">
        <f>IF($A806="","", IF(J806&lt;=$F806, "Yes", ""))</f>
        <v>0</v>
      </c>
      <c r="S806">
        <f>IF(R806="Yes", CEILING(MAX($G806, Q806-J806), $G806), 0)</f>
        <v>0</v>
      </c>
      <c r="T806">
        <f>IFERROR(J806/(O806/30),"")</f>
        <v>0</v>
      </c>
    </row>
    <row r="807" spans="10:20">
      <c r="J807">
        <f>IF($A807="","", SUMIFS(Mov_Qty, Mov_Item, $A807))</f>
        <v>0</v>
      </c>
      <c r="K807">
        <f>IF($A807="","", J807 * $E807)</f>
        <v>0</v>
      </c>
      <c r="L807">
        <f>IF($A807="","", SUMIFS(-Mov_Qty, Mov_Item, $A807, Mov_Type, "Consumption", Mov_Date, "&gt;="&amp;$V$2, Mov_Date, "&lt;="&amp;$W$2))</f>
        <v>0</v>
      </c>
      <c r="M807">
        <f>IF($A807="","", SUMIFS(-Mov_Qty, Mov_Item, $A807, Mov_Type, "Consumption", Mov_Date, "&gt;="&amp;$X$2, Mov_Date, "&lt;="&amp;$Y$2))</f>
        <v>0</v>
      </c>
      <c r="N807">
        <f>IF($A807="","", SUMIFS(-Mov_Qty, Mov_Item, $A807, Mov_Type, "Consumption", Mov_Date, "&gt;="&amp;$Z$2, Mov_Date, "&lt;="&amp;$AA$2))</f>
        <v>0</v>
      </c>
      <c r="O807">
        <f>IFERROR(AVERAGE(L807:N807),"")</f>
        <v>0</v>
      </c>
      <c r="P807">
        <f>IF(O807&gt;=Cfg_HiMove, "Yes", "")</f>
        <v>0</v>
      </c>
      <c r="Q807">
        <f>IF($A807="","", $I807 + IFERROR(O807/30*$H807,0))</f>
        <v>0</v>
      </c>
      <c r="R807">
        <f>IF($A807="","", IF(J807&lt;=$F807, "Yes", ""))</f>
        <v>0</v>
      </c>
      <c r="S807">
        <f>IF(R807="Yes", CEILING(MAX($G807, Q807-J807), $G807), 0)</f>
        <v>0</v>
      </c>
      <c r="T807">
        <f>IFERROR(J807/(O807/30),"")</f>
        <v>0</v>
      </c>
    </row>
    <row r="808" spans="10:20">
      <c r="J808">
        <f>IF($A808="","", SUMIFS(Mov_Qty, Mov_Item, $A808))</f>
        <v>0</v>
      </c>
      <c r="K808">
        <f>IF($A808="","", J808 * $E808)</f>
        <v>0</v>
      </c>
      <c r="L808">
        <f>IF($A808="","", SUMIFS(-Mov_Qty, Mov_Item, $A808, Mov_Type, "Consumption", Mov_Date, "&gt;="&amp;$V$2, Mov_Date, "&lt;="&amp;$W$2))</f>
        <v>0</v>
      </c>
      <c r="M808">
        <f>IF($A808="","", SUMIFS(-Mov_Qty, Mov_Item, $A808, Mov_Type, "Consumption", Mov_Date, "&gt;="&amp;$X$2, Mov_Date, "&lt;="&amp;$Y$2))</f>
        <v>0</v>
      </c>
      <c r="N808">
        <f>IF($A808="","", SUMIFS(-Mov_Qty, Mov_Item, $A808, Mov_Type, "Consumption", Mov_Date, "&gt;="&amp;$Z$2, Mov_Date, "&lt;="&amp;$AA$2))</f>
        <v>0</v>
      </c>
      <c r="O808">
        <f>IFERROR(AVERAGE(L808:N808),"")</f>
        <v>0</v>
      </c>
      <c r="P808">
        <f>IF(O808&gt;=Cfg_HiMove, "Yes", "")</f>
        <v>0</v>
      </c>
      <c r="Q808">
        <f>IF($A808="","", $I808 + IFERROR(O808/30*$H808,0))</f>
        <v>0</v>
      </c>
      <c r="R808">
        <f>IF($A808="","", IF(J808&lt;=$F808, "Yes", ""))</f>
        <v>0</v>
      </c>
      <c r="S808">
        <f>IF(R808="Yes", CEILING(MAX($G808, Q808-J808), $G808), 0)</f>
        <v>0</v>
      </c>
      <c r="T808">
        <f>IFERROR(J808/(O808/30),"")</f>
        <v>0</v>
      </c>
    </row>
    <row r="809" spans="10:20">
      <c r="J809">
        <f>IF($A809="","", SUMIFS(Mov_Qty, Mov_Item, $A809))</f>
        <v>0</v>
      </c>
      <c r="K809">
        <f>IF($A809="","", J809 * $E809)</f>
        <v>0</v>
      </c>
      <c r="L809">
        <f>IF($A809="","", SUMIFS(-Mov_Qty, Mov_Item, $A809, Mov_Type, "Consumption", Mov_Date, "&gt;="&amp;$V$2, Mov_Date, "&lt;="&amp;$W$2))</f>
        <v>0</v>
      </c>
      <c r="M809">
        <f>IF($A809="","", SUMIFS(-Mov_Qty, Mov_Item, $A809, Mov_Type, "Consumption", Mov_Date, "&gt;="&amp;$X$2, Mov_Date, "&lt;="&amp;$Y$2))</f>
        <v>0</v>
      </c>
      <c r="N809">
        <f>IF($A809="","", SUMIFS(-Mov_Qty, Mov_Item, $A809, Mov_Type, "Consumption", Mov_Date, "&gt;="&amp;$Z$2, Mov_Date, "&lt;="&amp;$AA$2))</f>
        <v>0</v>
      </c>
      <c r="O809">
        <f>IFERROR(AVERAGE(L809:N809),"")</f>
        <v>0</v>
      </c>
      <c r="P809">
        <f>IF(O809&gt;=Cfg_HiMove, "Yes", "")</f>
        <v>0</v>
      </c>
      <c r="Q809">
        <f>IF($A809="","", $I809 + IFERROR(O809/30*$H809,0))</f>
        <v>0</v>
      </c>
      <c r="R809">
        <f>IF($A809="","", IF(J809&lt;=$F809, "Yes", ""))</f>
        <v>0</v>
      </c>
      <c r="S809">
        <f>IF(R809="Yes", CEILING(MAX($G809, Q809-J809), $G809), 0)</f>
        <v>0</v>
      </c>
      <c r="T809">
        <f>IFERROR(J809/(O809/30),"")</f>
        <v>0</v>
      </c>
    </row>
    <row r="810" spans="10:20">
      <c r="J810">
        <f>IF($A810="","", SUMIFS(Mov_Qty, Mov_Item, $A810))</f>
        <v>0</v>
      </c>
      <c r="K810">
        <f>IF($A810="","", J810 * $E810)</f>
        <v>0</v>
      </c>
      <c r="L810">
        <f>IF($A810="","", SUMIFS(-Mov_Qty, Mov_Item, $A810, Mov_Type, "Consumption", Mov_Date, "&gt;="&amp;$V$2, Mov_Date, "&lt;="&amp;$W$2))</f>
        <v>0</v>
      </c>
      <c r="M810">
        <f>IF($A810="","", SUMIFS(-Mov_Qty, Mov_Item, $A810, Mov_Type, "Consumption", Mov_Date, "&gt;="&amp;$X$2, Mov_Date, "&lt;="&amp;$Y$2))</f>
        <v>0</v>
      </c>
      <c r="N810">
        <f>IF($A810="","", SUMIFS(-Mov_Qty, Mov_Item, $A810, Mov_Type, "Consumption", Mov_Date, "&gt;="&amp;$Z$2, Mov_Date, "&lt;="&amp;$AA$2))</f>
        <v>0</v>
      </c>
      <c r="O810">
        <f>IFERROR(AVERAGE(L810:N810),"")</f>
        <v>0</v>
      </c>
      <c r="P810">
        <f>IF(O810&gt;=Cfg_HiMove, "Yes", "")</f>
        <v>0</v>
      </c>
      <c r="Q810">
        <f>IF($A810="","", $I810 + IFERROR(O810/30*$H810,0))</f>
        <v>0</v>
      </c>
      <c r="R810">
        <f>IF($A810="","", IF(J810&lt;=$F810, "Yes", ""))</f>
        <v>0</v>
      </c>
      <c r="S810">
        <f>IF(R810="Yes", CEILING(MAX($G810, Q810-J810), $G810), 0)</f>
        <v>0</v>
      </c>
      <c r="T810">
        <f>IFERROR(J810/(O810/30),"")</f>
        <v>0</v>
      </c>
    </row>
    <row r="811" spans="10:20">
      <c r="J811">
        <f>IF($A811="","", SUMIFS(Mov_Qty, Mov_Item, $A811))</f>
        <v>0</v>
      </c>
      <c r="K811">
        <f>IF($A811="","", J811 * $E811)</f>
        <v>0</v>
      </c>
      <c r="L811">
        <f>IF($A811="","", SUMIFS(-Mov_Qty, Mov_Item, $A811, Mov_Type, "Consumption", Mov_Date, "&gt;="&amp;$V$2, Mov_Date, "&lt;="&amp;$W$2))</f>
        <v>0</v>
      </c>
      <c r="M811">
        <f>IF($A811="","", SUMIFS(-Mov_Qty, Mov_Item, $A811, Mov_Type, "Consumption", Mov_Date, "&gt;="&amp;$X$2, Mov_Date, "&lt;="&amp;$Y$2))</f>
        <v>0</v>
      </c>
      <c r="N811">
        <f>IF($A811="","", SUMIFS(-Mov_Qty, Mov_Item, $A811, Mov_Type, "Consumption", Mov_Date, "&gt;="&amp;$Z$2, Mov_Date, "&lt;="&amp;$AA$2))</f>
        <v>0</v>
      </c>
      <c r="O811">
        <f>IFERROR(AVERAGE(L811:N811),"")</f>
        <v>0</v>
      </c>
      <c r="P811">
        <f>IF(O811&gt;=Cfg_HiMove, "Yes", "")</f>
        <v>0</v>
      </c>
      <c r="Q811">
        <f>IF($A811="","", $I811 + IFERROR(O811/30*$H811,0))</f>
        <v>0</v>
      </c>
      <c r="R811">
        <f>IF($A811="","", IF(J811&lt;=$F811, "Yes", ""))</f>
        <v>0</v>
      </c>
      <c r="S811">
        <f>IF(R811="Yes", CEILING(MAX($G811, Q811-J811), $G811), 0)</f>
        <v>0</v>
      </c>
      <c r="T811">
        <f>IFERROR(J811/(O811/30),"")</f>
        <v>0</v>
      </c>
    </row>
    <row r="812" spans="10:20">
      <c r="J812">
        <f>IF($A812="","", SUMIFS(Mov_Qty, Mov_Item, $A812))</f>
        <v>0</v>
      </c>
      <c r="K812">
        <f>IF($A812="","", J812 * $E812)</f>
        <v>0</v>
      </c>
      <c r="L812">
        <f>IF($A812="","", SUMIFS(-Mov_Qty, Mov_Item, $A812, Mov_Type, "Consumption", Mov_Date, "&gt;="&amp;$V$2, Mov_Date, "&lt;="&amp;$W$2))</f>
        <v>0</v>
      </c>
      <c r="M812">
        <f>IF($A812="","", SUMIFS(-Mov_Qty, Mov_Item, $A812, Mov_Type, "Consumption", Mov_Date, "&gt;="&amp;$X$2, Mov_Date, "&lt;="&amp;$Y$2))</f>
        <v>0</v>
      </c>
      <c r="N812">
        <f>IF($A812="","", SUMIFS(-Mov_Qty, Mov_Item, $A812, Mov_Type, "Consumption", Mov_Date, "&gt;="&amp;$Z$2, Mov_Date, "&lt;="&amp;$AA$2))</f>
        <v>0</v>
      </c>
      <c r="O812">
        <f>IFERROR(AVERAGE(L812:N812),"")</f>
        <v>0</v>
      </c>
      <c r="P812">
        <f>IF(O812&gt;=Cfg_HiMove, "Yes", "")</f>
        <v>0</v>
      </c>
      <c r="Q812">
        <f>IF($A812="","", $I812 + IFERROR(O812/30*$H812,0))</f>
        <v>0</v>
      </c>
      <c r="R812">
        <f>IF($A812="","", IF(J812&lt;=$F812, "Yes", ""))</f>
        <v>0</v>
      </c>
      <c r="S812">
        <f>IF(R812="Yes", CEILING(MAX($G812, Q812-J812), $G812), 0)</f>
        <v>0</v>
      </c>
      <c r="T812">
        <f>IFERROR(J812/(O812/30),"")</f>
        <v>0</v>
      </c>
    </row>
    <row r="813" spans="10:20">
      <c r="J813">
        <f>IF($A813="","", SUMIFS(Mov_Qty, Mov_Item, $A813))</f>
        <v>0</v>
      </c>
      <c r="K813">
        <f>IF($A813="","", J813 * $E813)</f>
        <v>0</v>
      </c>
      <c r="L813">
        <f>IF($A813="","", SUMIFS(-Mov_Qty, Mov_Item, $A813, Mov_Type, "Consumption", Mov_Date, "&gt;="&amp;$V$2, Mov_Date, "&lt;="&amp;$W$2))</f>
        <v>0</v>
      </c>
      <c r="M813">
        <f>IF($A813="","", SUMIFS(-Mov_Qty, Mov_Item, $A813, Mov_Type, "Consumption", Mov_Date, "&gt;="&amp;$X$2, Mov_Date, "&lt;="&amp;$Y$2))</f>
        <v>0</v>
      </c>
      <c r="N813">
        <f>IF($A813="","", SUMIFS(-Mov_Qty, Mov_Item, $A813, Mov_Type, "Consumption", Mov_Date, "&gt;="&amp;$Z$2, Mov_Date, "&lt;="&amp;$AA$2))</f>
        <v>0</v>
      </c>
      <c r="O813">
        <f>IFERROR(AVERAGE(L813:N813),"")</f>
        <v>0</v>
      </c>
      <c r="P813">
        <f>IF(O813&gt;=Cfg_HiMove, "Yes", "")</f>
        <v>0</v>
      </c>
      <c r="Q813">
        <f>IF($A813="","", $I813 + IFERROR(O813/30*$H813,0))</f>
        <v>0</v>
      </c>
      <c r="R813">
        <f>IF($A813="","", IF(J813&lt;=$F813, "Yes", ""))</f>
        <v>0</v>
      </c>
      <c r="S813">
        <f>IF(R813="Yes", CEILING(MAX($G813, Q813-J813), $G813), 0)</f>
        <v>0</v>
      </c>
      <c r="T813">
        <f>IFERROR(J813/(O813/30),"")</f>
        <v>0</v>
      </c>
    </row>
    <row r="814" spans="10:20">
      <c r="J814">
        <f>IF($A814="","", SUMIFS(Mov_Qty, Mov_Item, $A814))</f>
        <v>0</v>
      </c>
      <c r="K814">
        <f>IF($A814="","", J814 * $E814)</f>
        <v>0</v>
      </c>
      <c r="L814">
        <f>IF($A814="","", SUMIFS(-Mov_Qty, Mov_Item, $A814, Mov_Type, "Consumption", Mov_Date, "&gt;="&amp;$V$2, Mov_Date, "&lt;="&amp;$W$2))</f>
        <v>0</v>
      </c>
      <c r="M814">
        <f>IF($A814="","", SUMIFS(-Mov_Qty, Mov_Item, $A814, Mov_Type, "Consumption", Mov_Date, "&gt;="&amp;$X$2, Mov_Date, "&lt;="&amp;$Y$2))</f>
        <v>0</v>
      </c>
      <c r="N814">
        <f>IF($A814="","", SUMIFS(-Mov_Qty, Mov_Item, $A814, Mov_Type, "Consumption", Mov_Date, "&gt;="&amp;$Z$2, Mov_Date, "&lt;="&amp;$AA$2))</f>
        <v>0</v>
      </c>
      <c r="O814">
        <f>IFERROR(AVERAGE(L814:N814),"")</f>
        <v>0</v>
      </c>
      <c r="P814">
        <f>IF(O814&gt;=Cfg_HiMove, "Yes", "")</f>
        <v>0</v>
      </c>
      <c r="Q814">
        <f>IF($A814="","", $I814 + IFERROR(O814/30*$H814,0))</f>
        <v>0</v>
      </c>
      <c r="R814">
        <f>IF($A814="","", IF(J814&lt;=$F814, "Yes", ""))</f>
        <v>0</v>
      </c>
      <c r="S814">
        <f>IF(R814="Yes", CEILING(MAX($G814, Q814-J814), $G814), 0)</f>
        <v>0</v>
      </c>
      <c r="T814">
        <f>IFERROR(J814/(O814/30),"")</f>
        <v>0</v>
      </c>
    </row>
    <row r="815" spans="10:20">
      <c r="J815">
        <f>IF($A815="","", SUMIFS(Mov_Qty, Mov_Item, $A815))</f>
        <v>0</v>
      </c>
      <c r="K815">
        <f>IF($A815="","", J815 * $E815)</f>
        <v>0</v>
      </c>
      <c r="L815">
        <f>IF($A815="","", SUMIFS(-Mov_Qty, Mov_Item, $A815, Mov_Type, "Consumption", Mov_Date, "&gt;="&amp;$V$2, Mov_Date, "&lt;="&amp;$W$2))</f>
        <v>0</v>
      </c>
      <c r="M815">
        <f>IF($A815="","", SUMIFS(-Mov_Qty, Mov_Item, $A815, Mov_Type, "Consumption", Mov_Date, "&gt;="&amp;$X$2, Mov_Date, "&lt;="&amp;$Y$2))</f>
        <v>0</v>
      </c>
      <c r="N815">
        <f>IF($A815="","", SUMIFS(-Mov_Qty, Mov_Item, $A815, Mov_Type, "Consumption", Mov_Date, "&gt;="&amp;$Z$2, Mov_Date, "&lt;="&amp;$AA$2))</f>
        <v>0</v>
      </c>
      <c r="O815">
        <f>IFERROR(AVERAGE(L815:N815),"")</f>
        <v>0</v>
      </c>
      <c r="P815">
        <f>IF(O815&gt;=Cfg_HiMove, "Yes", "")</f>
        <v>0</v>
      </c>
      <c r="Q815">
        <f>IF($A815="","", $I815 + IFERROR(O815/30*$H815,0))</f>
        <v>0</v>
      </c>
      <c r="R815">
        <f>IF($A815="","", IF(J815&lt;=$F815, "Yes", ""))</f>
        <v>0</v>
      </c>
      <c r="S815">
        <f>IF(R815="Yes", CEILING(MAX($G815, Q815-J815), $G815), 0)</f>
        <v>0</v>
      </c>
      <c r="T815">
        <f>IFERROR(J815/(O815/30),"")</f>
        <v>0</v>
      </c>
    </row>
    <row r="816" spans="10:20">
      <c r="J816">
        <f>IF($A816="","", SUMIFS(Mov_Qty, Mov_Item, $A816))</f>
        <v>0</v>
      </c>
      <c r="K816">
        <f>IF($A816="","", J816 * $E816)</f>
        <v>0</v>
      </c>
      <c r="L816">
        <f>IF($A816="","", SUMIFS(-Mov_Qty, Mov_Item, $A816, Mov_Type, "Consumption", Mov_Date, "&gt;="&amp;$V$2, Mov_Date, "&lt;="&amp;$W$2))</f>
        <v>0</v>
      </c>
      <c r="M816">
        <f>IF($A816="","", SUMIFS(-Mov_Qty, Mov_Item, $A816, Mov_Type, "Consumption", Mov_Date, "&gt;="&amp;$X$2, Mov_Date, "&lt;="&amp;$Y$2))</f>
        <v>0</v>
      </c>
      <c r="N816">
        <f>IF($A816="","", SUMIFS(-Mov_Qty, Mov_Item, $A816, Mov_Type, "Consumption", Mov_Date, "&gt;="&amp;$Z$2, Mov_Date, "&lt;="&amp;$AA$2))</f>
        <v>0</v>
      </c>
      <c r="O816">
        <f>IFERROR(AVERAGE(L816:N816),"")</f>
        <v>0</v>
      </c>
      <c r="P816">
        <f>IF(O816&gt;=Cfg_HiMove, "Yes", "")</f>
        <v>0</v>
      </c>
      <c r="Q816">
        <f>IF($A816="","", $I816 + IFERROR(O816/30*$H816,0))</f>
        <v>0</v>
      </c>
      <c r="R816">
        <f>IF($A816="","", IF(J816&lt;=$F816, "Yes", ""))</f>
        <v>0</v>
      </c>
      <c r="S816">
        <f>IF(R816="Yes", CEILING(MAX($G816, Q816-J816), $G816), 0)</f>
        <v>0</v>
      </c>
      <c r="T816">
        <f>IFERROR(J816/(O816/30),"")</f>
        <v>0</v>
      </c>
    </row>
    <row r="817" spans="10:20">
      <c r="J817">
        <f>IF($A817="","", SUMIFS(Mov_Qty, Mov_Item, $A817))</f>
        <v>0</v>
      </c>
      <c r="K817">
        <f>IF($A817="","", J817 * $E817)</f>
        <v>0</v>
      </c>
      <c r="L817">
        <f>IF($A817="","", SUMIFS(-Mov_Qty, Mov_Item, $A817, Mov_Type, "Consumption", Mov_Date, "&gt;="&amp;$V$2, Mov_Date, "&lt;="&amp;$W$2))</f>
        <v>0</v>
      </c>
      <c r="M817">
        <f>IF($A817="","", SUMIFS(-Mov_Qty, Mov_Item, $A817, Mov_Type, "Consumption", Mov_Date, "&gt;="&amp;$X$2, Mov_Date, "&lt;="&amp;$Y$2))</f>
        <v>0</v>
      </c>
      <c r="N817">
        <f>IF($A817="","", SUMIFS(-Mov_Qty, Mov_Item, $A817, Mov_Type, "Consumption", Mov_Date, "&gt;="&amp;$Z$2, Mov_Date, "&lt;="&amp;$AA$2))</f>
        <v>0</v>
      </c>
      <c r="O817">
        <f>IFERROR(AVERAGE(L817:N817),"")</f>
        <v>0</v>
      </c>
      <c r="P817">
        <f>IF(O817&gt;=Cfg_HiMove, "Yes", "")</f>
        <v>0</v>
      </c>
      <c r="Q817">
        <f>IF($A817="","", $I817 + IFERROR(O817/30*$H817,0))</f>
        <v>0</v>
      </c>
      <c r="R817">
        <f>IF($A817="","", IF(J817&lt;=$F817, "Yes", ""))</f>
        <v>0</v>
      </c>
      <c r="S817">
        <f>IF(R817="Yes", CEILING(MAX($G817, Q817-J817), $G817), 0)</f>
        <v>0</v>
      </c>
      <c r="T817">
        <f>IFERROR(J817/(O817/30),"")</f>
        <v>0</v>
      </c>
    </row>
    <row r="818" spans="10:20">
      <c r="J818">
        <f>IF($A818="","", SUMIFS(Mov_Qty, Mov_Item, $A818))</f>
        <v>0</v>
      </c>
      <c r="K818">
        <f>IF($A818="","", J818 * $E818)</f>
        <v>0</v>
      </c>
      <c r="L818">
        <f>IF($A818="","", SUMIFS(-Mov_Qty, Mov_Item, $A818, Mov_Type, "Consumption", Mov_Date, "&gt;="&amp;$V$2, Mov_Date, "&lt;="&amp;$W$2))</f>
        <v>0</v>
      </c>
      <c r="M818">
        <f>IF($A818="","", SUMIFS(-Mov_Qty, Mov_Item, $A818, Mov_Type, "Consumption", Mov_Date, "&gt;="&amp;$X$2, Mov_Date, "&lt;="&amp;$Y$2))</f>
        <v>0</v>
      </c>
      <c r="N818">
        <f>IF($A818="","", SUMIFS(-Mov_Qty, Mov_Item, $A818, Mov_Type, "Consumption", Mov_Date, "&gt;="&amp;$Z$2, Mov_Date, "&lt;="&amp;$AA$2))</f>
        <v>0</v>
      </c>
      <c r="O818">
        <f>IFERROR(AVERAGE(L818:N818),"")</f>
        <v>0</v>
      </c>
      <c r="P818">
        <f>IF(O818&gt;=Cfg_HiMove, "Yes", "")</f>
        <v>0</v>
      </c>
      <c r="Q818">
        <f>IF($A818="","", $I818 + IFERROR(O818/30*$H818,0))</f>
        <v>0</v>
      </c>
      <c r="R818">
        <f>IF($A818="","", IF(J818&lt;=$F818, "Yes", ""))</f>
        <v>0</v>
      </c>
      <c r="S818">
        <f>IF(R818="Yes", CEILING(MAX($G818, Q818-J818), $G818), 0)</f>
        <v>0</v>
      </c>
      <c r="T818">
        <f>IFERROR(J818/(O818/30),"")</f>
        <v>0</v>
      </c>
    </row>
    <row r="819" spans="10:20">
      <c r="J819">
        <f>IF($A819="","", SUMIFS(Mov_Qty, Mov_Item, $A819))</f>
        <v>0</v>
      </c>
      <c r="K819">
        <f>IF($A819="","", J819 * $E819)</f>
        <v>0</v>
      </c>
      <c r="L819">
        <f>IF($A819="","", SUMIFS(-Mov_Qty, Mov_Item, $A819, Mov_Type, "Consumption", Mov_Date, "&gt;="&amp;$V$2, Mov_Date, "&lt;="&amp;$W$2))</f>
        <v>0</v>
      </c>
      <c r="M819">
        <f>IF($A819="","", SUMIFS(-Mov_Qty, Mov_Item, $A819, Mov_Type, "Consumption", Mov_Date, "&gt;="&amp;$X$2, Mov_Date, "&lt;="&amp;$Y$2))</f>
        <v>0</v>
      </c>
      <c r="N819">
        <f>IF($A819="","", SUMIFS(-Mov_Qty, Mov_Item, $A819, Mov_Type, "Consumption", Mov_Date, "&gt;="&amp;$Z$2, Mov_Date, "&lt;="&amp;$AA$2))</f>
        <v>0</v>
      </c>
      <c r="O819">
        <f>IFERROR(AVERAGE(L819:N819),"")</f>
        <v>0</v>
      </c>
      <c r="P819">
        <f>IF(O819&gt;=Cfg_HiMove, "Yes", "")</f>
        <v>0</v>
      </c>
      <c r="Q819">
        <f>IF($A819="","", $I819 + IFERROR(O819/30*$H819,0))</f>
        <v>0</v>
      </c>
      <c r="R819">
        <f>IF($A819="","", IF(J819&lt;=$F819, "Yes", ""))</f>
        <v>0</v>
      </c>
      <c r="S819">
        <f>IF(R819="Yes", CEILING(MAX($G819, Q819-J819), $G819), 0)</f>
        <v>0</v>
      </c>
      <c r="T819">
        <f>IFERROR(J819/(O819/30),"")</f>
        <v>0</v>
      </c>
    </row>
    <row r="820" spans="10:20">
      <c r="J820">
        <f>IF($A820="","", SUMIFS(Mov_Qty, Mov_Item, $A820))</f>
        <v>0</v>
      </c>
      <c r="K820">
        <f>IF($A820="","", J820 * $E820)</f>
        <v>0</v>
      </c>
      <c r="L820">
        <f>IF($A820="","", SUMIFS(-Mov_Qty, Mov_Item, $A820, Mov_Type, "Consumption", Mov_Date, "&gt;="&amp;$V$2, Mov_Date, "&lt;="&amp;$W$2))</f>
        <v>0</v>
      </c>
      <c r="M820">
        <f>IF($A820="","", SUMIFS(-Mov_Qty, Mov_Item, $A820, Mov_Type, "Consumption", Mov_Date, "&gt;="&amp;$X$2, Mov_Date, "&lt;="&amp;$Y$2))</f>
        <v>0</v>
      </c>
      <c r="N820">
        <f>IF($A820="","", SUMIFS(-Mov_Qty, Mov_Item, $A820, Mov_Type, "Consumption", Mov_Date, "&gt;="&amp;$Z$2, Mov_Date, "&lt;="&amp;$AA$2))</f>
        <v>0</v>
      </c>
      <c r="O820">
        <f>IFERROR(AVERAGE(L820:N820),"")</f>
        <v>0</v>
      </c>
      <c r="P820">
        <f>IF(O820&gt;=Cfg_HiMove, "Yes", "")</f>
        <v>0</v>
      </c>
      <c r="Q820">
        <f>IF($A820="","", $I820 + IFERROR(O820/30*$H820,0))</f>
        <v>0</v>
      </c>
      <c r="R820">
        <f>IF($A820="","", IF(J820&lt;=$F820, "Yes", ""))</f>
        <v>0</v>
      </c>
      <c r="S820">
        <f>IF(R820="Yes", CEILING(MAX($G820, Q820-J820), $G820), 0)</f>
        <v>0</v>
      </c>
      <c r="T820">
        <f>IFERROR(J820/(O820/30),"")</f>
        <v>0</v>
      </c>
    </row>
    <row r="821" spans="10:20">
      <c r="J821">
        <f>IF($A821="","", SUMIFS(Mov_Qty, Mov_Item, $A821))</f>
        <v>0</v>
      </c>
      <c r="K821">
        <f>IF($A821="","", J821 * $E821)</f>
        <v>0</v>
      </c>
      <c r="L821">
        <f>IF($A821="","", SUMIFS(-Mov_Qty, Mov_Item, $A821, Mov_Type, "Consumption", Mov_Date, "&gt;="&amp;$V$2, Mov_Date, "&lt;="&amp;$W$2))</f>
        <v>0</v>
      </c>
      <c r="M821">
        <f>IF($A821="","", SUMIFS(-Mov_Qty, Mov_Item, $A821, Mov_Type, "Consumption", Mov_Date, "&gt;="&amp;$X$2, Mov_Date, "&lt;="&amp;$Y$2))</f>
        <v>0</v>
      </c>
      <c r="N821">
        <f>IF($A821="","", SUMIFS(-Mov_Qty, Mov_Item, $A821, Mov_Type, "Consumption", Mov_Date, "&gt;="&amp;$Z$2, Mov_Date, "&lt;="&amp;$AA$2))</f>
        <v>0</v>
      </c>
      <c r="O821">
        <f>IFERROR(AVERAGE(L821:N821),"")</f>
        <v>0</v>
      </c>
      <c r="P821">
        <f>IF(O821&gt;=Cfg_HiMove, "Yes", "")</f>
        <v>0</v>
      </c>
      <c r="Q821">
        <f>IF($A821="","", $I821 + IFERROR(O821/30*$H821,0))</f>
        <v>0</v>
      </c>
      <c r="R821">
        <f>IF($A821="","", IF(J821&lt;=$F821, "Yes", ""))</f>
        <v>0</v>
      </c>
      <c r="S821">
        <f>IF(R821="Yes", CEILING(MAX($G821, Q821-J821), $G821), 0)</f>
        <v>0</v>
      </c>
      <c r="T821">
        <f>IFERROR(J821/(O821/30),"")</f>
        <v>0</v>
      </c>
    </row>
    <row r="822" spans="10:20">
      <c r="J822">
        <f>IF($A822="","", SUMIFS(Mov_Qty, Mov_Item, $A822))</f>
        <v>0</v>
      </c>
      <c r="K822">
        <f>IF($A822="","", J822 * $E822)</f>
        <v>0</v>
      </c>
      <c r="L822">
        <f>IF($A822="","", SUMIFS(-Mov_Qty, Mov_Item, $A822, Mov_Type, "Consumption", Mov_Date, "&gt;="&amp;$V$2, Mov_Date, "&lt;="&amp;$W$2))</f>
        <v>0</v>
      </c>
      <c r="M822">
        <f>IF($A822="","", SUMIFS(-Mov_Qty, Mov_Item, $A822, Mov_Type, "Consumption", Mov_Date, "&gt;="&amp;$X$2, Mov_Date, "&lt;="&amp;$Y$2))</f>
        <v>0</v>
      </c>
      <c r="N822">
        <f>IF($A822="","", SUMIFS(-Mov_Qty, Mov_Item, $A822, Mov_Type, "Consumption", Mov_Date, "&gt;="&amp;$Z$2, Mov_Date, "&lt;="&amp;$AA$2))</f>
        <v>0</v>
      </c>
      <c r="O822">
        <f>IFERROR(AVERAGE(L822:N822),"")</f>
        <v>0</v>
      </c>
      <c r="P822">
        <f>IF(O822&gt;=Cfg_HiMove, "Yes", "")</f>
        <v>0</v>
      </c>
      <c r="Q822">
        <f>IF($A822="","", $I822 + IFERROR(O822/30*$H822,0))</f>
        <v>0</v>
      </c>
      <c r="R822">
        <f>IF($A822="","", IF(J822&lt;=$F822, "Yes", ""))</f>
        <v>0</v>
      </c>
      <c r="S822">
        <f>IF(R822="Yes", CEILING(MAX($G822, Q822-J822), $G822), 0)</f>
        <v>0</v>
      </c>
      <c r="T822">
        <f>IFERROR(J822/(O822/30),"")</f>
        <v>0</v>
      </c>
    </row>
    <row r="823" spans="10:20">
      <c r="J823">
        <f>IF($A823="","", SUMIFS(Mov_Qty, Mov_Item, $A823))</f>
        <v>0</v>
      </c>
      <c r="K823">
        <f>IF($A823="","", J823 * $E823)</f>
        <v>0</v>
      </c>
      <c r="L823">
        <f>IF($A823="","", SUMIFS(-Mov_Qty, Mov_Item, $A823, Mov_Type, "Consumption", Mov_Date, "&gt;="&amp;$V$2, Mov_Date, "&lt;="&amp;$W$2))</f>
        <v>0</v>
      </c>
      <c r="M823">
        <f>IF($A823="","", SUMIFS(-Mov_Qty, Mov_Item, $A823, Mov_Type, "Consumption", Mov_Date, "&gt;="&amp;$X$2, Mov_Date, "&lt;="&amp;$Y$2))</f>
        <v>0</v>
      </c>
      <c r="N823">
        <f>IF($A823="","", SUMIFS(-Mov_Qty, Mov_Item, $A823, Mov_Type, "Consumption", Mov_Date, "&gt;="&amp;$Z$2, Mov_Date, "&lt;="&amp;$AA$2))</f>
        <v>0</v>
      </c>
      <c r="O823">
        <f>IFERROR(AVERAGE(L823:N823),"")</f>
        <v>0</v>
      </c>
      <c r="P823">
        <f>IF(O823&gt;=Cfg_HiMove, "Yes", "")</f>
        <v>0</v>
      </c>
      <c r="Q823">
        <f>IF($A823="","", $I823 + IFERROR(O823/30*$H823,0))</f>
        <v>0</v>
      </c>
      <c r="R823">
        <f>IF($A823="","", IF(J823&lt;=$F823, "Yes", ""))</f>
        <v>0</v>
      </c>
      <c r="S823">
        <f>IF(R823="Yes", CEILING(MAX($G823, Q823-J823), $G823), 0)</f>
        <v>0</v>
      </c>
      <c r="T823">
        <f>IFERROR(J823/(O823/30),"")</f>
        <v>0</v>
      </c>
    </row>
    <row r="824" spans="10:20">
      <c r="J824">
        <f>IF($A824="","", SUMIFS(Mov_Qty, Mov_Item, $A824))</f>
        <v>0</v>
      </c>
      <c r="K824">
        <f>IF($A824="","", J824 * $E824)</f>
        <v>0</v>
      </c>
      <c r="L824">
        <f>IF($A824="","", SUMIFS(-Mov_Qty, Mov_Item, $A824, Mov_Type, "Consumption", Mov_Date, "&gt;="&amp;$V$2, Mov_Date, "&lt;="&amp;$W$2))</f>
        <v>0</v>
      </c>
      <c r="M824">
        <f>IF($A824="","", SUMIFS(-Mov_Qty, Mov_Item, $A824, Mov_Type, "Consumption", Mov_Date, "&gt;="&amp;$X$2, Mov_Date, "&lt;="&amp;$Y$2))</f>
        <v>0</v>
      </c>
      <c r="N824">
        <f>IF($A824="","", SUMIFS(-Mov_Qty, Mov_Item, $A824, Mov_Type, "Consumption", Mov_Date, "&gt;="&amp;$Z$2, Mov_Date, "&lt;="&amp;$AA$2))</f>
        <v>0</v>
      </c>
      <c r="O824">
        <f>IFERROR(AVERAGE(L824:N824),"")</f>
        <v>0</v>
      </c>
      <c r="P824">
        <f>IF(O824&gt;=Cfg_HiMove, "Yes", "")</f>
        <v>0</v>
      </c>
      <c r="Q824">
        <f>IF($A824="","", $I824 + IFERROR(O824/30*$H824,0))</f>
        <v>0</v>
      </c>
      <c r="R824">
        <f>IF($A824="","", IF(J824&lt;=$F824, "Yes", ""))</f>
        <v>0</v>
      </c>
      <c r="S824">
        <f>IF(R824="Yes", CEILING(MAX($G824, Q824-J824), $G824), 0)</f>
        <v>0</v>
      </c>
      <c r="T824">
        <f>IFERROR(J824/(O824/30),"")</f>
        <v>0</v>
      </c>
    </row>
    <row r="825" spans="10:20">
      <c r="J825">
        <f>IF($A825="","", SUMIFS(Mov_Qty, Mov_Item, $A825))</f>
        <v>0</v>
      </c>
      <c r="K825">
        <f>IF($A825="","", J825 * $E825)</f>
        <v>0</v>
      </c>
      <c r="L825">
        <f>IF($A825="","", SUMIFS(-Mov_Qty, Mov_Item, $A825, Mov_Type, "Consumption", Mov_Date, "&gt;="&amp;$V$2, Mov_Date, "&lt;="&amp;$W$2))</f>
        <v>0</v>
      </c>
      <c r="M825">
        <f>IF($A825="","", SUMIFS(-Mov_Qty, Mov_Item, $A825, Mov_Type, "Consumption", Mov_Date, "&gt;="&amp;$X$2, Mov_Date, "&lt;="&amp;$Y$2))</f>
        <v>0</v>
      </c>
      <c r="N825">
        <f>IF($A825="","", SUMIFS(-Mov_Qty, Mov_Item, $A825, Mov_Type, "Consumption", Mov_Date, "&gt;="&amp;$Z$2, Mov_Date, "&lt;="&amp;$AA$2))</f>
        <v>0</v>
      </c>
      <c r="O825">
        <f>IFERROR(AVERAGE(L825:N825),"")</f>
        <v>0</v>
      </c>
      <c r="P825">
        <f>IF(O825&gt;=Cfg_HiMove, "Yes", "")</f>
        <v>0</v>
      </c>
      <c r="Q825">
        <f>IF($A825="","", $I825 + IFERROR(O825/30*$H825,0))</f>
        <v>0</v>
      </c>
      <c r="R825">
        <f>IF($A825="","", IF(J825&lt;=$F825, "Yes", ""))</f>
        <v>0</v>
      </c>
      <c r="S825">
        <f>IF(R825="Yes", CEILING(MAX($G825, Q825-J825), $G825), 0)</f>
        <v>0</v>
      </c>
      <c r="T825">
        <f>IFERROR(J825/(O825/30),"")</f>
        <v>0</v>
      </c>
    </row>
    <row r="826" spans="10:20">
      <c r="J826">
        <f>IF($A826="","", SUMIFS(Mov_Qty, Mov_Item, $A826))</f>
        <v>0</v>
      </c>
      <c r="K826">
        <f>IF($A826="","", J826 * $E826)</f>
        <v>0</v>
      </c>
      <c r="L826">
        <f>IF($A826="","", SUMIFS(-Mov_Qty, Mov_Item, $A826, Mov_Type, "Consumption", Mov_Date, "&gt;="&amp;$V$2, Mov_Date, "&lt;="&amp;$W$2))</f>
        <v>0</v>
      </c>
      <c r="M826">
        <f>IF($A826="","", SUMIFS(-Mov_Qty, Mov_Item, $A826, Mov_Type, "Consumption", Mov_Date, "&gt;="&amp;$X$2, Mov_Date, "&lt;="&amp;$Y$2))</f>
        <v>0</v>
      </c>
      <c r="N826">
        <f>IF($A826="","", SUMIFS(-Mov_Qty, Mov_Item, $A826, Mov_Type, "Consumption", Mov_Date, "&gt;="&amp;$Z$2, Mov_Date, "&lt;="&amp;$AA$2))</f>
        <v>0</v>
      </c>
      <c r="O826">
        <f>IFERROR(AVERAGE(L826:N826),"")</f>
        <v>0</v>
      </c>
      <c r="P826">
        <f>IF(O826&gt;=Cfg_HiMove, "Yes", "")</f>
        <v>0</v>
      </c>
      <c r="Q826">
        <f>IF($A826="","", $I826 + IFERROR(O826/30*$H826,0))</f>
        <v>0</v>
      </c>
      <c r="R826">
        <f>IF($A826="","", IF(J826&lt;=$F826, "Yes", ""))</f>
        <v>0</v>
      </c>
      <c r="S826">
        <f>IF(R826="Yes", CEILING(MAX($G826, Q826-J826), $G826), 0)</f>
        <v>0</v>
      </c>
      <c r="T826">
        <f>IFERROR(J826/(O826/30),"")</f>
        <v>0</v>
      </c>
    </row>
    <row r="827" spans="10:20">
      <c r="J827">
        <f>IF($A827="","", SUMIFS(Mov_Qty, Mov_Item, $A827))</f>
        <v>0</v>
      </c>
      <c r="K827">
        <f>IF($A827="","", J827 * $E827)</f>
        <v>0</v>
      </c>
      <c r="L827">
        <f>IF($A827="","", SUMIFS(-Mov_Qty, Mov_Item, $A827, Mov_Type, "Consumption", Mov_Date, "&gt;="&amp;$V$2, Mov_Date, "&lt;="&amp;$W$2))</f>
        <v>0</v>
      </c>
      <c r="M827">
        <f>IF($A827="","", SUMIFS(-Mov_Qty, Mov_Item, $A827, Mov_Type, "Consumption", Mov_Date, "&gt;="&amp;$X$2, Mov_Date, "&lt;="&amp;$Y$2))</f>
        <v>0</v>
      </c>
      <c r="N827">
        <f>IF($A827="","", SUMIFS(-Mov_Qty, Mov_Item, $A827, Mov_Type, "Consumption", Mov_Date, "&gt;="&amp;$Z$2, Mov_Date, "&lt;="&amp;$AA$2))</f>
        <v>0</v>
      </c>
      <c r="O827">
        <f>IFERROR(AVERAGE(L827:N827),"")</f>
        <v>0</v>
      </c>
      <c r="P827">
        <f>IF(O827&gt;=Cfg_HiMove, "Yes", "")</f>
        <v>0</v>
      </c>
      <c r="Q827">
        <f>IF($A827="","", $I827 + IFERROR(O827/30*$H827,0))</f>
        <v>0</v>
      </c>
      <c r="R827">
        <f>IF($A827="","", IF(J827&lt;=$F827, "Yes", ""))</f>
        <v>0</v>
      </c>
      <c r="S827">
        <f>IF(R827="Yes", CEILING(MAX($G827, Q827-J827), $G827), 0)</f>
        <v>0</v>
      </c>
      <c r="T827">
        <f>IFERROR(J827/(O827/30),"")</f>
        <v>0</v>
      </c>
    </row>
    <row r="828" spans="10:20">
      <c r="J828">
        <f>IF($A828="","", SUMIFS(Mov_Qty, Mov_Item, $A828))</f>
        <v>0</v>
      </c>
      <c r="K828">
        <f>IF($A828="","", J828 * $E828)</f>
        <v>0</v>
      </c>
      <c r="L828">
        <f>IF($A828="","", SUMIFS(-Mov_Qty, Mov_Item, $A828, Mov_Type, "Consumption", Mov_Date, "&gt;="&amp;$V$2, Mov_Date, "&lt;="&amp;$W$2))</f>
        <v>0</v>
      </c>
      <c r="M828">
        <f>IF($A828="","", SUMIFS(-Mov_Qty, Mov_Item, $A828, Mov_Type, "Consumption", Mov_Date, "&gt;="&amp;$X$2, Mov_Date, "&lt;="&amp;$Y$2))</f>
        <v>0</v>
      </c>
      <c r="N828">
        <f>IF($A828="","", SUMIFS(-Mov_Qty, Mov_Item, $A828, Mov_Type, "Consumption", Mov_Date, "&gt;="&amp;$Z$2, Mov_Date, "&lt;="&amp;$AA$2))</f>
        <v>0</v>
      </c>
      <c r="O828">
        <f>IFERROR(AVERAGE(L828:N828),"")</f>
        <v>0</v>
      </c>
      <c r="P828">
        <f>IF(O828&gt;=Cfg_HiMove, "Yes", "")</f>
        <v>0</v>
      </c>
      <c r="Q828">
        <f>IF($A828="","", $I828 + IFERROR(O828/30*$H828,0))</f>
        <v>0</v>
      </c>
      <c r="R828">
        <f>IF($A828="","", IF(J828&lt;=$F828, "Yes", ""))</f>
        <v>0</v>
      </c>
      <c r="S828">
        <f>IF(R828="Yes", CEILING(MAX($G828, Q828-J828), $G828), 0)</f>
        <v>0</v>
      </c>
      <c r="T828">
        <f>IFERROR(J828/(O828/30),"")</f>
        <v>0</v>
      </c>
    </row>
    <row r="829" spans="10:20">
      <c r="J829">
        <f>IF($A829="","", SUMIFS(Mov_Qty, Mov_Item, $A829))</f>
        <v>0</v>
      </c>
      <c r="K829">
        <f>IF($A829="","", J829 * $E829)</f>
        <v>0</v>
      </c>
      <c r="L829">
        <f>IF($A829="","", SUMIFS(-Mov_Qty, Mov_Item, $A829, Mov_Type, "Consumption", Mov_Date, "&gt;="&amp;$V$2, Mov_Date, "&lt;="&amp;$W$2))</f>
        <v>0</v>
      </c>
      <c r="M829">
        <f>IF($A829="","", SUMIFS(-Mov_Qty, Mov_Item, $A829, Mov_Type, "Consumption", Mov_Date, "&gt;="&amp;$X$2, Mov_Date, "&lt;="&amp;$Y$2))</f>
        <v>0</v>
      </c>
      <c r="N829">
        <f>IF($A829="","", SUMIFS(-Mov_Qty, Mov_Item, $A829, Mov_Type, "Consumption", Mov_Date, "&gt;="&amp;$Z$2, Mov_Date, "&lt;="&amp;$AA$2))</f>
        <v>0</v>
      </c>
      <c r="O829">
        <f>IFERROR(AVERAGE(L829:N829),"")</f>
        <v>0</v>
      </c>
      <c r="P829">
        <f>IF(O829&gt;=Cfg_HiMove, "Yes", "")</f>
        <v>0</v>
      </c>
      <c r="Q829">
        <f>IF($A829="","", $I829 + IFERROR(O829/30*$H829,0))</f>
        <v>0</v>
      </c>
      <c r="R829">
        <f>IF($A829="","", IF(J829&lt;=$F829, "Yes", ""))</f>
        <v>0</v>
      </c>
      <c r="S829">
        <f>IF(R829="Yes", CEILING(MAX($G829, Q829-J829), $G829), 0)</f>
        <v>0</v>
      </c>
      <c r="T829">
        <f>IFERROR(J829/(O829/30),"")</f>
        <v>0</v>
      </c>
    </row>
    <row r="830" spans="10:20">
      <c r="J830">
        <f>IF($A830="","", SUMIFS(Mov_Qty, Mov_Item, $A830))</f>
        <v>0</v>
      </c>
      <c r="K830">
        <f>IF($A830="","", J830 * $E830)</f>
        <v>0</v>
      </c>
      <c r="L830">
        <f>IF($A830="","", SUMIFS(-Mov_Qty, Mov_Item, $A830, Mov_Type, "Consumption", Mov_Date, "&gt;="&amp;$V$2, Mov_Date, "&lt;="&amp;$W$2))</f>
        <v>0</v>
      </c>
      <c r="M830">
        <f>IF($A830="","", SUMIFS(-Mov_Qty, Mov_Item, $A830, Mov_Type, "Consumption", Mov_Date, "&gt;="&amp;$X$2, Mov_Date, "&lt;="&amp;$Y$2))</f>
        <v>0</v>
      </c>
      <c r="N830">
        <f>IF($A830="","", SUMIFS(-Mov_Qty, Mov_Item, $A830, Mov_Type, "Consumption", Mov_Date, "&gt;="&amp;$Z$2, Mov_Date, "&lt;="&amp;$AA$2))</f>
        <v>0</v>
      </c>
      <c r="O830">
        <f>IFERROR(AVERAGE(L830:N830),"")</f>
        <v>0</v>
      </c>
      <c r="P830">
        <f>IF(O830&gt;=Cfg_HiMove, "Yes", "")</f>
        <v>0</v>
      </c>
      <c r="Q830">
        <f>IF($A830="","", $I830 + IFERROR(O830/30*$H830,0))</f>
        <v>0</v>
      </c>
      <c r="R830">
        <f>IF($A830="","", IF(J830&lt;=$F830, "Yes", ""))</f>
        <v>0</v>
      </c>
      <c r="S830">
        <f>IF(R830="Yes", CEILING(MAX($G830, Q830-J830), $G830), 0)</f>
        <v>0</v>
      </c>
      <c r="T830">
        <f>IFERROR(J830/(O830/30),"")</f>
        <v>0</v>
      </c>
    </row>
    <row r="831" spans="10:20">
      <c r="J831">
        <f>IF($A831="","", SUMIFS(Mov_Qty, Mov_Item, $A831))</f>
        <v>0</v>
      </c>
      <c r="K831">
        <f>IF($A831="","", J831 * $E831)</f>
        <v>0</v>
      </c>
      <c r="L831">
        <f>IF($A831="","", SUMIFS(-Mov_Qty, Mov_Item, $A831, Mov_Type, "Consumption", Mov_Date, "&gt;="&amp;$V$2, Mov_Date, "&lt;="&amp;$W$2))</f>
        <v>0</v>
      </c>
      <c r="M831">
        <f>IF($A831="","", SUMIFS(-Mov_Qty, Mov_Item, $A831, Mov_Type, "Consumption", Mov_Date, "&gt;="&amp;$X$2, Mov_Date, "&lt;="&amp;$Y$2))</f>
        <v>0</v>
      </c>
      <c r="N831">
        <f>IF($A831="","", SUMIFS(-Mov_Qty, Mov_Item, $A831, Mov_Type, "Consumption", Mov_Date, "&gt;="&amp;$Z$2, Mov_Date, "&lt;="&amp;$AA$2))</f>
        <v>0</v>
      </c>
      <c r="O831">
        <f>IFERROR(AVERAGE(L831:N831),"")</f>
        <v>0</v>
      </c>
      <c r="P831">
        <f>IF(O831&gt;=Cfg_HiMove, "Yes", "")</f>
        <v>0</v>
      </c>
      <c r="Q831">
        <f>IF($A831="","", $I831 + IFERROR(O831/30*$H831,0))</f>
        <v>0</v>
      </c>
      <c r="R831">
        <f>IF($A831="","", IF(J831&lt;=$F831, "Yes", ""))</f>
        <v>0</v>
      </c>
      <c r="S831">
        <f>IF(R831="Yes", CEILING(MAX($G831, Q831-J831), $G831), 0)</f>
        <v>0</v>
      </c>
      <c r="T831">
        <f>IFERROR(J831/(O831/30),"")</f>
        <v>0</v>
      </c>
    </row>
    <row r="832" spans="10:20">
      <c r="J832">
        <f>IF($A832="","", SUMIFS(Mov_Qty, Mov_Item, $A832))</f>
        <v>0</v>
      </c>
      <c r="K832">
        <f>IF($A832="","", J832 * $E832)</f>
        <v>0</v>
      </c>
      <c r="L832">
        <f>IF($A832="","", SUMIFS(-Mov_Qty, Mov_Item, $A832, Mov_Type, "Consumption", Mov_Date, "&gt;="&amp;$V$2, Mov_Date, "&lt;="&amp;$W$2))</f>
        <v>0</v>
      </c>
      <c r="M832">
        <f>IF($A832="","", SUMIFS(-Mov_Qty, Mov_Item, $A832, Mov_Type, "Consumption", Mov_Date, "&gt;="&amp;$X$2, Mov_Date, "&lt;="&amp;$Y$2))</f>
        <v>0</v>
      </c>
      <c r="N832">
        <f>IF($A832="","", SUMIFS(-Mov_Qty, Mov_Item, $A832, Mov_Type, "Consumption", Mov_Date, "&gt;="&amp;$Z$2, Mov_Date, "&lt;="&amp;$AA$2))</f>
        <v>0</v>
      </c>
      <c r="O832">
        <f>IFERROR(AVERAGE(L832:N832),"")</f>
        <v>0</v>
      </c>
      <c r="P832">
        <f>IF(O832&gt;=Cfg_HiMove, "Yes", "")</f>
        <v>0</v>
      </c>
      <c r="Q832">
        <f>IF($A832="","", $I832 + IFERROR(O832/30*$H832,0))</f>
        <v>0</v>
      </c>
      <c r="R832">
        <f>IF($A832="","", IF(J832&lt;=$F832, "Yes", ""))</f>
        <v>0</v>
      </c>
      <c r="S832">
        <f>IF(R832="Yes", CEILING(MAX($G832, Q832-J832), $G832), 0)</f>
        <v>0</v>
      </c>
      <c r="T832">
        <f>IFERROR(J832/(O832/30),"")</f>
        <v>0</v>
      </c>
    </row>
    <row r="833" spans="10:20">
      <c r="J833">
        <f>IF($A833="","", SUMIFS(Mov_Qty, Mov_Item, $A833))</f>
        <v>0</v>
      </c>
      <c r="K833">
        <f>IF($A833="","", J833 * $E833)</f>
        <v>0</v>
      </c>
      <c r="L833">
        <f>IF($A833="","", SUMIFS(-Mov_Qty, Mov_Item, $A833, Mov_Type, "Consumption", Mov_Date, "&gt;="&amp;$V$2, Mov_Date, "&lt;="&amp;$W$2))</f>
        <v>0</v>
      </c>
      <c r="M833">
        <f>IF($A833="","", SUMIFS(-Mov_Qty, Mov_Item, $A833, Mov_Type, "Consumption", Mov_Date, "&gt;="&amp;$X$2, Mov_Date, "&lt;="&amp;$Y$2))</f>
        <v>0</v>
      </c>
      <c r="N833">
        <f>IF($A833="","", SUMIFS(-Mov_Qty, Mov_Item, $A833, Mov_Type, "Consumption", Mov_Date, "&gt;="&amp;$Z$2, Mov_Date, "&lt;="&amp;$AA$2))</f>
        <v>0</v>
      </c>
      <c r="O833">
        <f>IFERROR(AVERAGE(L833:N833),"")</f>
        <v>0</v>
      </c>
      <c r="P833">
        <f>IF(O833&gt;=Cfg_HiMove, "Yes", "")</f>
        <v>0</v>
      </c>
      <c r="Q833">
        <f>IF($A833="","", $I833 + IFERROR(O833/30*$H833,0))</f>
        <v>0</v>
      </c>
      <c r="R833">
        <f>IF($A833="","", IF(J833&lt;=$F833, "Yes", ""))</f>
        <v>0</v>
      </c>
      <c r="S833">
        <f>IF(R833="Yes", CEILING(MAX($G833, Q833-J833), $G833), 0)</f>
        <v>0</v>
      </c>
      <c r="T833">
        <f>IFERROR(J833/(O833/30),"")</f>
        <v>0</v>
      </c>
    </row>
    <row r="834" spans="10:20">
      <c r="J834">
        <f>IF($A834="","", SUMIFS(Mov_Qty, Mov_Item, $A834))</f>
        <v>0</v>
      </c>
      <c r="K834">
        <f>IF($A834="","", J834 * $E834)</f>
        <v>0</v>
      </c>
      <c r="L834">
        <f>IF($A834="","", SUMIFS(-Mov_Qty, Mov_Item, $A834, Mov_Type, "Consumption", Mov_Date, "&gt;="&amp;$V$2, Mov_Date, "&lt;="&amp;$W$2))</f>
        <v>0</v>
      </c>
      <c r="M834">
        <f>IF($A834="","", SUMIFS(-Mov_Qty, Mov_Item, $A834, Mov_Type, "Consumption", Mov_Date, "&gt;="&amp;$X$2, Mov_Date, "&lt;="&amp;$Y$2))</f>
        <v>0</v>
      </c>
      <c r="N834">
        <f>IF($A834="","", SUMIFS(-Mov_Qty, Mov_Item, $A834, Mov_Type, "Consumption", Mov_Date, "&gt;="&amp;$Z$2, Mov_Date, "&lt;="&amp;$AA$2))</f>
        <v>0</v>
      </c>
      <c r="O834">
        <f>IFERROR(AVERAGE(L834:N834),"")</f>
        <v>0</v>
      </c>
      <c r="P834">
        <f>IF(O834&gt;=Cfg_HiMove, "Yes", "")</f>
        <v>0</v>
      </c>
      <c r="Q834">
        <f>IF($A834="","", $I834 + IFERROR(O834/30*$H834,0))</f>
        <v>0</v>
      </c>
      <c r="R834">
        <f>IF($A834="","", IF(J834&lt;=$F834, "Yes", ""))</f>
        <v>0</v>
      </c>
      <c r="S834">
        <f>IF(R834="Yes", CEILING(MAX($G834, Q834-J834), $G834), 0)</f>
        <v>0</v>
      </c>
      <c r="T834">
        <f>IFERROR(J834/(O834/30),"")</f>
        <v>0</v>
      </c>
    </row>
    <row r="835" spans="10:20">
      <c r="J835">
        <f>IF($A835="","", SUMIFS(Mov_Qty, Mov_Item, $A835))</f>
        <v>0</v>
      </c>
      <c r="K835">
        <f>IF($A835="","", J835 * $E835)</f>
        <v>0</v>
      </c>
      <c r="L835">
        <f>IF($A835="","", SUMIFS(-Mov_Qty, Mov_Item, $A835, Mov_Type, "Consumption", Mov_Date, "&gt;="&amp;$V$2, Mov_Date, "&lt;="&amp;$W$2))</f>
        <v>0</v>
      </c>
      <c r="M835">
        <f>IF($A835="","", SUMIFS(-Mov_Qty, Mov_Item, $A835, Mov_Type, "Consumption", Mov_Date, "&gt;="&amp;$X$2, Mov_Date, "&lt;="&amp;$Y$2))</f>
        <v>0</v>
      </c>
      <c r="N835">
        <f>IF($A835="","", SUMIFS(-Mov_Qty, Mov_Item, $A835, Mov_Type, "Consumption", Mov_Date, "&gt;="&amp;$Z$2, Mov_Date, "&lt;="&amp;$AA$2))</f>
        <v>0</v>
      </c>
      <c r="O835">
        <f>IFERROR(AVERAGE(L835:N835),"")</f>
        <v>0</v>
      </c>
      <c r="P835">
        <f>IF(O835&gt;=Cfg_HiMove, "Yes", "")</f>
        <v>0</v>
      </c>
      <c r="Q835">
        <f>IF($A835="","", $I835 + IFERROR(O835/30*$H835,0))</f>
        <v>0</v>
      </c>
      <c r="R835">
        <f>IF($A835="","", IF(J835&lt;=$F835, "Yes", ""))</f>
        <v>0</v>
      </c>
      <c r="S835">
        <f>IF(R835="Yes", CEILING(MAX($G835, Q835-J835), $G835), 0)</f>
        <v>0</v>
      </c>
      <c r="T835">
        <f>IFERROR(J835/(O835/30),"")</f>
        <v>0</v>
      </c>
    </row>
    <row r="836" spans="10:20">
      <c r="J836">
        <f>IF($A836="","", SUMIFS(Mov_Qty, Mov_Item, $A836))</f>
        <v>0</v>
      </c>
      <c r="K836">
        <f>IF($A836="","", J836 * $E836)</f>
        <v>0</v>
      </c>
      <c r="L836">
        <f>IF($A836="","", SUMIFS(-Mov_Qty, Mov_Item, $A836, Mov_Type, "Consumption", Mov_Date, "&gt;="&amp;$V$2, Mov_Date, "&lt;="&amp;$W$2))</f>
        <v>0</v>
      </c>
      <c r="M836">
        <f>IF($A836="","", SUMIFS(-Mov_Qty, Mov_Item, $A836, Mov_Type, "Consumption", Mov_Date, "&gt;="&amp;$X$2, Mov_Date, "&lt;="&amp;$Y$2))</f>
        <v>0</v>
      </c>
      <c r="N836">
        <f>IF($A836="","", SUMIFS(-Mov_Qty, Mov_Item, $A836, Mov_Type, "Consumption", Mov_Date, "&gt;="&amp;$Z$2, Mov_Date, "&lt;="&amp;$AA$2))</f>
        <v>0</v>
      </c>
      <c r="O836">
        <f>IFERROR(AVERAGE(L836:N836),"")</f>
        <v>0</v>
      </c>
      <c r="P836">
        <f>IF(O836&gt;=Cfg_HiMove, "Yes", "")</f>
        <v>0</v>
      </c>
      <c r="Q836">
        <f>IF($A836="","", $I836 + IFERROR(O836/30*$H836,0))</f>
        <v>0</v>
      </c>
      <c r="R836">
        <f>IF($A836="","", IF(J836&lt;=$F836, "Yes", ""))</f>
        <v>0</v>
      </c>
      <c r="S836">
        <f>IF(R836="Yes", CEILING(MAX($G836, Q836-J836), $G836), 0)</f>
        <v>0</v>
      </c>
      <c r="T836">
        <f>IFERROR(J836/(O836/30),"")</f>
        <v>0</v>
      </c>
    </row>
    <row r="837" spans="10:20">
      <c r="J837">
        <f>IF($A837="","", SUMIFS(Mov_Qty, Mov_Item, $A837))</f>
        <v>0</v>
      </c>
      <c r="K837">
        <f>IF($A837="","", J837 * $E837)</f>
        <v>0</v>
      </c>
      <c r="L837">
        <f>IF($A837="","", SUMIFS(-Mov_Qty, Mov_Item, $A837, Mov_Type, "Consumption", Mov_Date, "&gt;="&amp;$V$2, Mov_Date, "&lt;="&amp;$W$2))</f>
        <v>0</v>
      </c>
      <c r="M837">
        <f>IF($A837="","", SUMIFS(-Mov_Qty, Mov_Item, $A837, Mov_Type, "Consumption", Mov_Date, "&gt;="&amp;$X$2, Mov_Date, "&lt;="&amp;$Y$2))</f>
        <v>0</v>
      </c>
      <c r="N837">
        <f>IF($A837="","", SUMIFS(-Mov_Qty, Mov_Item, $A837, Mov_Type, "Consumption", Mov_Date, "&gt;="&amp;$Z$2, Mov_Date, "&lt;="&amp;$AA$2))</f>
        <v>0</v>
      </c>
      <c r="O837">
        <f>IFERROR(AVERAGE(L837:N837),"")</f>
        <v>0</v>
      </c>
      <c r="P837">
        <f>IF(O837&gt;=Cfg_HiMove, "Yes", "")</f>
        <v>0</v>
      </c>
      <c r="Q837">
        <f>IF($A837="","", $I837 + IFERROR(O837/30*$H837,0))</f>
        <v>0</v>
      </c>
      <c r="R837">
        <f>IF($A837="","", IF(J837&lt;=$F837, "Yes", ""))</f>
        <v>0</v>
      </c>
      <c r="S837">
        <f>IF(R837="Yes", CEILING(MAX($G837, Q837-J837), $G837), 0)</f>
        <v>0</v>
      </c>
      <c r="T837">
        <f>IFERROR(J837/(O837/30),"")</f>
        <v>0</v>
      </c>
    </row>
    <row r="838" spans="10:20">
      <c r="J838">
        <f>IF($A838="","", SUMIFS(Mov_Qty, Mov_Item, $A838))</f>
        <v>0</v>
      </c>
      <c r="K838">
        <f>IF($A838="","", J838 * $E838)</f>
        <v>0</v>
      </c>
      <c r="L838">
        <f>IF($A838="","", SUMIFS(-Mov_Qty, Mov_Item, $A838, Mov_Type, "Consumption", Mov_Date, "&gt;="&amp;$V$2, Mov_Date, "&lt;="&amp;$W$2))</f>
        <v>0</v>
      </c>
      <c r="M838">
        <f>IF($A838="","", SUMIFS(-Mov_Qty, Mov_Item, $A838, Mov_Type, "Consumption", Mov_Date, "&gt;="&amp;$X$2, Mov_Date, "&lt;="&amp;$Y$2))</f>
        <v>0</v>
      </c>
      <c r="N838">
        <f>IF($A838="","", SUMIFS(-Mov_Qty, Mov_Item, $A838, Mov_Type, "Consumption", Mov_Date, "&gt;="&amp;$Z$2, Mov_Date, "&lt;="&amp;$AA$2))</f>
        <v>0</v>
      </c>
      <c r="O838">
        <f>IFERROR(AVERAGE(L838:N838),"")</f>
        <v>0</v>
      </c>
      <c r="P838">
        <f>IF(O838&gt;=Cfg_HiMove, "Yes", "")</f>
        <v>0</v>
      </c>
      <c r="Q838">
        <f>IF($A838="","", $I838 + IFERROR(O838/30*$H838,0))</f>
        <v>0</v>
      </c>
      <c r="R838">
        <f>IF($A838="","", IF(J838&lt;=$F838, "Yes", ""))</f>
        <v>0</v>
      </c>
      <c r="S838">
        <f>IF(R838="Yes", CEILING(MAX($G838, Q838-J838), $G838), 0)</f>
        <v>0</v>
      </c>
      <c r="T838">
        <f>IFERROR(J838/(O838/30),"")</f>
        <v>0</v>
      </c>
    </row>
    <row r="839" spans="10:20">
      <c r="J839">
        <f>IF($A839="","", SUMIFS(Mov_Qty, Mov_Item, $A839))</f>
        <v>0</v>
      </c>
      <c r="K839">
        <f>IF($A839="","", J839 * $E839)</f>
        <v>0</v>
      </c>
      <c r="L839">
        <f>IF($A839="","", SUMIFS(-Mov_Qty, Mov_Item, $A839, Mov_Type, "Consumption", Mov_Date, "&gt;="&amp;$V$2, Mov_Date, "&lt;="&amp;$W$2))</f>
        <v>0</v>
      </c>
      <c r="M839">
        <f>IF($A839="","", SUMIFS(-Mov_Qty, Mov_Item, $A839, Mov_Type, "Consumption", Mov_Date, "&gt;="&amp;$X$2, Mov_Date, "&lt;="&amp;$Y$2))</f>
        <v>0</v>
      </c>
      <c r="N839">
        <f>IF($A839="","", SUMIFS(-Mov_Qty, Mov_Item, $A839, Mov_Type, "Consumption", Mov_Date, "&gt;="&amp;$Z$2, Mov_Date, "&lt;="&amp;$AA$2))</f>
        <v>0</v>
      </c>
      <c r="O839">
        <f>IFERROR(AVERAGE(L839:N839),"")</f>
        <v>0</v>
      </c>
      <c r="P839">
        <f>IF(O839&gt;=Cfg_HiMove, "Yes", "")</f>
        <v>0</v>
      </c>
      <c r="Q839">
        <f>IF($A839="","", $I839 + IFERROR(O839/30*$H839,0))</f>
        <v>0</v>
      </c>
      <c r="R839">
        <f>IF($A839="","", IF(J839&lt;=$F839, "Yes", ""))</f>
        <v>0</v>
      </c>
      <c r="S839">
        <f>IF(R839="Yes", CEILING(MAX($G839, Q839-J839), $G839), 0)</f>
        <v>0</v>
      </c>
      <c r="T839">
        <f>IFERROR(J839/(O839/30),"")</f>
        <v>0</v>
      </c>
    </row>
    <row r="840" spans="10:20">
      <c r="J840">
        <f>IF($A840="","", SUMIFS(Mov_Qty, Mov_Item, $A840))</f>
        <v>0</v>
      </c>
      <c r="K840">
        <f>IF($A840="","", J840 * $E840)</f>
        <v>0</v>
      </c>
      <c r="L840">
        <f>IF($A840="","", SUMIFS(-Mov_Qty, Mov_Item, $A840, Mov_Type, "Consumption", Mov_Date, "&gt;="&amp;$V$2, Mov_Date, "&lt;="&amp;$W$2))</f>
        <v>0</v>
      </c>
      <c r="M840">
        <f>IF($A840="","", SUMIFS(-Mov_Qty, Mov_Item, $A840, Mov_Type, "Consumption", Mov_Date, "&gt;="&amp;$X$2, Mov_Date, "&lt;="&amp;$Y$2))</f>
        <v>0</v>
      </c>
      <c r="N840">
        <f>IF($A840="","", SUMIFS(-Mov_Qty, Mov_Item, $A840, Mov_Type, "Consumption", Mov_Date, "&gt;="&amp;$Z$2, Mov_Date, "&lt;="&amp;$AA$2))</f>
        <v>0</v>
      </c>
      <c r="O840">
        <f>IFERROR(AVERAGE(L840:N840),"")</f>
        <v>0</v>
      </c>
      <c r="P840">
        <f>IF(O840&gt;=Cfg_HiMove, "Yes", "")</f>
        <v>0</v>
      </c>
      <c r="Q840">
        <f>IF($A840="","", $I840 + IFERROR(O840/30*$H840,0))</f>
        <v>0</v>
      </c>
      <c r="R840">
        <f>IF($A840="","", IF(J840&lt;=$F840, "Yes", ""))</f>
        <v>0</v>
      </c>
      <c r="S840">
        <f>IF(R840="Yes", CEILING(MAX($G840, Q840-J840), $G840), 0)</f>
        <v>0</v>
      </c>
      <c r="T840">
        <f>IFERROR(J840/(O840/30),"")</f>
        <v>0</v>
      </c>
    </row>
    <row r="841" spans="10:20">
      <c r="J841">
        <f>IF($A841="","", SUMIFS(Mov_Qty, Mov_Item, $A841))</f>
        <v>0</v>
      </c>
      <c r="K841">
        <f>IF($A841="","", J841 * $E841)</f>
        <v>0</v>
      </c>
      <c r="L841">
        <f>IF($A841="","", SUMIFS(-Mov_Qty, Mov_Item, $A841, Mov_Type, "Consumption", Mov_Date, "&gt;="&amp;$V$2, Mov_Date, "&lt;="&amp;$W$2))</f>
        <v>0</v>
      </c>
      <c r="M841">
        <f>IF($A841="","", SUMIFS(-Mov_Qty, Mov_Item, $A841, Mov_Type, "Consumption", Mov_Date, "&gt;="&amp;$X$2, Mov_Date, "&lt;="&amp;$Y$2))</f>
        <v>0</v>
      </c>
      <c r="N841">
        <f>IF($A841="","", SUMIFS(-Mov_Qty, Mov_Item, $A841, Mov_Type, "Consumption", Mov_Date, "&gt;="&amp;$Z$2, Mov_Date, "&lt;="&amp;$AA$2))</f>
        <v>0</v>
      </c>
      <c r="O841">
        <f>IFERROR(AVERAGE(L841:N841),"")</f>
        <v>0</v>
      </c>
      <c r="P841">
        <f>IF(O841&gt;=Cfg_HiMove, "Yes", "")</f>
        <v>0</v>
      </c>
      <c r="Q841">
        <f>IF($A841="","", $I841 + IFERROR(O841/30*$H841,0))</f>
        <v>0</v>
      </c>
      <c r="R841">
        <f>IF($A841="","", IF(J841&lt;=$F841, "Yes", ""))</f>
        <v>0</v>
      </c>
      <c r="S841">
        <f>IF(R841="Yes", CEILING(MAX($G841, Q841-J841), $G841), 0)</f>
        <v>0</v>
      </c>
      <c r="T841">
        <f>IFERROR(J841/(O841/30),"")</f>
        <v>0</v>
      </c>
    </row>
    <row r="842" spans="10:20">
      <c r="J842">
        <f>IF($A842="","", SUMIFS(Mov_Qty, Mov_Item, $A842))</f>
        <v>0</v>
      </c>
      <c r="K842">
        <f>IF($A842="","", J842 * $E842)</f>
        <v>0</v>
      </c>
      <c r="L842">
        <f>IF($A842="","", SUMIFS(-Mov_Qty, Mov_Item, $A842, Mov_Type, "Consumption", Mov_Date, "&gt;="&amp;$V$2, Mov_Date, "&lt;="&amp;$W$2))</f>
        <v>0</v>
      </c>
      <c r="M842">
        <f>IF($A842="","", SUMIFS(-Mov_Qty, Mov_Item, $A842, Mov_Type, "Consumption", Mov_Date, "&gt;="&amp;$X$2, Mov_Date, "&lt;="&amp;$Y$2))</f>
        <v>0</v>
      </c>
      <c r="N842">
        <f>IF($A842="","", SUMIFS(-Mov_Qty, Mov_Item, $A842, Mov_Type, "Consumption", Mov_Date, "&gt;="&amp;$Z$2, Mov_Date, "&lt;="&amp;$AA$2))</f>
        <v>0</v>
      </c>
      <c r="O842">
        <f>IFERROR(AVERAGE(L842:N842),"")</f>
        <v>0</v>
      </c>
      <c r="P842">
        <f>IF(O842&gt;=Cfg_HiMove, "Yes", "")</f>
        <v>0</v>
      </c>
      <c r="Q842">
        <f>IF($A842="","", $I842 + IFERROR(O842/30*$H842,0))</f>
        <v>0</v>
      </c>
      <c r="R842">
        <f>IF($A842="","", IF(J842&lt;=$F842, "Yes", ""))</f>
        <v>0</v>
      </c>
      <c r="S842">
        <f>IF(R842="Yes", CEILING(MAX($G842, Q842-J842), $G842), 0)</f>
        <v>0</v>
      </c>
      <c r="T842">
        <f>IFERROR(J842/(O842/30),"")</f>
        <v>0</v>
      </c>
    </row>
    <row r="843" spans="10:20">
      <c r="J843">
        <f>IF($A843="","", SUMIFS(Mov_Qty, Mov_Item, $A843))</f>
        <v>0</v>
      </c>
      <c r="K843">
        <f>IF($A843="","", J843 * $E843)</f>
        <v>0</v>
      </c>
      <c r="L843">
        <f>IF($A843="","", SUMIFS(-Mov_Qty, Mov_Item, $A843, Mov_Type, "Consumption", Mov_Date, "&gt;="&amp;$V$2, Mov_Date, "&lt;="&amp;$W$2))</f>
        <v>0</v>
      </c>
      <c r="M843">
        <f>IF($A843="","", SUMIFS(-Mov_Qty, Mov_Item, $A843, Mov_Type, "Consumption", Mov_Date, "&gt;="&amp;$X$2, Mov_Date, "&lt;="&amp;$Y$2))</f>
        <v>0</v>
      </c>
      <c r="N843">
        <f>IF($A843="","", SUMIFS(-Mov_Qty, Mov_Item, $A843, Mov_Type, "Consumption", Mov_Date, "&gt;="&amp;$Z$2, Mov_Date, "&lt;="&amp;$AA$2))</f>
        <v>0</v>
      </c>
      <c r="O843">
        <f>IFERROR(AVERAGE(L843:N843),"")</f>
        <v>0</v>
      </c>
      <c r="P843">
        <f>IF(O843&gt;=Cfg_HiMove, "Yes", "")</f>
        <v>0</v>
      </c>
      <c r="Q843">
        <f>IF($A843="","", $I843 + IFERROR(O843/30*$H843,0))</f>
        <v>0</v>
      </c>
      <c r="R843">
        <f>IF($A843="","", IF(J843&lt;=$F843, "Yes", ""))</f>
        <v>0</v>
      </c>
      <c r="S843">
        <f>IF(R843="Yes", CEILING(MAX($G843, Q843-J843), $G843), 0)</f>
        <v>0</v>
      </c>
      <c r="T843">
        <f>IFERROR(J843/(O843/30),"")</f>
        <v>0</v>
      </c>
    </row>
    <row r="844" spans="10:20">
      <c r="J844">
        <f>IF($A844="","", SUMIFS(Mov_Qty, Mov_Item, $A844))</f>
        <v>0</v>
      </c>
      <c r="K844">
        <f>IF($A844="","", J844 * $E844)</f>
        <v>0</v>
      </c>
      <c r="L844">
        <f>IF($A844="","", SUMIFS(-Mov_Qty, Mov_Item, $A844, Mov_Type, "Consumption", Mov_Date, "&gt;="&amp;$V$2, Mov_Date, "&lt;="&amp;$W$2))</f>
        <v>0</v>
      </c>
      <c r="M844">
        <f>IF($A844="","", SUMIFS(-Mov_Qty, Mov_Item, $A844, Mov_Type, "Consumption", Mov_Date, "&gt;="&amp;$X$2, Mov_Date, "&lt;="&amp;$Y$2))</f>
        <v>0</v>
      </c>
      <c r="N844">
        <f>IF($A844="","", SUMIFS(-Mov_Qty, Mov_Item, $A844, Mov_Type, "Consumption", Mov_Date, "&gt;="&amp;$Z$2, Mov_Date, "&lt;="&amp;$AA$2))</f>
        <v>0</v>
      </c>
      <c r="O844">
        <f>IFERROR(AVERAGE(L844:N844),"")</f>
        <v>0</v>
      </c>
      <c r="P844">
        <f>IF(O844&gt;=Cfg_HiMove, "Yes", "")</f>
        <v>0</v>
      </c>
      <c r="Q844">
        <f>IF($A844="","", $I844 + IFERROR(O844/30*$H844,0))</f>
        <v>0</v>
      </c>
      <c r="R844">
        <f>IF($A844="","", IF(J844&lt;=$F844, "Yes", ""))</f>
        <v>0</v>
      </c>
      <c r="S844">
        <f>IF(R844="Yes", CEILING(MAX($G844, Q844-J844), $G844), 0)</f>
        <v>0</v>
      </c>
      <c r="T844">
        <f>IFERROR(J844/(O844/30),"")</f>
        <v>0</v>
      </c>
    </row>
    <row r="845" spans="10:20">
      <c r="J845">
        <f>IF($A845="","", SUMIFS(Mov_Qty, Mov_Item, $A845))</f>
        <v>0</v>
      </c>
      <c r="K845">
        <f>IF($A845="","", J845 * $E845)</f>
        <v>0</v>
      </c>
      <c r="L845">
        <f>IF($A845="","", SUMIFS(-Mov_Qty, Mov_Item, $A845, Mov_Type, "Consumption", Mov_Date, "&gt;="&amp;$V$2, Mov_Date, "&lt;="&amp;$W$2))</f>
        <v>0</v>
      </c>
      <c r="M845">
        <f>IF($A845="","", SUMIFS(-Mov_Qty, Mov_Item, $A845, Mov_Type, "Consumption", Mov_Date, "&gt;="&amp;$X$2, Mov_Date, "&lt;="&amp;$Y$2))</f>
        <v>0</v>
      </c>
      <c r="N845">
        <f>IF($A845="","", SUMIFS(-Mov_Qty, Mov_Item, $A845, Mov_Type, "Consumption", Mov_Date, "&gt;="&amp;$Z$2, Mov_Date, "&lt;="&amp;$AA$2))</f>
        <v>0</v>
      </c>
      <c r="O845">
        <f>IFERROR(AVERAGE(L845:N845),"")</f>
        <v>0</v>
      </c>
      <c r="P845">
        <f>IF(O845&gt;=Cfg_HiMove, "Yes", "")</f>
        <v>0</v>
      </c>
      <c r="Q845">
        <f>IF($A845="","", $I845 + IFERROR(O845/30*$H845,0))</f>
        <v>0</v>
      </c>
      <c r="R845">
        <f>IF($A845="","", IF(J845&lt;=$F845, "Yes", ""))</f>
        <v>0</v>
      </c>
      <c r="S845">
        <f>IF(R845="Yes", CEILING(MAX($G845, Q845-J845), $G845), 0)</f>
        <v>0</v>
      </c>
      <c r="T845">
        <f>IFERROR(J845/(O845/30),"")</f>
        <v>0</v>
      </c>
    </row>
    <row r="846" spans="10:20">
      <c r="J846">
        <f>IF($A846="","", SUMIFS(Mov_Qty, Mov_Item, $A846))</f>
        <v>0</v>
      </c>
      <c r="K846">
        <f>IF($A846="","", J846 * $E846)</f>
        <v>0</v>
      </c>
      <c r="L846">
        <f>IF($A846="","", SUMIFS(-Mov_Qty, Mov_Item, $A846, Mov_Type, "Consumption", Mov_Date, "&gt;="&amp;$V$2, Mov_Date, "&lt;="&amp;$W$2))</f>
        <v>0</v>
      </c>
      <c r="M846">
        <f>IF($A846="","", SUMIFS(-Mov_Qty, Mov_Item, $A846, Mov_Type, "Consumption", Mov_Date, "&gt;="&amp;$X$2, Mov_Date, "&lt;="&amp;$Y$2))</f>
        <v>0</v>
      </c>
      <c r="N846">
        <f>IF($A846="","", SUMIFS(-Mov_Qty, Mov_Item, $A846, Mov_Type, "Consumption", Mov_Date, "&gt;="&amp;$Z$2, Mov_Date, "&lt;="&amp;$AA$2))</f>
        <v>0</v>
      </c>
      <c r="O846">
        <f>IFERROR(AVERAGE(L846:N846),"")</f>
        <v>0</v>
      </c>
      <c r="P846">
        <f>IF(O846&gt;=Cfg_HiMove, "Yes", "")</f>
        <v>0</v>
      </c>
      <c r="Q846">
        <f>IF($A846="","", $I846 + IFERROR(O846/30*$H846,0))</f>
        <v>0</v>
      </c>
      <c r="R846">
        <f>IF($A846="","", IF(J846&lt;=$F846, "Yes", ""))</f>
        <v>0</v>
      </c>
      <c r="S846">
        <f>IF(R846="Yes", CEILING(MAX($G846, Q846-J846), $G846), 0)</f>
        <v>0</v>
      </c>
      <c r="T846">
        <f>IFERROR(J846/(O846/30),"")</f>
        <v>0</v>
      </c>
    </row>
    <row r="847" spans="10:20">
      <c r="J847">
        <f>IF($A847="","", SUMIFS(Mov_Qty, Mov_Item, $A847))</f>
        <v>0</v>
      </c>
      <c r="K847">
        <f>IF($A847="","", J847 * $E847)</f>
        <v>0</v>
      </c>
      <c r="L847">
        <f>IF($A847="","", SUMIFS(-Mov_Qty, Mov_Item, $A847, Mov_Type, "Consumption", Mov_Date, "&gt;="&amp;$V$2, Mov_Date, "&lt;="&amp;$W$2))</f>
        <v>0</v>
      </c>
      <c r="M847">
        <f>IF($A847="","", SUMIFS(-Mov_Qty, Mov_Item, $A847, Mov_Type, "Consumption", Mov_Date, "&gt;="&amp;$X$2, Mov_Date, "&lt;="&amp;$Y$2))</f>
        <v>0</v>
      </c>
      <c r="N847">
        <f>IF($A847="","", SUMIFS(-Mov_Qty, Mov_Item, $A847, Mov_Type, "Consumption", Mov_Date, "&gt;="&amp;$Z$2, Mov_Date, "&lt;="&amp;$AA$2))</f>
        <v>0</v>
      </c>
      <c r="O847">
        <f>IFERROR(AVERAGE(L847:N847),"")</f>
        <v>0</v>
      </c>
      <c r="P847">
        <f>IF(O847&gt;=Cfg_HiMove, "Yes", "")</f>
        <v>0</v>
      </c>
      <c r="Q847">
        <f>IF($A847="","", $I847 + IFERROR(O847/30*$H847,0))</f>
        <v>0</v>
      </c>
      <c r="R847">
        <f>IF($A847="","", IF(J847&lt;=$F847, "Yes", ""))</f>
        <v>0</v>
      </c>
      <c r="S847">
        <f>IF(R847="Yes", CEILING(MAX($G847, Q847-J847), $G847), 0)</f>
        <v>0</v>
      </c>
      <c r="T847">
        <f>IFERROR(J847/(O847/30),"")</f>
        <v>0</v>
      </c>
    </row>
    <row r="848" spans="10:20">
      <c r="J848">
        <f>IF($A848="","", SUMIFS(Mov_Qty, Mov_Item, $A848))</f>
        <v>0</v>
      </c>
      <c r="K848">
        <f>IF($A848="","", J848 * $E848)</f>
        <v>0</v>
      </c>
      <c r="L848">
        <f>IF($A848="","", SUMIFS(-Mov_Qty, Mov_Item, $A848, Mov_Type, "Consumption", Mov_Date, "&gt;="&amp;$V$2, Mov_Date, "&lt;="&amp;$W$2))</f>
        <v>0</v>
      </c>
      <c r="M848">
        <f>IF($A848="","", SUMIFS(-Mov_Qty, Mov_Item, $A848, Mov_Type, "Consumption", Mov_Date, "&gt;="&amp;$X$2, Mov_Date, "&lt;="&amp;$Y$2))</f>
        <v>0</v>
      </c>
      <c r="N848">
        <f>IF($A848="","", SUMIFS(-Mov_Qty, Mov_Item, $A848, Mov_Type, "Consumption", Mov_Date, "&gt;="&amp;$Z$2, Mov_Date, "&lt;="&amp;$AA$2))</f>
        <v>0</v>
      </c>
      <c r="O848">
        <f>IFERROR(AVERAGE(L848:N848),"")</f>
        <v>0</v>
      </c>
      <c r="P848">
        <f>IF(O848&gt;=Cfg_HiMove, "Yes", "")</f>
        <v>0</v>
      </c>
      <c r="Q848">
        <f>IF($A848="","", $I848 + IFERROR(O848/30*$H848,0))</f>
        <v>0</v>
      </c>
      <c r="R848">
        <f>IF($A848="","", IF(J848&lt;=$F848, "Yes", ""))</f>
        <v>0</v>
      </c>
      <c r="S848">
        <f>IF(R848="Yes", CEILING(MAX($G848, Q848-J848), $G848), 0)</f>
        <v>0</v>
      </c>
      <c r="T848">
        <f>IFERROR(J848/(O848/30),"")</f>
        <v>0</v>
      </c>
    </row>
    <row r="849" spans="10:20">
      <c r="J849">
        <f>IF($A849="","", SUMIFS(Mov_Qty, Mov_Item, $A849))</f>
        <v>0</v>
      </c>
      <c r="K849">
        <f>IF($A849="","", J849 * $E849)</f>
        <v>0</v>
      </c>
      <c r="L849">
        <f>IF($A849="","", SUMIFS(-Mov_Qty, Mov_Item, $A849, Mov_Type, "Consumption", Mov_Date, "&gt;="&amp;$V$2, Mov_Date, "&lt;="&amp;$W$2))</f>
        <v>0</v>
      </c>
      <c r="M849">
        <f>IF($A849="","", SUMIFS(-Mov_Qty, Mov_Item, $A849, Mov_Type, "Consumption", Mov_Date, "&gt;="&amp;$X$2, Mov_Date, "&lt;="&amp;$Y$2))</f>
        <v>0</v>
      </c>
      <c r="N849">
        <f>IF($A849="","", SUMIFS(-Mov_Qty, Mov_Item, $A849, Mov_Type, "Consumption", Mov_Date, "&gt;="&amp;$Z$2, Mov_Date, "&lt;="&amp;$AA$2))</f>
        <v>0</v>
      </c>
      <c r="O849">
        <f>IFERROR(AVERAGE(L849:N849),"")</f>
        <v>0</v>
      </c>
      <c r="P849">
        <f>IF(O849&gt;=Cfg_HiMove, "Yes", "")</f>
        <v>0</v>
      </c>
      <c r="Q849">
        <f>IF($A849="","", $I849 + IFERROR(O849/30*$H849,0))</f>
        <v>0</v>
      </c>
      <c r="R849">
        <f>IF($A849="","", IF(J849&lt;=$F849, "Yes", ""))</f>
        <v>0</v>
      </c>
      <c r="S849">
        <f>IF(R849="Yes", CEILING(MAX($G849, Q849-J849), $G849), 0)</f>
        <v>0</v>
      </c>
      <c r="T849">
        <f>IFERROR(J849/(O849/30),"")</f>
        <v>0</v>
      </c>
    </row>
    <row r="850" spans="10:20">
      <c r="J850">
        <f>IF($A850="","", SUMIFS(Mov_Qty, Mov_Item, $A850))</f>
        <v>0</v>
      </c>
      <c r="K850">
        <f>IF($A850="","", J850 * $E850)</f>
        <v>0</v>
      </c>
      <c r="L850">
        <f>IF($A850="","", SUMIFS(-Mov_Qty, Mov_Item, $A850, Mov_Type, "Consumption", Mov_Date, "&gt;="&amp;$V$2, Mov_Date, "&lt;="&amp;$W$2))</f>
        <v>0</v>
      </c>
      <c r="M850">
        <f>IF($A850="","", SUMIFS(-Mov_Qty, Mov_Item, $A850, Mov_Type, "Consumption", Mov_Date, "&gt;="&amp;$X$2, Mov_Date, "&lt;="&amp;$Y$2))</f>
        <v>0</v>
      </c>
      <c r="N850">
        <f>IF($A850="","", SUMIFS(-Mov_Qty, Mov_Item, $A850, Mov_Type, "Consumption", Mov_Date, "&gt;="&amp;$Z$2, Mov_Date, "&lt;="&amp;$AA$2))</f>
        <v>0</v>
      </c>
      <c r="O850">
        <f>IFERROR(AVERAGE(L850:N850),"")</f>
        <v>0</v>
      </c>
      <c r="P850">
        <f>IF(O850&gt;=Cfg_HiMove, "Yes", "")</f>
        <v>0</v>
      </c>
      <c r="Q850">
        <f>IF($A850="","", $I850 + IFERROR(O850/30*$H850,0))</f>
        <v>0</v>
      </c>
      <c r="R850">
        <f>IF($A850="","", IF(J850&lt;=$F850, "Yes", ""))</f>
        <v>0</v>
      </c>
      <c r="S850">
        <f>IF(R850="Yes", CEILING(MAX($G850, Q850-J850), $G850), 0)</f>
        <v>0</v>
      </c>
      <c r="T850">
        <f>IFERROR(J850/(O850/30),"")</f>
        <v>0</v>
      </c>
    </row>
    <row r="851" spans="10:20">
      <c r="J851">
        <f>IF($A851="","", SUMIFS(Mov_Qty, Mov_Item, $A851))</f>
        <v>0</v>
      </c>
      <c r="K851">
        <f>IF($A851="","", J851 * $E851)</f>
        <v>0</v>
      </c>
      <c r="L851">
        <f>IF($A851="","", SUMIFS(-Mov_Qty, Mov_Item, $A851, Mov_Type, "Consumption", Mov_Date, "&gt;="&amp;$V$2, Mov_Date, "&lt;="&amp;$W$2))</f>
        <v>0</v>
      </c>
      <c r="M851">
        <f>IF($A851="","", SUMIFS(-Mov_Qty, Mov_Item, $A851, Mov_Type, "Consumption", Mov_Date, "&gt;="&amp;$X$2, Mov_Date, "&lt;="&amp;$Y$2))</f>
        <v>0</v>
      </c>
      <c r="N851">
        <f>IF($A851="","", SUMIFS(-Mov_Qty, Mov_Item, $A851, Mov_Type, "Consumption", Mov_Date, "&gt;="&amp;$Z$2, Mov_Date, "&lt;="&amp;$AA$2))</f>
        <v>0</v>
      </c>
      <c r="O851">
        <f>IFERROR(AVERAGE(L851:N851),"")</f>
        <v>0</v>
      </c>
      <c r="P851">
        <f>IF(O851&gt;=Cfg_HiMove, "Yes", "")</f>
        <v>0</v>
      </c>
      <c r="Q851">
        <f>IF($A851="","", $I851 + IFERROR(O851/30*$H851,0))</f>
        <v>0</v>
      </c>
      <c r="R851">
        <f>IF($A851="","", IF(J851&lt;=$F851, "Yes", ""))</f>
        <v>0</v>
      </c>
      <c r="S851">
        <f>IF(R851="Yes", CEILING(MAX($G851, Q851-J851), $G851), 0)</f>
        <v>0</v>
      </c>
      <c r="T851">
        <f>IFERROR(J851/(O851/30),"")</f>
        <v>0</v>
      </c>
    </row>
    <row r="852" spans="10:20">
      <c r="J852">
        <f>IF($A852="","", SUMIFS(Mov_Qty, Mov_Item, $A852))</f>
        <v>0</v>
      </c>
      <c r="K852">
        <f>IF($A852="","", J852 * $E852)</f>
        <v>0</v>
      </c>
      <c r="L852">
        <f>IF($A852="","", SUMIFS(-Mov_Qty, Mov_Item, $A852, Mov_Type, "Consumption", Mov_Date, "&gt;="&amp;$V$2, Mov_Date, "&lt;="&amp;$W$2))</f>
        <v>0</v>
      </c>
      <c r="M852">
        <f>IF($A852="","", SUMIFS(-Mov_Qty, Mov_Item, $A852, Mov_Type, "Consumption", Mov_Date, "&gt;="&amp;$X$2, Mov_Date, "&lt;="&amp;$Y$2))</f>
        <v>0</v>
      </c>
      <c r="N852">
        <f>IF($A852="","", SUMIFS(-Mov_Qty, Mov_Item, $A852, Mov_Type, "Consumption", Mov_Date, "&gt;="&amp;$Z$2, Mov_Date, "&lt;="&amp;$AA$2))</f>
        <v>0</v>
      </c>
      <c r="O852">
        <f>IFERROR(AVERAGE(L852:N852),"")</f>
        <v>0</v>
      </c>
      <c r="P852">
        <f>IF(O852&gt;=Cfg_HiMove, "Yes", "")</f>
        <v>0</v>
      </c>
      <c r="Q852">
        <f>IF($A852="","", $I852 + IFERROR(O852/30*$H852,0))</f>
        <v>0</v>
      </c>
      <c r="R852">
        <f>IF($A852="","", IF(J852&lt;=$F852, "Yes", ""))</f>
        <v>0</v>
      </c>
      <c r="S852">
        <f>IF(R852="Yes", CEILING(MAX($G852, Q852-J852), $G852), 0)</f>
        <v>0</v>
      </c>
      <c r="T852">
        <f>IFERROR(J852/(O852/30),"")</f>
        <v>0</v>
      </c>
    </row>
    <row r="853" spans="10:20">
      <c r="J853">
        <f>IF($A853="","", SUMIFS(Mov_Qty, Mov_Item, $A853))</f>
        <v>0</v>
      </c>
      <c r="K853">
        <f>IF($A853="","", J853 * $E853)</f>
        <v>0</v>
      </c>
      <c r="L853">
        <f>IF($A853="","", SUMIFS(-Mov_Qty, Mov_Item, $A853, Mov_Type, "Consumption", Mov_Date, "&gt;="&amp;$V$2, Mov_Date, "&lt;="&amp;$W$2))</f>
        <v>0</v>
      </c>
      <c r="M853">
        <f>IF($A853="","", SUMIFS(-Mov_Qty, Mov_Item, $A853, Mov_Type, "Consumption", Mov_Date, "&gt;="&amp;$X$2, Mov_Date, "&lt;="&amp;$Y$2))</f>
        <v>0</v>
      </c>
      <c r="N853">
        <f>IF($A853="","", SUMIFS(-Mov_Qty, Mov_Item, $A853, Mov_Type, "Consumption", Mov_Date, "&gt;="&amp;$Z$2, Mov_Date, "&lt;="&amp;$AA$2))</f>
        <v>0</v>
      </c>
      <c r="O853">
        <f>IFERROR(AVERAGE(L853:N853),"")</f>
        <v>0</v>
      </c>
      <c r="P853">
        <f>IF(O853&gt;=Cfg_HiMove, "Yes", "")</f>
        <v>0</v>
      </c>
      <c r="Q853">
        <f>IF($A853="","", $I853 + IFERROR(O853/30*$H853,0))</f>
        <v>0</v>
      </c>
      <c r="R853">
        <f>IF($A853="","", IF(J853&lt;=$F853, "Yes", ""))</f>
        <v>0</v>
      </c>
      <c r="S853">
        <f>IF(R853="Yes", CEILING(MAX($G853, Q853-J853), $G853), 0)</f>
        <v>0</v>
      </c>
      <c r="T853">
        <f>IFERROR(J853/(O853/30),"")</f>
        <v>0</v>
      </c>
    </row>
    <row r="854" spans="10:20">
      <c r="J854">
        <f>IF($A854="","", SUMIFS(Mov_Qty, Mov_Item, $A854))</f>
        <v>0</v>
      </c>
      <c r="K854">
        <f>IF($A854="","", J854 * $E854)</f>
        <v>0</v>
      </c>
      <c r="L854">
        <f>IF($A854="","", SUMIFS(-Mov_Qty, Mov_Item, $A854, Mov_Type, "Consumption", Mov_Date, "&gt;="&amp;$V$2, Mov_Date, "&lt;="&amp;$W$2))</f>
        <v>0</v>
      </c>
      <c r="M854">
        <f>IF($A854="","", SUMIFS(-Mov_Qty, Mov_Item, $A854, Mov_Type, "Consumption", Mov_Date, "&gt;="&amp;$X$2, Mov_Date, "&lt;="&amp;$Y$2))</f>
        <v>0</v>
      </c>
      <c r="N854">
        <f>IF($A854="","", SUMIFS(-Mov_Qty, Mov_Item, $A854, Mov_Type, "Consumption", Mov_Date, "&gt;="&amp;$Z$2, Mov_Date, "&lt;="&amp;$AA$2))</f>
        <v>0</v>
      </c>
      <c r="O854">
        <f>IFERROR(AVERAGE(L854:N854),"")</f>
        <v>0</v>
      </c>
      <c r="P854">
        <f>IF(O854&gt;=Cfg_HiMove, "Yes", "")</f>
        <v>0</v>
      </c>
      <c r="Q854">
        <f>IF($A854="","", $I854 + IFERROR(O854/30*$H854,0))</f>
        <v>0</v>
      </c>
      <c r="R854">
        <f>IF($A854="","", IF(J854&lt;=$F854, "Yes", ""))</f>
        <v>0</v>
      </c>
      <c r="S854">
        <f>IF(R854="Yes", CEILING(MAX($G854, Q854-J854), $G854), 0)</f>
        <v>0</v>
      </c>
      <c r="T854">
        <f>IFERROR(J854/(O854/30),"")</f>
        <v>0</v>
      </c>
    </row>
    <row r="855" spans="10:20">
      <c r="J855">
        <f>IF($A855="","", SUMIFS(Mov_Qty, Mov_Item, $A855))</f>
        <v>0</v>
      </c>
      <c r="K855">
        <f>IF($A855="","", J855 * $E855)</f>
        <v>0</v>
      </c>
      <c r="L855">
        <f>IF($A855="","", SUMIFS(-Mov_Qty, Mov_Item, $A855, Mov_Type, "Consumption", Mov_Date, "&gt;="&amp;$V$2, Mov_Date, "&lt;="&amp;$W$2))</f>
        <v>0</v>
      </c>
      <c r="M855">
        <f>IF($A855="","", SUMIFS(-Mov_Qty, Mov_Item, $A855, Mov_Type, "Consumption", Mov_Date, "&gt;="&amp;$X$2, Mov_Date, "&lt;="&amp;$Y$2))</f>
        <v>0</v>
      </c>
      <c r="N855">
        <f>IF($A855="","", SUMIFS(-Mov_Qty, Mov_Item, $A855, Mov_Type, "Consumption", Mov_Date, "&gt;="&amp;$Z$2, Mov_Date, "&lt;="&amp;$AA$2))</f>
        <v>0</v>
      </c>
      <c r="O855">
        <f>IFERROR(AVERAGE(L855:N855),"")</f>
        <v>0</v>
      </c>
      <c r="P855">
        <f>IF(O855&gt;=Cfg_HiMove, "Yes", "")</f>
        <v>0</v>
      </c>
      <c r="Q855">
        <f>IF($A855="","", $I855 + IFERROR(O855/30*$H855,0))</f>
        <v>0</v>
      </c>
      <c r="R855">
        <f>IF($A855="","", IF(J855&lt;=$F855, "Yes", ""))</f>
        <v>0</v>
      </c>
      <c r="S855">
        <f>IF(R855="Yes", CEILING(MAX($G855, Q855-J855), $G855), 0)</f>
        <v>0</v>
      </c>
      <c r="T855">
        <f>IFERROR(J855/(O855/30),"")</f>
        <v>0</v>
      </c>
    </row>
    <row r="856" spans="10:20">
      <c r="J856">
        <f>IF($A856="","", SUMIFS(Mov_Qty, Mov_Item, $A856))</f>
        <v>0</v>
      </c>
      <c r="K856">
        <f>IF($A856="","", J856 * $E856)</f>
        <v>0</v>
      </c>
      <c r="L856">
        <f>IF($A856="","", SUMIFS(-Mov_Qty, Mov_Item, $A856, Mov_Type, "Consumption", Mov_Date, "&gt;="&amp;$V$2, Mov_Date, "&lt;="&amp;$W$2))</f>
        <v>0</v>
      </c>
      <c r="M856">
        <f>IF($A856="","", SUMIFS(-Mov_Qty, Mov_Item, $A856, Mov_Type, "Consumption", Mov_Date, "&gt;="&amp;$X$2, Mov_Date, "&lt;="&amp;$Y$2))</f>
        <v>0</v>
      </c>
      <c r="N856">
        <f>IF($A856="","", SUMIFS(-Mov_Qty, Mov_Item, $A856, Mov_Type, "Consumption", Mov_Date, "&gt;="&amp;$Z$2, Mov_Date, "&lt;="&amp;$AA$2))</f>
        <v>0</v>
      </c>
      <c r="O856">
        <f>IFERROR(AVERAGE(L856:N856),"")</f>
        <v>0</v>
      </c>
      <c r="P856">
        <f>IF(O856&gt;=Cfg_HiMove, "Yes", "")</f>
        <v>0</v>
      </c>
      <c r="Q856">
        <f>IF($A856="","", $I856 + IFERROR(O856/30*$H856,0))</f>
        <v>0</v>
      </c>
      <c r="R856">
        <f>IF($A856="","", IF(J856&lt;=$F856, "Yes", ""))</f>
        <v>0</v>
      </c>
      <c r="S856">
        <f>IF(R856="Yes", CEILING(MAX($G856, Q856-J856), $G856), 0)</f>
        <v>0</v>
      </c>
      <c r="T856">
        <f>IFERROR(J856/(O856/30),"")</f>
        <v>0</v>
      </c>
    </row>
    <row r="857" spans="10:20">
      <c r="J857">
        <f>IF($A857="","", SUMIFS(Mov_Qty, Mov_Item, $A857))</f>
        <v>0</v>
      </c>
      <c r="K857">
        <f>IF($A857="","", J857 * $E857)</f>
        <v>0</v>
      </c>
      <c r="L857">
        <f>IF($A857="","", SUMIFS(-Mov_Qty, Mov_Item, $A857, Mov_Type, "Consumption", Mov_Date, "&gt;="&amp;$V$2, Mov_Date, "&lt;="&amp;$W$2))</f>
        <v>0</v>
      </c>
      <c r="M857">
        <f>IF($A857="","", SUMIFS(-Mov_Qty, Mov_Item, $A857, Mov_Type, "Consumption", Mov_Date, "&gt;="&amp;$X$2, Mov_Date, "&lt;="&amp;$Y$2))</f>
        <v>0</v>
      </c>
      <c r="N857">
        <f>IF($A857="","", SUMIFS(-Mov_Qty, Mov_Item, $A857, Mov_Type, "Consumption", Mov_Date, "&gt;="&amp;$Z$2, Mov_Date, "&lt;="&amp;$AA$2))</f>
        <v>0</v>
      </c>
      <c r="O857">
        <f>IFERROR(AVERAGE(L857:N857),"")</f>
        <v>0</v>
      </c>
      <c r="P857">
        <f>IF(O857&gt;=Cfg_HiMove, "Yes", "")</f>
        <v>0</v>
      </c>
      <c r="Q857">
        <f>IF($A857="","", $I857 + IFERROR(O857/30*$H857,0))</f>
        <v>0</v>
      </c>
      <c r="R857">
        <f>IF($A857="","", IF(J857&lt;=$F857, "Yes", ""))</f>
        <v>0</v>
      </c>
      <c r="S857">
        <f>IF(R857="Yes", CEILING(MAX($G857, Q857-J857), $G857), 0)</f>
        <v>0</v>
      </c>
      <c r="T857">
        <f>IFERROR(J857/(O857/30),"")</f>
        <v>0</v>
      </c>
    </row>
    <row r="858" spans="10:20">
      <c r="J858">
        <f>IF($A858="","", SUMIFS(Mov_Qty, Mov_Item, $A858))</f>
        <v>0</v>
      </c>
      <c r="K858">
        <f>IF($A858="","", J858 * $E858)</f>
        <v>0</v>
      </c>
      <c r="L858">
        <f>IF($A858="","", SUMIFS(-Mov_Qty, Mov_Item, $A858, Mov_Type, "Consumption", Mov_Date, "&gt;="&amp;$V$2, Mov_Date, "&lt;="&amp;$W$2))</f>
        <v>0</v>
      </c>
      <c r="M858">
        <f>IF($A858="","", SUMIFS(-Mov_Qty, Mov_Item, $A858, Mov_Type, "Consumption", Mov_Date, "&gt;="&amp;$X$2, Mov_Date, "&lt;="&amp;$Y$2))</f>
        <v>0</v>
      </c>
      <c r="N858">
        <f>IF($A858="","", SUMIFS(-Mov_Qty, Mov_Item, $A858, Mov_Type, "Consumption", Mov_Date, "&gt;="&amp;$Z$2, Mov_Date, "&lt;="&amp;$AA$2))</f>
        <v>0</v>
      </c>
      <c r="O858">
        <f>IFERROR(AVERAGE(L858:N858),"")</f>
        <v>0</v>
      </c>
      <c r="P858">
        <f>IF(O858&gt;=Cfg_HiMove, "Yes", "")</f>
        <v>0</v>
      </c>
      <c r="Q858">
        <f>IF($A858="","", $I858 + IFERROR(O858/30*$H858,0))</f>
        <v>0</v>
      </c>
      <c r="R858">
        <f>IF($A858="","", IF(J858&lt;=$F858, "Yes", ""))</f>
        <v>0</v>
      </c>
      <c r="S858">
        <f>IF(R858="Yes", CEILING(MAX($G858, Q858-J858), $G858), 0)</f>
        <v>0</v>
      </c>
      <c r="T858">
        <f>IFERROR(J858/(O858/30),"")</f>
        <v>0</v>
      </c>
    </row>
    <row r="859" spans="10:20">
      <c r="J859">
        <f>IF($A859="","", SUMIFS(Mov_Qty, Mov_Item, $A859))</f>
        <v>0</v>
      </c>
      <c r="K859">
        <f>IF($A859="","", J859 * $E859)</f>
        <v>0</v>
      </c>
      <c r="L859">
        <f>IF($A859="","", SUMIFS(-Mov_Qty, Mov_Item, $A859, Mov_Type, "Consumption", Mov_Date, "&gt;="&amp;$V$2, Mov_Date, "&lt;="&amp;$W$2))</f>
        <v>0</v>
      </c>
      <c r="M859">
        <f>IF($A859="","", SUMIFS(-Mov_Qty, Mov_Item, $A859, Mov_Type, "Consumption", Mov_Date, "&gt;="&amp;$X$2, Mov_Date, "&lt;="&amp;$Y$2))</f>
        <v>0</v>
      </c>
      <c r="N859">
        <f>IF($A859="","", SUMIFS(-Mov_Qty, Mov_Item, $A859, Mov_Type, "Consumption", Mov_Date, "&gt;="&amp;$Z$2, Mov_Date, "&lt;="&amp;$AA$2))</f>
        <v>0</v>
      </c>
      <c r="O859">
        <f>IFERROR(AVERAGE(L859:N859),"")</f>
        <v>0</v>
      </c>
      <c r="P859">
        <f>IF(O859&gt;=Cfg_HiMove, "Yes", "")</f>
        <v>0</v>
      </c>
      <c r="Q859">
        <f>IF($A859="","", $I859 + IFERROR(O859/30*$H859,0))</f>
        <v>0</v>
      </c>
      <c r="R859">
        <f>IF($A859="","", IF(J859&lt;=$F859, "Yes", ""))</f>
        <v>0</v>
      </c>
      <c r="S859">
        <f>IF(R859="Yes", CEILING(MAX($G859, Q859-J859), $G859), 0)</f>
        <v>0</v>
      </c>
      <c r="T859">
        <f>IFERROR(J859/(O859/30),"")</f>
        <v>0</v>
      </c>
    </row>
    <row r="860" spans="10:20">
      <c r="J860">
        <f>IF($A860="","", SUMIFS(Mov_Qty, Mov_Item, $A860))</f>
        <v>0</v>
      </c>
      <c r="K860">
        <f>IF($A860="","", J860 * $E860)</f>
        <v>0</v>
      </c>
      <c r="L860">
        <f>IF($A860="","", SUMIFS(-Mov_Qty, Mov_Item, $A860, Mov_Type, "Consumption", Mov_Date, "&gt;="&amp;$V$2, Mov_Date, "&lt;="&amp;$W$2))</f>
        <v>0</v>
      </c>
      <c r="M860">
        <f>IF($A860="","", SUMIFS(-Mov_Qty, Mov_Item, $A860, Mov_Type, "Consumption", Mov_Date, "&gt;="&amp;$X$2, Mov_Date, "&lt;="&amp;$Y$2))</f>
        <v>0</v>
      </c>
      <c r="N860">
        <f>IF($A860="","", SUMIFS(-Mov_Qty, Mov_Item, $A860, Mov_Type, "Consumption", Mov_Date, "&gt;="&amp;$Z$2, Mov_Date, "&lt;="&amp;$AA$2))</f>
        <v>0</v>
      </c>
      <c r="O860">
        <f>IFERROR(AVERAGE(L860:N860),"")</f>
        <v>0</v>
      </c>
      <c r="P860">
        <f>IF(O860&gt;=Cfg_HiMove, "Yes", "")</f>
        <v>0</v>
      </c>
      <c r="Q860">
        <f>IF($A860="","", $I860 + IFERROR(O860/30*$H860,0))</f>
        <v>0</v>
      </c>
      <c r="R860">
        <f>IF($A860="","", IF(J860&lt;=$F860, "Yes", ""))</f>
        <v>0</v>
      </c>
      <c r="S860">
        <f>IF(R860="Yes", CEILING(MAX($G860, Q860-J860), $G860), 0)</f>
        <v>0</v>
      </c>
      <c r="T860">
        <f>IFERROR(J860/(O860/30),"")</f>
        <v>0</v>
      </c>
    </row>
    <row r="861" spans="10:20">
      <c r="J861">
        <f>IF($A861="","", SUMIFS(Mov_Qty, Mov_Item, $A861))</f>
        <v>0</v>
      </c>
      <c r="K861">
        <f>IF($A861="","", J861 * $E861)</f>
        <v>0</v>
      </c>
      <c r="L861">
        <f>IF($A861="","", SUMIFS(-Mov_Qty, Mov_Item, $A861, Mov_Type, "Consumption", Mov_Date, "&gt;="&amp;$V$2, Mov_Date, "&lt;="&amp;$W$2))</f>
        <v>0</v>
      </c>
      <c r="M861">
        <f>IF($A861="","", SUMIFS(-Mov_Qty, Mov_Item, $A861, Mov_Type, "Consumption", Mov_Date, "&gt;="&amp;$X$2, Mov_Date, "&lt;="&amp;$Y$2))</f>
        <v>0</v>
      </c>
      <c r="N861">
        <f>IF($A861="","", SUMIFS(-Mov_Qty, Mov_Item, $A861, Mov_Type, "Consumption", Mov_Date, "&gt;="&amp;$Z$2, Mov_Date, "&lt;="&amp;$AA$2))</f>
        <v>0</v>
      </c>
      <c r="O861">
        <f>IFERROR(AVERAGE(L861:N861),"")</f>
        <v>0</v>
      </c>
      <c r="P861">
        <f>IF(O861&gt;=Cfg_HiMove, "Yes", "")</f>
        <v>0</v>
      </c>
      <c r="Q861">
        <f>IF($A861="","", $I861 + IFERROR(O861/30*$H861,0))</f>
        <v>0</v>
      </c>
      <c r="R861">
        <f>IF($A861="","", IF(J861&lt;=$F861, "Yes", ""))</f>
        <v>0</v>
      </c>
      <c r="S861">
        <f>IF(R861="Yes", CEILING(MAX($G861, Q861-J861), $G861), 0)</f>
        <v>0</v>
      </c>
      <c r="T861">
        <f>IFERROR(J861/(O861/30),"")</f>
        <v>0</v>
      </c>
    </row>
    <row r="862" spans="10:20">
      <c r="J862">
        <f>IF($A862="","", SUMIFS(Mov_Qty, Mov_Item, $A862))</f>
        <v>0</v>
      </c>
      <c r="K862">
        <f>IF($A862="","", J862 * $E862)</f>
        <v>0</v>
      </c>
      <c r="L862">
        <f>IF($A862="","", SUMIFS(-Mov_Qty, Mov_Item, $A862, Mov_Type, "Consumption", Mov_Date, "&gt;="&amp;$V$2, Mov_Date, "&lt;="&amp;$W$2))</f>
        <v>0</v>
      </c>
      <c r="M862">
        <f>IF($A862="","", SUMIFS(-Mov_Qty, Mov_Item, $A862, Mov_Type, "Consumption", Mov_Date, "&gt;="&amp;$X$2, Mov_Date, "&lt;="&amp;$Y$2))</f>
        <v>0</v>
      </c>
      <c r="N862">
        <f>IF($A862="","", SUMIFS(-Mov_Qty, Mov_Item, $A862, Mov_Type, "Consumption", Mov_Date, "&gt;="&amp;$Z$2, Mov_Date, "&lt;="&amp;$AA$2))</f>
        <v>0</v>
      </c>
      <c r="O862">
        <f>IFERROR(AVERAGE(L862:N862),"")</f>
        <v>0</v>
      </c>
      <c r="P862">
        <f>IF(O862&gt;=Cfg_HiMove, "Yes", "")</f>
        <v>0</v>
      </c>
      <c r="Q862">
        <f>IF($A862="","", $I862 + IFERROR(O862/30*$H862,0))</f>
        <v>0</v>
      </c>
      <c r="R862">
        <f>IF($A862="","", IF(J862&lt;=$F862, "Yes", ""))</f>
        <v>0</v>
      </c>
      <c r="S862">
        <f>IF(R862="Yes", CEILING(MAX($G862, Q862-J862), $G862), 0)</f>
        <v>0</v>
      </c>
      <c r="T862">
        <f>IFERROR(J862/(O862/30),"")</f>
        <v>0</v>
      </c>
    </row>
    <row r="863" spans="10:20">
      <c r="J863">
        <f>IF($A863="","", SUMIFS(Mov_Qty, Mov_Item, $A863))</f>
        <v>0</v>
      </c>
      <c r="K863">
        <f>IF($A863="","", J863 * $E863)</f>
        <v>0</v>
      </c>
      <c r="L863">
        <f>IF($A863="","", SUMIFS(-Mov_Qty, Mov_Item, $A863, Mov_Type, "Consumption", Mov_Date, "&gt;="&amp;$V$2, Mov_Date, "&lt;="&amp;$W$2))</f>
        <v>0</v>
      </c>
      <c r="M863">
        <f>IF($A863="","", SUMIFS(-Mov_Qty, Mov_Item, $A863, Mov_Type, "Consumption", Mov_Date, "&gt;="&amp;$X$2, Mov_Date, "&lt;="&amp;$Y$2))</f>
        <v>0</v>
      </c>
      <c r="N863">
        <f>IF($A863="","", SUMIFS(-Mov_Qty, Mov_Item, $A863, Mov_Type, "Consumption", Mov_Date, "&gt;="&amp;$Z$2, Mov_Date, "&lt;="&amp;$AA$2))</f>
        <v>0</v>
      </c>
      <c r="O863">
        <f>IFERROR(AVERAGE(L863:N863),"")</f>
        <v>0</v>
      </c>
      <c r="P863">
        <f>IF(O863&gt;=Cfg_HiMove, "Yes", "")</f>
        <v>0</v>
      </c>
      <c r="Q863">
        <f>IF($A863="","", $I863 + IFERROR(O863/30*$H863,0))</f>
        <v>0</v>
      </c>
      <c r="R863">
        <f>IF($A863="","", IF(J863&lt;=$F863, "Yes", ""))</f>
        <v>0</v>
      </c>
      <c r="S863">
        <f>IF(R863="Yes", CEILING(MAX($G863, Q863-J863), $G863), 0)</f>
        <v>0</v>
      </c>
      <c r="T863">
        <f>IFERROR(J863/(O863/30),"")</f>
        <v>0</v>
      </c>
    </row>
    <row r="864" spans="10:20">
      <c r="J864">
        <f>IF($A864="","", SUMIFS(Mov_Qty, Mov_Item, $A864))</f>
        <v>0</v>
      </c>
      <c r="K864">
        <f>IF($A864="","", J864 * $E864)</f>
        <v>0</v>
      </c>
      <c r="L864">
        <f>IF($A864="","", SUMIFS(-Mov_Qty, Mov_Item, $A864, Mov_Type, "Consumption", Mov_Date, "&gt;="&amp;$V$2, Mov_Date, "&lt;="&amp;$W$2))</f>
        <v>0</v>
      </c>
      <c r="M864">
        <f>IF($A864="","", SUMIFS(-Mov_Qty, Mov_Item, $A864, Mov_Type, "Consumption", Mov_Date, "&gt;="&amp;$X$2, Mov_Date, "&lt;="&amp;$Y$2))</f>
        <v>0</v>
      </c>
      <c r="N864">
        <f>IF($A864="","", SUMIFS(-Mov_Qty, Mov_Item, $A864, Mov_Type, "Consumption", Mov_Date, "&gt;="&amp;$Z$2, Mov_Date, "&lt;="&amp;$AA$2))</f>
        <v>0</v>
      </c>
      <c r="O864">
        <f>IFERROR(AVERAGE(L864:N864),"")</f>
        <v>0</v>
      </c>
      <c r="P864">
        <f>IF(O864&gt;=Cfg_HiMove, "Yes", "")</f>
        <v>0</v>
      </c>
      <c r="Q864">
        <f>IF($A864="","", $I864 + IFERROR(O864/30*$H864,0))</f>
        <v>0</v>
      </c>
      <c r="R864">
        <f>IF($A864="","", IF(J864&lt;=$F864, "Yes", ""))</f>
        <v>0</v>
      </c>
      <c r="S864">
        <f>IF(R864="Yes", CEILING(MAX($G864, Q864-J864), $G864), 0)</f>
        <v>0</v>
      </c>
      <c r="T864">
        <f>IFERROR(J864/(O864/30),"")</f>
        <v>0</v>
      </c>
    </row>
    <row r="865" spans="10:20">
      <c r="J865">
        <f>IF($A865="","", SUMIFS(Mov_Qty, Mov_Item, $A865))</f>
        <v>0</v>
      </c>
      <c r="K865">
        <f>IF($A865="","", J865 * $E865)</f>
        <v>0</v>
      </c>
      <c r="L865">
        <f>IF($A865="","", SUMIFS(-Mov_Qty, Mov_Item, $A865, Mov_Type, "Consumption", Mov_Date, "&gt;="&amp;$V$2, Mov_Date, "&lt;="&amp;$W$2))</f>
        <v>0</v>
      </c>
      <c r="M865">
        <f>IF($A865="","", SUMIFS(-Mov_Qty, Mov_Item, $A865, Mov_Type, "Consumption", Mov_Date, "&gt;="&amp;$X$2, Mov_Date, "&lt;="&amp;$Y$2))</f>
        <v>0</v>
      </c>
      <c r="N865">
        <f>IF($A865="","", SUMIFS(-Mov_Qty, Mov_Item, $A865, Mov_Type, "Consumption", Mov_Date, "&gt;="&amp;$Z$2, Mov_Date, "&lt;="&amp;$AA$2))</f>
        <v>0</v>
      </c>
      <c r="O865">
        <f>IFERROR(AVERAGE(L865:N865),"")</f>
        <v>0</v>
      </c>
      <c r="P865">
        <f>IF(O865&gt;=Cfg_HiMove, "Yes", "")</f>
        <v>0</v>
      </c>
      <c r="Q865">
        <f>IF($A865="","", $I865 + IFERROR(O865/30*$H865,0))</f>
        <v>0</v>
      </c>
      <c r="R865">
        <f>IF($A865="","", IF(J865&lt;=$F865, "Yes", ""))</f>
        <v>0</v>
      </c>
      <c r="S865">
        <f>IF(R865="Yes", CEILING(MAX($G865, Q865-J865), $G865), 0)</f>
        <v>0</v>
      </c>
      <c r="T865">
        <f>IFERROR(J865/(O865/30),"")</f>
        <v>0</v>
      </c>
    </row>
    <row r="866" spans="10:20">
      <c r="J866">
        <f>IF($A866="","", SUMIFS(Mov_Qty, Mov_Item, $A866))</f>
        <v>0</v>
      </c>
      <c r="K866">
        <f>IF($A866="","", J866 * $E866)</f>
        <v>0</v>
      </c>
      <c r="L866">
        <f>IF($A866="","", SUMIFS(-Mov_Qty, Mov_Item, $A866, Mov_Type, "Consumption", Mov_Date, "&gt;="&amp;$V$2, Mov_Date, "&lt;="&amp;$W$2))</f>
        <v>0</v>
      </c>
      <c r="M866">
        <f>IF($A866="","", SUMIFS(-Mov_Qty, Mov_Item, $A866, Mov_Type, "Consumption", Mov_Date, "&gt;="&amp;$X$2, Mov_Date, "&lt;="&amp;$Y$2))</f>
        <v>0</v>
      </c>
      <c r="N866">
        <f>IF($A866="","", SUMIFS(-Mov_Qty, Mov_Item, $A866, Mov_Type, "Consumption", Mov_Date, "&gt;="&amp;$Z$2, Mov_Date, "&lt;="&amp;$AA$2))</f>
        <v>0</v>
      </c>
      <c r="O866">
        <f>IFERROR(AVERAGE(L866:N866),"")</f>
        <v>0</v>
      </c>
      <c r="P866">
        <f>IF(O866&gt;=Cfg_HiMove, "Yes", "")</f>
        <v>0</v>
      </c>
      <c r="Q866">
        <f>IF($A866="","", $I866 + IFERROR(O866/30*$H866,0))</f>
        <v>0</v>
      </c>
      <c r="R866">
        <f>IF($A866="","", IF(J866&lt;=$F866, "Yes", ""))</f>
        <v>0</v>
      </c>
      <c r="S866">
        <f>IF(R866="Yes", CEILING(MAX($G866, Q866-J866), $G866), 0)</f>
        <v>0</v>
      </c>
      <c r="T866">
        <f>IFERROR(J866/(O866/30),"")</f>
        <v>0</v>
      </c>
    </row>
    <row r="867" spans="10:20">
      <c r="J867">
        <f>IF($A867="","", SUMIFS(Mov_Qty, Mov_Item, $A867))</f>
        <v>0</v>
      </c>
      <c r="K867">
        <f>IF($A867="","", J867 * $E867)</f>
        <v>0</v>
      </c>
      <c r="L867">
        <f>IF($A867="","", SUMIFS(-Mov_Qty, Mov_Item, $A867, Mov_Type, "Consumption", Mov_Date, "&gt;="&amp;$V$2, Mov_Date, "&lt;="&amp;$W$2))</f>
        <v>0</v>
      </c>
      <c r="M867">
        <f>IF($A867="","", SUMIFS(-Mov_Qty, Mov_Item, $A867, Mov_Type, "Consumption", Mov_Date, "&gt;="&amp;$X$2, Mov_Date, "&lt;="&amp;$Y$2))</f>
        <v>0</v>
      </c>
      <c r="N867">
        <f>IF($A867="","", SUMIFS(-Mov_Qty, Mov_Item, $A867, Mov_Type, "Consumption", Mov_Date, "&gt;="&amp;$Z$2, Mov_Date, "&lt;="&amp;$AA$2))</f>
        <v>0</v>
      </c>
      <c r="O867">
        <f>IFERROR(AVERAGE(L867:N867),"")</f>
        <v>0</v>
      </c>
      <c r="P867">
        <f>IF(O867&gt;=Cfg_HiMove, "Yes", "")</f>
        <v>0</v>
      </c>
      <c r="Q867">
        <f>IF($A867="","", $I867 + IFERROR(O867/30*$H867,0))</f>
        <v>0</v>
      </c>
      <c r="R867">
        <f>IF($A867="","", IF(J867&lt;=$F867, "Yes", ""))</f>
        <v>0</v>
      </c>
      <c r="S867">
        <f>IF(R867="Yes", CEILING(MAX($G867, Q867-J867), $G867), 0)</f>
        <v>0</v>
      </c>
      <c r="T867">
        <f>IFERROR(J867/(O867/30),"")</f>
        <v>0</v>
      </c>
    </row>
    <row r="868" spans="10:20">
      <c r="J868">
        <f>IF($A868="","", SUMIFS(Mov_Qty, Mov_Item, $A868))</f>
        <v>0</v>
      </c>
      <c r="K868">
        <f>IF($A868="","", J868 * $E868)</f>
        <v>0</v>
      </c>
      <c r="L868">
        <f>IF($A868="","", SUMIFS(-Mov_Qty, Mov_Item, $A868, Mov_Type, "Consumption", Mov_Date, "&gt;="&amp;$V$2, Mov_Date, "&lt;="&amp;$W$2))</f>
        <v>0</v>
      </c>
      <c r="M868">
        <f>IF($A868="","", SUMIFS(-Mov_Qty, Mov_Item, $A868, Mov_Type, "Consumption", Mov_Date, "&gt;="&amp;$X$2, Mov_Date, "&lt;="&amp;$Y$2))</f>
        <v>0</v>
      </c>
      <c r="N868">
        <f>IF($A868="","", SUMIFS(-Mov_Qty, Mov_Item, $A868, Mov_Type, "Consumption", Mov_Date, "&gt;="&amp;$Z$2, Mov_Date, "&lt;="&amp;$AA$2))</f>
        <v>0</v>
      </c>
      <c r="O868">
        <f>IFERROR(AVERAGE(L868:N868),"")</f>
        <v>0</v>
      </c>
      <c r="P868">
        <f>IF(O868&gt;=Cfg_HiMove, "Yes", "")</f>
        <v>0</v>
      </c>
      <c r="Q868">
        <f>IF($A868="","", $I868 + IFERROR(O868/30*$H868,0))</f>
        <v>0</v>
      </c>
      <c r="R868">
        <f>IF($A868="","", IF(J868&lt;=$F868, "Yes", ""))</f>
        <v>0</v>
      </c>
      <c r="S868">
        <f>IF(R868="Yes", CEILING(MAX($G868, Q868-J868), $G868), 0)</f>
        <v>0</v>
      </c>
      <c r="T868">
        <f>IFERROR(J868/(O868/30),"")</f>
        <v>0</v>
      </c>
    </row>
    <row r="869" spans="10:20">
      <c r="J869">
        <f>IF($A869="","", SUMIFS(Mov_Qty, Mov_Item, $A869))</f>
        <v>0</v>
      </c>
      <c r="K869">
        <f>IF($A869="","", J869 * $E869)</f>
        <v>0</v>
      </c>
      <c r="L869">
        <f>IF($A869="","", SUMIFS(-Mov_Qty, Mov_Item, $A869, Mov_Type, "Consumption", Mov_Date, "&gt;="&amp;$V$2, Mov_Date, "&lt;="&amp;$W$2))</f>
        <v>0</v>
      </c>
      <c r="M869">
        <f>IF($A869="","", SUMIFS(-Mov_Qty, Mov_Item, $A869, Mov_Type, "Consumption", Mov_Date, "&gt;="&amp;$X$2, Mov_Date, "&lt;="&amp;$Y$2))</f>
        <v>0</v>
      </c>
      <c r="N869">
        <f>IF($A869="","", SUMIFS(-Mov_Qty, Mov_Item, $A869, Mov_Type, "Consumption", Mov_Date, "&gt;="&amp;$Z$2, Mov_Date, "&lt;="&amp;$AA$2))</f>
        <v>0</v>
      </c>
      <c r="O869">
        <f>IFERROR(AVERAGE(L869:N869),"")</f>
        <v>0</v>
      </c>
      <c r="P869">
        <f>IF(O869&gt;=Cfg_HiMove, "Yes", "")</f>
        <v>0</v>
      </c>
      <c r="Q869">
        <f>IF($A869="","", $I869 + IFERROR(O869/30*$H869,0))</f>
        <v>0</v>
      </c>
      <c r="R869">
        <f>IF($A869="","", IF(J869&lt;=$F869, "Yes", ""))</f>
        <v>0</v>
      </c>
      <c r="S869">
        <f>IF(R869="Yes", CEILING(MAX($G869, Q869-J869), $G869), 0)</f>
        <v>0</v>
      </c>
      <c r="T869">
        <f>IFERROR(J869/(O869/30),"")</f>
        <v>0</v>
      </c>
    </row>
    <row r="870" spans="10:20">
      <c r="J870">
        <f>IF($A870="","", SUMIFS(Mov_Qty, Mov_Item, $A870))</f>
        <v>0</v>
      </c>
      <c r="K870">
        <f>IF($A870="","", J870 * $E870)</f>
        <v>0</v>
      </c>
      <c r="L870">
        <f>IF($A870="","", SUMIFS(-Mov_Qty, Mov_Item, $A870, Mov_Type, "Consumption", Mov_Date, "&gt;="&amp;$V$2, Mov_Date, "&lt;="&amp;$W$2))</f>
        <v>0</v>
      </c>
      <c r="M870">
        <f>IF($A870="","", SUMIFS(-Mov_Qty, Mov_Item, $A870, Mov_Type, "Consumption", Mov_Date, "&gt;="&amp;$X$2, Mov_Date, "&lt;="&amp;$Y$2))</f>
        <v>0</v>
      </c>
      <c r="N870">
        <f>IF($A870="","", SUMIFS(-Mov_Qty, Mov_Item, $A870, Mov_Type, "Consumption", Mov_Date, "&gt;="&amp;$Z$2, Mov_Date, "&lt;="&amp;$AA$2))</f>
        <v>0</v>
      </c>
      <c r="O870">
        <f>IFERROR(AVERAGE(L870:N870),"")</f>
        <v>0</v>
      </c>
      <c r="P870">
        <f>IF(O870&gt;=Cfg_HiMove, "Yes", "")</f>
        <v>0</v>
      </c>
      <c r="Q870">
        <f>IF($A870="","", $I870 + IFERROR(O870/30*$H870,0))</f>
        <v>0</v>
      </c>
      <c r="R870">
        <f>IF($A870="","", IF(J870&lt;=$F870, "Yes", ""))</f>
        <v>0</v>
      </c>
      <c r="S870">
        <f>IF(R870="Yes", CEILING(MAX($G870, Q870-J870), $G870), 0)</f>
        <v>0</v>
      </c>
      <c r="T870">
        <f>IFERROR(J870/(O870/30),"")</f>
        <v>0</v>
      </c>
    </row>
    <row r="871" spans="10:20">
      <c r="J871">
        <f>IF($A871="","", SUMIFS(Mov_Qty, Mov_Item, $A871))</f>
        <v>0</v>
      </c>
      <c r="K871">
        <f>IF($A871="","", J871 * $E871)</f>
        <v>0</v>
      </c>
      <c r="L871">
        <f>IF($A871="","", SUMIFS(-Mov_Qty, Mov_Item, $A871, Mov_Type, "Consumption", Mov_Date, "&gt;="&amp;$V$2, Mov_Date, "&lt;="&amp;$W$2))</f>
        <v>0</v>
      </c>
      <c r="M871">
        <f>IF($A871="","", SUMIFS(-Mov_Qty, Mov_Item, $A871, Mov_Type, "Consumption", Mov_Date, "&gt;="&amp;$X$2, Mov_Date, "&lt;="&amp;$Y$2))</f>
        <v>0</v>
      </c>
      <c r="N871">
        <f>IF($A871="","", SUMIFS(-Mov_Qty, Mov_Item, $A871, Mov_Type, "Consumption", Mov_Date, "&gt;="&amp;$Z$2, Mov_Date, "&lt;="&amp;$AA$2))</f>
        <v>0</v>
      </c>
      <c r="O871">
        <f>IFERROR(AVERAGE(L871:N871),"")</f>
        <v>0</v>
      </c>
      <c r="P871">
        <f>IF(O871&gt;=Cfg_HiMove, "Yes", "")</f>
        <v>0</v>
      </c>
      <c r="Q871">
        <f>IF($A871="","", $I871 + IFERROR(O871/30*$H871,0))</f>
        <v>0</v>
      </c>
      <c r="R871">
        <f>IF($A871="","", IF(J871&lt;=$F871, "Yes", ""))</f>
        <v>0</v>
      </c>
      <c r="S871">
        <f>IF(R871="Yes", CEILING(MAX($G871, Q871-J871), $G871), 0)</f>
        <v>0</v>
      </c>
      <c r="T871">
        <f>IFERROR(J871/(O871/30),"")</f>
        <v>0</v>
      </c>
    </row>
    <row r="872" spans="10:20">
      <c r="J872">
        <f>IF($A872="","", SUMIFS(Mov_Qty, Mov_Item, $A872))</f>
        <v>0</v>
      </c>
      <c r="K872">
        <f>IF($A872="","", J872 * $E872)</f>
        <v>0</v>
      </c>
      <c r="L872">
        <f>IF($A872="","", SUMIFS(-Mov_Qty, Mov_Item, $A872, Mov_Type, "Consumption", Mov_Date, "&gt;="&amp;$V$2, Mov_Date, "&lt;="&amp;$W$2))</f>
        <v>0</v>
      </c>
      <c r="M872">
        <f>IF($A872="","", SUMIFS(-Mov_Qty, Mov_Item, $A872, Mov_Type, "Consumption", Mov_Date, "&gt;="&amp;$X$2, Mov_Date, "&lt;="&amp;$Y$2))</f>
        <v>0</v>
      </c>
      <c r="N872">
        <f>IF($A872="","", SUMIFS(-Mov_Qty, Mov_Item, $A872, Mov_Type, "Consumption", Mov_Date, "&gt;="&amp;$Z$2, Mov_Date, "&lt;="&amp;$AA$2))</f>
        <v>0</v>
      </c>
      <c r="O872">
        <f>IFERROR(AVERAGE(L872:N872),"")</f>
        <v>0</v>
      </c>
      <c r="P872">
        <f>IF(O872&gt;=Cfg_HiMove, "Yes", "")</f>
        <v>0</v>
      </c>
      <c r="Q872">
        <f>IF($A872="","", $I872 + IFERROR(O872/30*$H872,0))</f>
        <v>0</v>
      </c>
      <c r="R872">
        <f>IF($A872="","", IF(J872&lt;=$F872, "Yes", ""))</f>
        <v>0</v>
      </c>
      <c r="S872">
        <f>IF(R872="Yes", CEILING(MAX($G872, Q872-J872), $G872), 0)</f>
        <v>0</v>
      </c>
      <c r="T872">
        <f>IFERROR(J872/(O872/30),"")</f>
        <v>0</v>
      </c>
    </row>
    <row r="873" spans="10:20">
      <c r="J873">
        <f>IF($A873="","", SUMIFS(Mov_Qty, Mov_Item, $A873))</f>
        <v>0</v>
      </c>
      <c r="K873">
        <f>IF($A873="","", J873 * $E873)</f>
        <v>0</v>
      </c>
      <c r="L873">
        <f>IF($A873="","", SUMIFS(-Mov_Qty, Mov_Item, $A873, Mov_Type, "Consumption", Mov_Date, "&gt;="&amp;$V$2, Mov_Date, "&lt;="&amp;$W$2))</f>
        <v>0</v>
      </c>
      <c r="M873">
        <f>IF($A873="","", SUMIFS(-Mov_Qty, Mov_Item, $A873, Mov_Type, "Consumption", Mov_Date, "&gt;="&amp;$X$2, Mov_Date, "&lt;="&amp;$Y$2))</f>
        <v>0</v>
      </c>
      <c r="N873">
        <f>IF($A873="","", SUMIFS(-Mov_Qty, Mov_Item, $A873, Mov_Type, "Consumption", Mov_Date, "&gt;="&amp;$Z$2, Mov_Date, "&lt;="&amp;$AA$2))</f>
        <v>0</v>
      </c>
      <c r="O873">
        <f>IFERROR(AVERAGE(L873:N873),"")</f>
        <v>0</v>
      </c>
      <c r="P873">
        <f>IF(O873&gt;=Cfg_HiMove, "Yes", "")</f>
        <v>0</v>
      </c>
      <c r="Q873">
        <f>IF($A873="","", $I873 + IFERROR(O873/30*$H873,0))</f>
        <v>0</v>
      </c>
      <c r="R873">
        <f>IF($A873="","", IF(J873&lt;=$F873, "Yes", ""))</f>
        <v>0</v>
      </c>
      <c r="S873">
        <f>IF(R873="Yes", CEILING(MAX($G873, Q873-J873), $G873), 0)</f>
        <v>0</v>
      </c>
      <c r="T873">
        <f>IFERROR(J873/(O873/30),"")</f>
        <v>0</v>
      </c>
    </row>
    <row r="874" spans="10:20">
      <c r="J874">
        <f>IF($A874="","", SUMIFS(Mov_Qty, Mov_Item, $A874))</f>
        <v>0</v>
      </c>
      <c r="K874">
        <f>IF($A874="","", J874 * $E874)</f>
        <v>0</v>
      </c>
      <c r="L874">
        <f>IF($A874="","", SUMIFS(-Mov_Qty, Mov_Item, $A874, Mov_Type, "Consumption", Mov_Date, "&gt;="&amp;$V$2, Mov_Date, "&lt;="&amp;$W$2))</f>
        <v>0</v>
      </c>
      <c r="M874">
        <f>IF($A874="","", SUMIFS(-Mov_Qty, Mov_Item, $A874, Mov_Type, "Consumption", Mov_Date, "&gt;="&amp;$X$2, Mov_Date, "&lt;="&amp;$Y$2))</f>
        <v>0</v>
      </c>
      <c r="N874">
        <f>IF($A874="","", SUMIFS(-Mov_Qty, Mov_Item, $A874, Mov_Type, "Consumption", Mov_Date, "&gt;="&amp;$Z$2, Mov_Date, "&lt;="&amp;$AA$2))</f>
        <v>0</v>
      </c>
      <c r="O874">
        <f>IFERROR(AVERAGE(L874:N874),"")</f>
        <v>0</v>
      </c>
      <c r="P874">
        <f>IF(O874&gt;=Cfg_HiMove, "Yes", "")</f>
        <v>0</v>
      </c>
      <c r="Q874">
        <f>IF($A874="","", $I874 + IFERROR(O874/30*$H874,0))</f>
        <v>0</v>
      </c>
      <c r="R874">
        <f>IF($A874="","", IF(J874&lt;=$F874, "Yes", ""))</f>
        <v>0</v>
      </c>
      <c r="S874">
        <f>IF(R874="Yes", CEILING(MAX($G874, Q874-J874), $G874), 0)</f>
        <v>0</v>
      </c>
      <c r="T874">
        <f>IFERROR(J874/(O874/30),"")</f>
        <v>0</v>
      </c>
    </row>
    <row r="875" spans="10:20">
      <c r="J875">
        <f>IF($A875="","", SUMIFS(Mov_Qty, Mov_Item, $A875))</f>
        <v>0</v>
      </c>
      <c r="K875">
        <f>IF($A875="","", J875 * $E875)</f>
        <v>0</v>
      </c>
      <c r="L875">
        <f>IF($A875="","", SUMIFS(-Mov_Qty, Mov_Item, $A875, Mov_Type, "Consumption", Mov_Date, "&gt;="&amp;$V$2, Mov_Date, "&lt;="&amp;$W$2))</f>
        <v>0</v>
      </c>
      <c r="M875">
        <f>IF($A875="","", SUMIFS(-Mov_Qty, Mov_Item, $A875, Mov_Type, "Consumption", Mov_Date, "&gt;="&amp;$X$2, Mov_Date, "&lt;="&amp;$Y$2))</f>
        <v>0</v>
      </c>
      <c r="N875">
        <f>IF($A875="","", SUMIFS(-Mov_Qty, Mov_Item, $A875, Mov_Type, "Consumption", Mov_Date, "&gt;="&amp;$Z$2, Mov_Date, "&lt;="&amp;$AA$2))</f>
        <v>0</v>
      </c>
      <c r="O875">
        <f>IFERROR(AVERAGE(L875:N875),"")</f>
        <v>0</v>
      </c>
      <c r="P875">
        <f>IF(O875&gt;=Cfg_HiMove, "Yes", "")</f>
        <v>0</v>
      </c>
      <c r="Q875">
        <f>IF($A875="","", $I875 + IFERROR(O875/30*$H875,0))</f>
        <v>0</v>
      </c>
      <c r="R875">
        <f>IF($A875="","", IF(J875&lt;=$F875, "Yes", ""))</f>
        <v>0</v>
      </c>
      <c r="S875">
        <f>IF(R875="Yes", CEILING(MAX($G875, Q875-J875), $G875), 0)</f>
        <v>0</v>
      </c>
      <c r="T875">
        <f>IFERROR(J875/(O875/30),"")</f>
        <v>0</v>
      </c>
    </row>
    <row r="876" spans="10:20">
      <c r="J876">
        <f>IF($A876="","", SUMIFS(Mov_Qty, Mov_Item, $A876))</f>
        <v>0</v>
      </c>
      <c r="K876">
        <f>IF($A876="","", J876 * $E876)</f>
        <v>0</v>
      </c>
      <c r="L876">
        <f>IF($A876="","", SUMIFS(-Mov_Qty, Mov_Item, $A876, Mov_Type, "Consumption", Mov_Date, "&gt;="&amp;$V$2, Mov_Date, "&lt;="&amp;$W$2))</f>
        <v>0</v>
      </c>
      <c r="M876">
        <f>IF($A876="","", SUMIFS(-Mov_Qty, Mov_Item, $A876, Mov_Type, "Consumption", Mov_Date, "&gt;="&amp;$X$2, Mov_Date, "&lt;="&amp;$Y$2))</f>
        <v>0</v>
      </c>
      <c r="N876">
        <f>IF($A876="","", SUMIFS(-Mov_Qty, Mov_Item, $A876, Mov_Type, "Consumption", Mov_Date, "&gt;="&amp;$Z$2, Mov_Date, "&lt;="&amp;$AA$2))</f>
        <v>0</v>
      </c>
      <c r="O876">
        <f>IFERROR(AVERAGE(L876:N876),"")</f>
        <v>0</v>
      </c>
      <c r="P876">
        <f>IF(O876&gt;=Cfg_HiMove, "Yes", "")</f>
        <v>0</v>
      </c>
      <c r="Q876">
        <f>IF($A876="","", $I876 + IFERROR(O876/30*$H876,0))</f>
        <v>0</v>
      </c>
      <c r="R876">
        <f>IF($A876="","", IF(J876&lt;=$F876, "Yes", ""))</f>
        <v>0</v>
      </c>
      <c r="S876">
        <f>IF(R876="Yes", CEILING(MAX($G876, Q876-J876), $G876), 0)</f>
        <v>0</v>
      </c>
      <c r="T876">
        <f>IFERROR(J876/(O876/30),"")</f>
        <v>0</v>
      </c>
    </row>
    <row r="877" spans="10:20">
      <c r="J877">
        <f>IF($A877="","", SUMIFS(Mov_Qty, Mov_Item, $A877))</f>
        <v>0</v>
      </c>
      <c r="K877">
        <f>IF($A877="","", J877 * $E877)</f>
        <v>0</v>
      </c>
      <c r="L877">
        <f>IF($A877="","", SUMIFS(-Mov_Qty, Mov_Item, $A877, Mov_Type, "Consumption", Mov_Date, "&gt;="&amp;$V$2, Mov_Date, "&lt;="&amp;$W$2))</f>
        <v>0</v>
      </c>
      <c r="M877">
        <f>IF($A877="","", SUMIFS(-Mov_Qty, Mov_Item, $A877, Mov_Type, "Consumption", Mov_Date, "&gt;="&amp;$X$2, Mov_Date, "&lt;="&amp;$Y$2))</f>
        <v>0</v>
      </c>
      <c r="N877">
        <f>IF($A877="","", SUMIFS(-Mov_Qty, Mov_Item, $A877, Mov_Type, "Consumption", Mov_Date, "&gt;="&amp;$Z$2, Mov_Date, "&lt;="&amp;$AA$2))</f>
        <v>0</v>
      </c>
      <c r="O877">
        <f>IFERROR(AVERAGE(L877:N877),"")</f>
        <v>0</v>
      </c>
      <c r="P877">
        <f>IF(O877&gt;=Cfg_HiMove, "Yes", "")</f>
        <v>0</v>
      </c>
      <c r="Q877">
        <f>IF($A877="","", $I877 + IFERROR(O877/30*$H877,0))</f>
        <v>0</v>
      </c>
      <c r="R877">
        <f>IF($A877="","", IF(J877&lt;=$F877, "Yes", ""))</f>
        <v>0</v>
      </c>
      <c r="S877">
        <f>IF(R877="Yes", CEILING(MAX($G877, Q877-J877), $G877), 0)</f>
        <v>0</v>
      </c>
      <c r="T877">
        <f>IFERROR(J877/(O877/30),"")</f>
        <v>0</v>
      </c>
    </row>
    <row r="878" spans="10:20">
      <c r="J878">
        <f>IF($A878="","", SUMIFS(Mov_Qty, Mov_Item, $A878))</f>
        <v>0</v>
      </c>
      <c r="K878">
        <f>IF($A878="","", J878 * $E878)</f>
        <v>0</v>
      </c>
      <c r="L878">
        <f>IF($A878="","", SUMIFS(-Mov_Qty, Mov_Item, $A878, Mov_Type, "Consumption", Mov_Date, "&gt;="&amp;$V$2, Mov_Date, "&lt;="&amp;$W$2))</f>
        <v>0</v>
      </c>
      <c r="M878">
        <f>IF($A878="","", SUMIFS(-Mov_Qty, Mov_Item, $A878, Mov_Type, "Consumption", Mov_Date, "&gt;="&amp;$X$2, Mov_Date, "&lt;="&amp;$Y$2))</f>
        <v>0</v>
      </c>
      <c r="N878">
        <f>IF($A878="","", SUMIFS(-Mov_Qty, Mov_Item, $A878, Mov_Type, "Consumption", Mov_Date, "&gt;="&amp;$Z$2, Mov_Date, "&lt;="&amp;$AA$2))</f>
        <v>0</v>
      </c>
      <c r="O878">
        <f>IFERROR(AVERAGE(L878:N878),"")</f>
        <v>0</v>
      </c>
      <c r="P878">
        <f>IF(O878&gt;=Cfg_HiMove, "Yes", "")</f>
        <v>0</v>
      </c>
      <c r="Q878">
        <f>IF($A878="","", $I878 + IFERROR(O878/30*$H878,0))</f>
        <v>0</v>
      </c>
      <c r="R878">
        <f>IF($A878="","", IF(J878&lt;=$F878, "Yes", ""))</f>
        <v>0</v>
      </c>
      <c r="S878">
        <f>IF(R878="Yes", CEILING(MAX($G878, Q878-J878), $G878), 0)</f>
        <v>0</v>
      </c>
      <c r="T878">
        <f>IFERROR(J878/(O878/30),"")</f>
        <v>0</v>
      </c>
    </row>
    <row r="879" spans="10:20">
      <c r="J879">
        <f>IF($A879="","", SUMIFS(Mov_Qty, Mov_Item, $A879))</f>
        <v>0</v>
      </c>
      <c r="K879">
        <f>IF($A879="","", J879 * $E879)</f>
        <v>0</v>
      </c>
      <c r="L879">
        <f>IF($A879="","", SUMIFS(-Mov_Qty, Mov_Item, $A879, Mov_Type, "Consumption", Mov_Date, "&gt;="&amp;$V$2, Mov_Date, "&lt;="&amp;$W$2))</f>
        <v>0</v>
      </c>
      <c r="M879">
        <f>IF($A879="","", SUMIFS(-Mov_Qty, Mov_Item, $A879, Mov_Type, "Consumption", Mov_Date, "&gt;="&amp;$X$2, Mov_Date, "&lt;="&amp;$Y$2))</f>
        <v>0</v>
      </c>
      <c r="N879">
        <f>IF($A879="","", SUMIFS(-Mov_Qty, Mov_Item, $A879, Mov_Type, "Consumption", Mov_Date, "&gt;="&amp;$Z$2, Mov_Date, "&lt;="&amp;$AA$2))</f>
        <v>0</v>
      </c>
      <c r="O879">
        <f>IFERROR(AVERAGE(L879:N879),"")</f>
        <v>0</v>
      </c>
      <c r="P879">
        <f>IF(O879&gt;=Cfg_HiMove, "Yes", "")</f>
        <v>0</v>
      </c>
      <c r="Q879">
        <f>IF($A879="","", $I879 + IFERROR(O879/30*$H879,0))</f>
        <v>0</v>
      </c>
      <c r="R879">
        <f>IF($A879="","", IF(J879&lt;=$F879, "Yes", ""))</f>
        <v>0</v>
      </c>
      <c r="S879">
        <f>IF(R879="Yes", CEILING(MAX($G879, Q879-J879), $G879), 0)</f>
        <v>0</v>
      </c>
      <c r="T879">
        <f>IFERROR(J879/(O879/30),"")</f>
        <v>0</v>
      </c>
    </row>
    <row r="880" spans="10:20">
      <c r="J880">
        <f>IF($A880="","", SUMIFS(Mov_Qty, Mov_Item, $A880))</f>
        <v>0</v>
      </c>
      <c r="K880">
        <f>IF($A880="","", J880 * $E880)</f>
        <v>0</v>
      </c>
      <c r="L880">
        <f>IF($A880="","", SUMIFS(-Mov_Qty, Mov_Item, $A880, Mov_Type, "Consumption", Mov_Date, "&gt;="&amp;$V$2, Mov_Date, "&lt;="&amp;$W$2))</f>
        <v>0</v>
      </c>
      <c r="M880">
        <f>IF($A880="","", SUMIFS(-Mov_Qty, Mov_Item, $A880, Mov_Type, "Consumption", Mov_Date, "&gt;="&amp;$X$2, Mov_Date, "&lt;="&amp;$Y$2))</f>
        <v>0</v>
      </c>
      <c r="N880">
        <f>IF($A880="","", SUMIFS(-Mov_Qty, Mov_Item, $A880, Mov_Type, "Consumption", Mov_Date, "&gt;="&amp;$Z$2, Mov_Date, "&lt;="&amp;$AA$2))</f>
        <v>0</v>
      </c>
      <c r="O880">
        <f>IFERROR(AVERAGE(L880:N880),"")</f>
        <v>0</v>
      </c>
      <c r="P880">
        <f>IF(O880&gt;=Cfg_HiMove, "Yes", "")</f>
        <v>0</v>
      </c>
      <c r="Q880">
        <f>IF($A880="","", $I880 + IFERROR(O880/30*$H880,0))</f>
        <v>0</v>
      </c>
      <c r="R880">
        <f>IF($A880="","", IF(J880&lt;=$F880, "Yes", ""))</f>
        <v>0</v>
      </c>
      <c r="S880">
        <f>IF(R880="Yes", CEILING(MAX($G880, Q880-J880), $G880), 0)</f>
        <v>0</v>
      </c>
      <c r="T880">
        <f>IFERROR(J880/(O880/30),"")</f>
        <v>0</v>
      </c>
    </row>
    <row r="881" spans="10:20">
      <c r="J881">
        <f>IF($A881="","", SUMIFS(Mov_Qty, Mov_Item, $A881))</f>
        <v>0</v>
      </c>
      <c r="K881">
        <f>IF($A881="","", J881 * $E881)</f>
        <v>0</v>
      </c>
      <c r="L881">
        <f>IF($A881="","", SUMIFS(-Mov_Qty, Mov_Item, $A881, Mov_Type, "Consumption", Mov_Date, "&gt;="&amp;$V$2, Mov_Date, "&lt;="&amp;$W$2))</f>
        <v>0</v>
      </c>
      <c r="M881">
        <f>IF($A881="","", SUMIFS(-Mov_Qty, Mov_Item, $A881, Mov_Type, "Consumption", Mov_Date, "&gt;="&amp;$X$2, Mov_Date, "&lt;="&amp;$Y$2))</f>
        <v>0</v>
      </c>
      <c r="N881">
        <f>IF($A881="","", SUMIFS(-Mov_Qty, Mov_Item, $A881, Mov_Type, "Consumption", Mov_Date, "&gt;="&amp;$Z$2, Mov_Date, "&lt;="&amp;$AA$2))</f>
        <v>0</v>
      </c>
      <c r="O881">
        <f>IFERROR(AVERAGE(L881:N881),"")</f>
        <v>0</v>
      </c>
      <c r="P881">
        <f>IF(O881&gt;=Cfg_HiMove, "Yes", "")</f>
        <v>0</v>
      </c>
      <c r="Q881">
        <f>IF($A881="","", $I881 + IFERROR(O881/30*$H881,0))</f>
        <v>0</v>
      </c>
      <c r="R881">
        <f>IF($A881="","", IF(J881&lt;=$F881, "Yes", ""))</f>
        <v>0</v>
      </c>
      <c r="S881">
        <f>IF(R881="Yes", CEILING(MAX($G881, Q881-J881), $G881), 0)</f>
        <v>0</v>
      </c>
      <c r="T881">
        <f>IFERROR(J881/(O881/30),"")</f>
        <v>0</v>
      </c>
    </row>
    <row r="882" spans="10:20">
      <c r="J882">
        <f>IF($A882="","", SUMIFS(Mov_Qty, Mov_Item, $A882))</f>
        <v>0</v>
      </c>
      <c r="K882">
        <f>IF($A882="","", J882 * $E882)</f>
        <v>0</v>
      </c>
      <c r="L882">
        <f>IF($A882="","", SUMIFS(-Mov_Qty, Mov_Item, $A882, Mov_Type, "Consumption", Mov_Date, "&gt;="&amp;$V$2, Mov_Date, "&lt;="&amp;$W$2))</f>
        <v>0</v>
      </c>
      <c r="M882">
        <f>IF($A882="","", SUMIFS(-Mov_Qty, Mov_Item, $A882, Mov_Type, "Consumption", Mov_Date, "&gt;="&amp;$X$2, Mov_Date, "&lt;="&amp;$Y$2))</f>
        <v>0</v>
      </c>
      <c r="N882">
        <f>IF($A882="","", SUMIFS(-Mov_Qty, Mov_Item, $A882, Mov_Type, "Consumption", Mov_Date, "&gt;="&amp;$Z$2, Mov_Date, "&lt;="&amp;$AA$2))</f>
        <v>0</v>
      </c>
      <c r="O882">
        <f>IFERROR(AVERAGE(L882:N882),"")</f>
        <v>0</v>
      </c>
      <c r="P882">
        <f>IF(O882&gt;=Cfg_HiMove, "Yes", "")</f>
        <v>0</v>
      </c>
      <c r="Q882">
        <f>IF($A882="","", $I882 + IFERROR(O882/30*$H882,0))</f>
        <v>0</v>
      </c>
      <c r="R882">
        <f>IF($A882="","", IF(J882&lt;=$F882, "Yes", ""))</f>
        <v>0</v>
      </c>
      <c r="S882">
        <f>IF(R882="Yes", CEILING(MAX($G882, Q882-J882), $G882), 0)</f>
        <v>0</v>
      </c>
      <c r="T882">
        <f>IFERROR(J882/(O882/30),"")</f>
        <v>0</v>
      </c>
    </row>
    <row r="883" spans="10:20">
      <c r="J883">
        <f>IF($A883="","", SUMIFS(Mov_Qty, Mov_Item, $A883))</f>
        <v>0</v>
      </c>
      <c r="K883">
        <f>IF($A883="","", J883 * $E883)</f>
        <v>0</v>
      </c>
      <c r="L883">
        <f>IF($A883="","", SUMIFS(-Mov_Qty, Mov_Item, $A883, Mov_Type, "Consumption", Mov_Date, "&gt;="&amp;$V$2, Mov_Date, "&lt;="&amp;$W$2))</f>
        <v>0</v>
      </c>
      <c r="M883">
        <f>IF($A883="","", SUMIFS(-Mov_Qty, Mov_Item, $A883, Mov_Type, "Consumption", Mov_Date, "&gt;="&amp;$X$2, Mov_Date, "&lt;="&amp;$Y$2))</f>
        <v>0</v>
      </c>
      <c r="N883">
        <f>IF($A883="","", SUMIFS(-Mov_Qty, Mov_Item, $A883, Mov_Type, "Consumption", Mov_Date, "&gt;="&amp;$Z$2, Mov_Date, "&lt;="&amp;$AA$2))</f>
        <v>0</v>
      </c>
      <c r="O883">
        <f>IFERROR(AVERAGE(L883:N883),"")</f>
        <v>0</v>
      </c>
      <c r="P883">
        <f>IF(O883&gt;=Cfg_HiMove, "Yes", "")</f>
        <v>0</v>
      </c>
      <c r="Q883">
        <f>IF($A883="","", $I883 + IFERROR(O883/30*$H883,0))</f>
        <v>0</v>
      </c>
      <c r="R883">
        <f>IF($A883="","", IF(J883&lt;=$F883, "Yes", ""))</f>
        <v>0</v>
      </c>
      <c r="S883">
        <f>IF(R883="Yes", CEILING(MAX($G883, Q883-J883), $G883), 0)</f>
        <v>0</v>
      </c>
      <c r="T883">
        <f>IFERROR(J883/(O883/30),"")</f>
        <v>0</v>
      </c>
    </row>
    <row r="884" spans="10:20">
      <c r="J884">
        <f>IF($A884="","", SUMIFS(Mov_Qty, Mov_Item, $A884))</f>
        <v>0</v>
      </c>
      <c r="K884">
        <f>IF($A884="","", J884 * $E884)</f>
        <v>0</v>
      </c>
      <c r="L884">
        <f>IF($A884="","", SUMIFS(-Mov_Qty, Mov_Item, $A884, Mov_Type, "Consumption", Mov_Date, "&gt;="&amp;$V$2, Mov_Date, "&lt;="&amp;$W$2))</f>
        <v>0</v>
      </c>
      <c r="M884">
        <f>IF($A884="","", SUMIFS(-Mov_Qty, Mov_Item, $A884, Mov_Type, "Consumption", Mov_Date, "&gt;="&amp;$X$2, Mov_Date, "&lt;="&amp;$Y$2))</f>
        <v>0</v>
      </c>
      <c r="N884">
        <f>IF($A884="","", SUMIFS(-Mov_Qty, Mov_Item, $A884, Mov_Type, "Consumption", Mov_Date, "&gt;="&amp;$Z$2, Mov_Date, "&lt;="&amp;$AA$2))</f>
        <v>0</v>
      </c>
      <c r="O884">
        <f>IFERROR(AVERAGE(L884:N884),"")</f>
        <v>0</v>
      </c>
      <c r="P884">
        <f>IF(O884&gt;=Cfg_HiMove, "Yes", "")</f>
        <v>0</v>
      </c>
      <c r="Q884">
        <f>IF($A884="","", $I884 + IFERROR(O884/30*$H884,0))</f>
        <v>0</v>
      </c>
      <c r="R884">
        <f>IF($A884="","", IF(J884&lt;=$F884, "Yes", ""))</f>
        <v>0</v>
      </c>
      <c r="S884">
        <f>IF(R884="Yes", CEILING(MAX($G884, Q884-J884), $G884), 0)</f>
        <v>0</v>
      </c>
      <c r="T884">
        <f>IFERROR(J884/(O884/30),"")</f>
        <v>0</v>
      </c>
    </row>
    <row r="885" spans="10:20">
      <c r="J885">
        <f>IF($A885="","", SUMIFS(Mov_Qty, Mov_Item, $A885))</f>
        <v>0</v>
      </c>
      <c r="K885">
        <f>IF($A885="","", J885 * $E885)</f>
        <v>0</v>
      </c>
      <c r="L885">
        <f>IF($A885="","", SUMIFS(-Mov_Qty, Mov_Item, $A885, Mov_Type, "Consumption", Mov_Date, "&gt;="&amp;$V$2, Mov_Date, "&lt;="&amp;$W$2))</f>
        <v>0</v>
      </c>
      <c r="M885">
        <f>IF($A885="","", SUMIFS(-Mov_Qty, Mov_Item, $A885, Mov_Type, "Consumption", Mov_Date, "&gt;="&amp;$X$2, Mov_Date, "&lt;="&amp;$Y$2))</f>
        <v>0</v>
      </c>
      <c r="N885">
        <f>IF($A885="","", SUMIFS(-Mov_Qty, Mov_Item, $A885, Mov_Type, "Consumption", Mov_Date, "&gt;="&amp;$Z$2, Mov_Date, "&lt;="&amp;$AA$2))</f>
        <v>0</v>
      </c>
      <c r="O885">
        <f>IFERROR(AVERAGE(L885:N885),"")</f>
        <v>0</v>
      </c>
      <c r="P885">
        <f>IF(O885&gt;=Cfg_HiMove, "Yes", "")</f>
        <v>0</v>
      </c>
      <c r="Q885">
        <f>IF($A885="","", $I885 + IFERROR(O885/30*$H885,0))</f>
        <v>0</v>
      </c>
      <c r="R885">
        <f>IF($A885="","", IF(J885&lt;=$F885, "Yes", ""))</f>
        <v>0</v>
      </c>
      <c r="S885">
        <f>IF(R885="Yes", CEILING(MAX($G885, Q885-J885), $G885), 0)</f>
        <v>0</v>
      </c>
      <c r="T885">
        <f>IFERROR(J885/(O885/30),"")</f>
        <v>0</v>
      </c>
    </row>
    <row r="886" spans="10:20">
      <c r="J886">
        <f>IF($A886="","", SUMIFS(Mov_Qty, Mov_Item, $A886))</f>
        <v>0</v>
      </c>
      <c r="K886">
        <f>IF($A886="","", J886 * $E886)</f>
        <v>0</v>
      </c>
      <c r="L886">
        <f>IF($A886="","", SUMIFS(-Mov_Qty, Mov_Item, $A886, Mov_Type, "Consumption", Mov_Date, "&gt;="&amp;$V$2, Mov_Date, "&lt;="&amp;$W$2))</f>
        <v>0</v>
      </c>
      <c r="M886">
        <f>IF($A886="","", SUMIFS(-Mov_Qty, Mov_Item, $A886, Mov_Type, "Consumption", Mov_Date, "&gt;="&amp;$X$2, Mov_Date, "&lt;="&amp;$Y$2))</f>
        <v>0</v>
      </c>
      <c r="N886">
        <f>IF($A886="","", SUMIFS(-Mov_Qty, Mov_Item, $A886, Mov_Type, "Consumption", Mov_Date, "&gt;="&amp;$Z$2, Mov_Date, "&lt;="&amp;$AA$2))</f>
        <v>0</v>
      </c>
      <c r="O886">
        <f>IFERROR(AVERAGE(L886:N886),"")</f>
        <v>0</v>
      </c>
      <c r="P886">
        <f>IF(O886&gt;=Cfg_HiMove, "Yes", "")</f>
        <v>0</v>
      </c>
      <c r="Q886">
        <f>IF($A886="","", $I886 + IFERROR(O886/30*$H886,0))</f>
        <v>0</v>
      </c>
      <c r="R886">
        <f>IF($A886="","", IF(J886&lt;=$F886, "Yes", ""))</f>
        <v>0</v>
      </c>
      <c r="S886">
        <f>IF(R886="Yes", CEILING(MAX($G886, Q886-J886), $G886), 0)</f>
        <v>0</v>
      </c>
      <c r="T886">
        <f>IFERROR(J886/(O886/30),"")</f>
        <v>0</v>
      </c>
    </row>
    <row r="887" spans="10:20">
      <c r="J887">
        <f>IF($A887="","", SUMIFS(Mov_Qty, Mov_Item, $A887))</f>
        <v>0</v>
      </c>
      <c r="K887">
        <f>IF($A887="","", J887 * $E887)</f>
        <v>0</v>
      </c>
      <c r="L887">
        <f>IF($A887="","", SUMIFS(-Mov_Qty, Mov_Item, $A887, Mov_Type, "Consumption", Mov_Date, "&gt;="&amp;$V$2, Mov_Date, "&lt;="&amp;$W$2))</f>
        <v>0</v>
      </c>
      <c r="M887">
        <f>IF($A887="","", SUMIFS(-Mov_Qty, Mov_Item, $A887, Mov_Type, "Consumption", Mov_Date, "&gt;="&amp;$X$2, Mov_Date, "&lt;="&amp;$Y$2))</f>
        <v>0</v>
      </c>
      <c r="N887">
        <f>IF($A887="","", SUMIFS(-Mov_Qty, Mov_Item, $A887, Mov_Type, "Consumption", Mov_Date, "&gt;="&amp;$Z$2, Mov_Date, "&lt;="&amp;$AA$2))</f>
        <v>0</v>
      </c>
      <c r="O887">
        <f>IFERROR(AVERAGE(L887:N887),"")</f>
        <v>0</v>
      </c>
      <c r="P887">
        <f>IF(O887&gt;=Cfg_HiMove, "Yes", "")</f>
        <v>0</v>
      </c>
      <c r="Q887">
        <f>IF($A887="","", $I887 + IFERROR(O887/30*$H887,0))</f>
        <v>0</v>
      </c>
      <c r="R887">
        <f>IF($A887="","", IF(J887&lt;=$F887, "Yes", ""))</f>
        <v>0</v>
      </c>
      <c r="S887">
        <f>IF(R887="Yes", CEILING(MAX($G887, Q887-J887), $G887), 0)</f>
        <v>0</v>
      </c>
      <c r="T887">
        <f>IFERROR(J887/(O887/30),"")</f>
        <v>0</v>
      </c>
    </row>
    <row r="888" spans="10:20">
      <c r="J888">
        <f>IF($A888="","", SUMIFS(Mov_Qty, Mov_Item, $A888))</f>
        <v>0</v>
      </c>
      <c r="K888">
        <f>IF($A888="","", J888 * $E888)</f>
        <v>0</v>
      </c>
      <c r="L888">
        <f>IF($A888="","", SUMIFS(-Mov_Qty, Mov_Item, $A888, Mov_Type, "Consumption", Mov_Date, "&gt;="&amp;$V$2, Mov_Date, "&lt;="&amp;$W$2))</f>
        <v>0</v>
      </c>
      <c r="M888">
        <f>IF($A888="","", SUMIFS(-Mov_Qty, Mov_Item, $A888, Mov_Type, "Consumption", Mov_Date, "&gt;="&amp;$X$2, Mov_Date, "&lt;="&amp;$Y$2))</f>
        <v>0</v>
      </c>
      <c r="N888">
        <f>IF($A888="","", SUMIFS(-Mov_Qty, Mov_Item, $A888, Mov_Type, "Consumption", Mov_Date, "&gt;="&amp;$Z$2, Mov_Date, "&lt;="&amp;$AA$2))</f>
        <v>0</v>
      </c>
      <c r="O888">
        <f>IFERROR(AVERAGE(L888:N888),"")</f>
        <v>0</v>
      </c>
      <c r="P888">
        <f>IF(O888&gt;=Cfg_HiMove, "Yes", "")</f>
        <v>0</v>
      </c>
      <c r="Q888">
        <f>IF($A888="","", $I888 + IFERROR(O888/30*$H888,0))</f>
        <v>0</v>
      </c>
      <c r="R888">
        <f>IF($A888="","", IF(J888&lt;=$F888, "Yes", ""))</f>
        <v>0</v>
      </c>
      <c r="S888">
        <f>IF(R888="Yes", CEILING(MAX($G888, Q888-J888), $G888), 0)</f>
        <v>0</v>
      </c>
      <c r="T888">
        <f>IFERROR(J888/(O888/30),"")</f>
        <v>0</v>
      </c>
    </row>
    <row r="889" spans="10:20">
      <c r="J889">
        <f>IF($A889="","", SUMIFS(Mov_Qty, Mov_Item, $A889))</f>
        <v>0</v>
      </c>
      <c r="K889">
        <f>IF($A889="","", J889 * $E889)</f>
        <v>0</v>
      </c>
      <c r="L889">
        <f>IF($A889="","", SUMIFS(-Mov_Qty, Mov_Item, $A889, Mov_Type, "Consumption", Mov_Date, "&gt;="&amp;$V$2, Mov_Date, "&lt;="&amp;$W$2))</f>
        <v>0</v>
      </c>
      <c r="M889">
        <f>IF($A889="","", SUMIFS(-Mov_Qty, Mov_Item, $A889, Mov_Type, "Consumption", Mov_Date, "&gt;="&amp;$X$2, Mov_Date, "&lt;="&amp;$Y$2))</f>
        <v>0</v>
      </c>
      <c r="N889">
        <f>IF($A889="","", SUMIFS(-Mov_Qty, Mov_Item, $A889, Mov_Type, "Consumption", Mov_Date, "&gt;="&amp;$Z$2, Mov_Date, "&lt;="&amp;$AA$2))</f>
        <v>0</v>
      </c>
      <c r="O889">
        <f>IFERROR(AVERAGE(L889:N889),"")</f>
        <v>0</v>
      </c>
      <c r="P889">
        <f>IF(O889&gt;=Cfg_HiMove, "Yes", "")</f>
        <v>0</v>
      </c>
      <c r="Q889">
        <f>IF($A889="","", $I889 + IFERROR(O889/30*$H889,0))</f>
        <v>0</v>
      </c>
      <c r="R889">
        <f>IF($A889="","", IF(J889&lt;=$F889, "Yes", ""))</f>
        <v>0</v>
      </c>
      <c r="S889">
        <f>IF(R889="Yes", CEILING(MAX($G889, Q889-J889), $G889), 0)</f>
        <v>0</v>
      </c>
      <c r="T889">
        <f>IFERROR(J889/(O889/30),"")</f>
        <v>0</v>
      </c>
    </row>
    <row r="890" spans="10:20">
      <c r="J890">
        <f>IF($A890="","", SUMIFS(Mov_Qty, Mov_Item, $A890))</f>
        <v>0</v>
      </c>
      <c r="K890">
        <f>IF($A890="","", J890 * $E890)</f>
        <v>0</v>
      </c>
      <c r="L890">
        <f>IF($A890="","", SUMIFS(-Mov_Qty, Mov_Item, $A890, Mov_Type, "Consumption", Mov_Date, "&gt;="&amp;$V$2, Mov_Date, "&lt;="&amp;$W$2))</f>
        <v>0</v>
      </c>
      <c r="M890">
        <f>IF($A890="","", SUMIFS(-Mov_Qty, Mov_Item, $A890, Mov_Type, "Consumption", Mov_Date, "&gt;="&amp;$X$2, Mov_Date, "&lt;="&amp;$Y$2))</f>
        <v>0</v>
      </c>
      <c r="N890">
        <f>IF($A890="","", SUMIFS(-Mov_Qty, Mov_Item, $A890, Mov_Type, "Consumption", Mov_Date, "&gt;="&amp;$Z$2, Mov_Date, "&lt;="&amp;$AA$2))</f>
        <v>0</v>
      </c>
      <c r="O890">
        <f>IFERROR(AVERAGE(L890:N890),"")</f>
        <v>0</v>
      </c>
      <c r="P890">
        <f>IF(O890&gt;=Cfg_HiMove, "Yes", "")</f>
        <v>0</v>
      </c>
      <c r="Q890">
        <f>IF($A890="","", $I890 + IFERROR(O890/30*$H890,0))</f>
        <v>0</v>
      </c>
      <c r="R890">
        <f>IF($A890="","", IF(J890&lt;=$F890, "Yes", ""))</f>
        <v>0</v>
      </c>
      <c r="S890">
        <f>IF(R890="Yes", CEILING(MAX($G890, Q890-J890), $G890), 0)</f>
        <v>0</v>
      </c>
      <c r="T890">
        <f>IFERROR(J890/(O890/30),"")</f>
        <v>0</v>
      </c>
    </row>
    <row r="891" spans="10:20">
      <c r="J891">
        <f>IF($A891="","", SUMIFS(Mov_Qty, Mov_Item, $A891))</f>
        <v>0</v>
      </c>
      <c r="K891">
        <f>IF($A891="","", J891 * $E891)</f>
        <v>0</v>
      </c>
      <c r="L891">
        <f>IF($A891="","", SUMIFS(-Mov_Qty, Mov_Item, $A891, Mov_Type, "Consumption", Mov_Date, "&gt;="&amp;$V$2, Mov_Date, "&lt;="&amp;$W$2))</f>
        <v>0</v>
      </c>
      <c r="M891">
        <f>IF($A891="","", SUMIFS(-Mov_Qty, Mov_Item, $A891, Mov_Type, "Consumption", Mov_Date, "&gt;="&amp;$X$2, Mov_Date, "&lt;="&amp;$Y$2))</f>
        <v>0</v>
      </c>
      <c r="N891">
        <f>IF($A891="","", SUMIFS(-Mov_Qty, Mov_Item, $A891, Mov_Type, "Consumption", Mov_Date, "&gt;="&amp;$Z$2, Mov_Date, "&lt;="&amp;$AA$2))</f>
        <v>0</v>
      </c>
      <c r="O891">
        <f>IFERROR(AVERAGE(L891:N891),"")</f>
        <v>0</v>
      </c>
      <c r="P891">
        <f>IF(O891&gt;=Cfg_HiMove, "Yes", "")</f>
        <v>0</v>
      </c>
      <c r="Q891">
        <f>IF($A891="","", $I891 + IFERROR(O891/30*$H891,0))</f>
        <v>0</v>
      </c>
      <c r="R891">
        <f>IF($A891="","", IF(J891&lt;=$F891, "Yes", ""))</f>
        <v>0</v>
      </c>
      <c r="S891">
        <f>IF(R891="Yes", CEILING(MAX($G891, Q891-J891), $G891), 0)</f>
        <v>0</v>
      </c>
      <c r="T891">
        <f>IFERROR(J891/(O891/30),"")</f>
        <v>0</v>
      </c>
    </row>
    <row r="892" spans="10:20">
      <c r="J892">
        <f>IF($A892="","", SUMIFS(Mov_Qty, Mov_Item, $A892))</f>
        <v>0</v>
      </c>
      <c r="K892">
        <f>IF($A892="","", J892 * $E892)</f>
        <v>0</v>
      </c>
      <c r="L892">
        <f>IF($A892="","", SUMIFS(-Mov_Qty, Mov_Item, $A892, Mov_Type, "Consumption", Mov_Date, "&gt;="&amp;$V$2, Mov_Date, "&lt;="&amp;$W$2))</f>
        <v>0</v>
      </c>
      <c r="M892">
        <f>IF($A892="","", SUMIFS(-Mov_Qty, Mov_Item, $A892, Mov_Type, "Consumption", Mov_Date, "&gt;="&amp;$X$2, Mov_Date, "&lt;="&amp;$Y$2))</f>
        <v>0</v>
      </c>
      <c r="N892">
        <f>IF($A892="","", SUMIFS(-Mov_Qty, Mov_Item, $A892, Mov_Type, "Consumption", Mov_Date, "&gt;="&amp;$Z$2, Mov_Date, "&lt;="&amp;$AA$2))</f>
        <v>0</v>
      </c>
      <c r="O892">
        <f>IFERROR(AVERAGE(L892:N892),"")</f>
        <v>0</v>
      </c>
      <c r="P892">
        <f>IF(O892&gt;=Cfg_HiMove, "Yes", "")</f>
        <v>0</v>
      </c>
      <c r="Q892">
        <f>IF($A892="","", $I892 + IFERROR(O892/30*$H892,0))</f>
        <v>0</v>
      </c>
      <c r="R892">
        <f>IF($A892="","", IF(J892&lt;=$F892, "Yes", ""))</f>
        <v>0</v>
      </c>
      <c r="S892">
        <f>IF(R892="Yes", CEILING(MAX($G892, Q892-J892), $G892), 0)</f>
        <v>0</v>
      </c>
      <c r="T892">
        <f>IFERROR(J892/(O892/30),"")</f>
        <v>0</v>
      </c>
    </row>
    <row r="893" spans="10:20">
      <c r="J893">
        <f>IF($A893="","", SUMIFS(Mov_Qty, Mov_Item, $A893))</f>
        <v>0</v>
      </c>
      <c r="K893">
        <f>IF($A893="","", J893 * $E893)</f>
        <v>0</v>
      </c>
      <c r="L893">
        <f>IF($A893="","", SUMIFS(-Mov_Qty, Mov_Item, $A893, Mov_Type, "Consumption", Mov_Date, "&gt;="&amp;$V$2, Mov_Date, "&lt;="&amp;$W$2))</f>
        <v>0</v>
      </c>
      <c r="M893">
        <f>IF($A893="","", SUMIFS(-Mov_Qty, Mov_Item, $A893, Mov_Type, "Consumption", Mov_Date, "&gt;="&amp;$X$2, Mov_Date, "&lt;="&amp;$Y$2))</f>
        <v>0</v>
      </c>
      <c r="N893">
        <f>IF($A893="","", SUMIFS(-Mov_Qty, Mov_Item, $A893, Mov_Type, "Consumption", Mov_Date, "&gt;="&amp;$Z$2, Mov_Date, "&lt;="&amp;$AA$2))</f>
        <v>0</v>
      </c>
      <c r="O893">
        <f>IFERROR(AVERAGE(L893:N893),"")</f>
        <v>0</v>
      </c>
      <c r="P893">
        <f>IF(O893&gt;=Cfg_HiMove, "Yes", "")</f>
        <v>0</v>
      </c>
      <c r="Q893">
        <f>IF($A893="","", $I893 + IFERROR(O893/30*$H893,0))</f>
        <v>0</v>
      </c>
      <c r="R893">
        <f>IF($A893="","", IF(J893&lt;=$F893, "Yes", ""))</f>
        <v>0</v>
      </c>
      <c r="S893">
        <f>IF(R893="Yes", CEILING(MAX($G893, Q893-J893), $G893), 0)</f>
        <v>0</v>
      </c>
      <c r="T893">
        <f>IFERROR(J893/(O893/30),"")</f>
        <v>0</v>
      </c>
    </row>
    <row r="894" spans="10:20">
      <c r="J894">
        <f>IF($A894="","", SUMIFS(Mov_Qty, Mov_Item, $A894))</f>
        <v>0</v>
      </c>
      <c r="K894">
        <f>IF($A894="","", J894 * $E894)</f>
        <v>0</v>
      </c>
      <c r="L894">
        <f>IF($A894="","", SUMIFS(-Mov_Qty, Mov_Item, $A894, Mov_Type, "Consumption", Mov_Date, "&gt;="&amp;$V$2, Mov_Date, "&lt;="&amp;$W$2))</f>
        <v>0</v>
      </c>
      <c r="M894">
        <f>IF($A894="","", SUMIFS(-Mov_Qty, Mov_Item, $A894, Mov_Type, "Consumption", Mov_Date, "&gt;="&amp;$X$2, Mov_Date, "&lt;="&amp;$Y$2))</f>
        <v>0</v>
      </c>
      <c r="N894">
        <f>IF($A894="","", SUMIFS(-Mov_Qty, Mov_Item, $A894, Mov_Type, "Consumption", Mov_Date, "&gt;="&amp;$Z$2, Mov_Date, "&lt;="&amp;$AA$2))</f>
        <v>0</v>
      </c>
      <c r="O894">
        <f>IFERROR(AVERAGE(L894:N894),"")</f>
        <v>0</v>
      </c>
      <c r="P894">
        <f>IF(O894&gt;=Cfg_HiMove, "Yes", "")</f>
        <v>0</v>
      </c>
      <c r="Q894">
        <f>IF($A894="","", $I894 + IFERROR(O894/30*$H894,0))</f>
        <v>0</v>
      </c>
      <c r="R894">
        <f>IF($A894="","", IF(J894&lt;=$F894, "Yes", ""))</f>
        <v>0</v>
      </c>
      <c r="S894">
        <f>IF(R894="Yes", CEILING(MAX($G894, Q894-J894), $G894), 0)</f>
        <v>0</v>
      </c>
      <c r="T894">
        <f>IFERROR(J894/(O894/30),"")</f>
        <v>0</v>
      </c>
    </row>
    <row r="895" spans="10:20">
      <c r="J895">
        <f>IF($A895="","", SUMIFS(Mov_Qty, Mov_Item, $A895))</f>
        <v>0</v>
      </c>
      <c r="K895">
        <f>IF($A895="","", J895 * $E895)</f>
        <v>0</v>
      </c>
      <c r="L895">
        <f>IF($A895="","", SUMIFS(-Mov_Qty, Mov_Item, $A895, Mov_Type, "Consumption", Mov_Date, "&gt;="&amp;$V$2, Mov_Date, "&lt;="&amp;$W$2))</f>
        <v>0</v>
      </c>
      <c r="M895">
        <f>IF($A895="","", SUMIFS(-Mov_Qty, Mov_Item, $A895, Mov_Type, "Consumption", Mov_Date, "&gt;="&amp;$X$2, Mov_Date, "&lt;="&amp;$Y$2))</f>
        <v>0</v>
      </c>
      <c r="N895">
        <f>IF($A895="","", SUMIFS(-Mov_Qty, Mov_Item, $A895, Mov_Type, "Consumption", Mov_Date, "&gt;="&amp;$Z$2, Mov_Date, "&lt;="&amp;$AA$2))</f>
        <v>0</v>
      </c>
      <c r="O895">
        <f>IFERROR(AVERAGE(L895:N895),"")</f>
        <v>0</v>
      </c>
      <c r="P895">
        <f>IF(O895&gt;=Cfg_HiMove, "Yes", "")</f>
        <v>0</v>
      </c>
      <c r="Q895">
        <f>IF($A895="","", $I895 + IFERROR(O895/30*$H895,0))</f>
        <v>0</v>
      </c>
      <c r="R895">
        <f>IF($A895="","", IF(J895&lt;=$F895, "Yes", ""))</f>
        <v>0</v>
      </c>
      <c r="S895">
        <f>IF(R895="Yes", CEILING(MAX($G895, Q895-J895), $G895), 0)</f>
        <v>0</v>
      </c>
      <c r="T895">
        <f>IFERROR(J895/(O895/30),"")</f>
        <v>0</v>
      </c>
    </row>
    <row r="896" spans="10:20">
      <c r="J896">
        <f>IF($A896="","", SUMIFS(Mov_Qty, Mov_Item, $A896))</f>
        <v>0</v>
      </c>
      <c r="K896">
        <f>IF($A896="","", J896 * $E896)</f>
        <v>0</v>
      </c>
      <c r="L896">
        <f>IF($A896="","", SUMIFS(-Mov_Qty, Mov_Item, $A896, Mov_Type, "Consumption", Mov_Date, "&gt;="&amp;$V$2, Mov_Date, "&lt;="&amp;$W$2))</f>
        <v>0</v>
      </c>
      <c r="M896">
        <f>IF($A896="","", SUMIFS(-Mov_Qty, Mov_Item, $A896, Mov_Type, "Consumption", Mov_Date, "&gt;="&amp;$X$2, Mov_Date, "&lt;="&amp;$Y$2))</f>
        <v>0</v>
      </c>
      <c r="N896">
        <f>IF($A896="","", SUMIFS(-Mov_Qty, Mov_Item, $A896, Mov_Type, "Consumption", Mov_Date, "&gt;="&amp;$Z$2, Mov_Date, "&lt;="&amp;$AA$2))</f>
        <v>0</v>
      </c>
      <c r="O896">
        <f>IFERROR(AVERAGE(L896:N896),"")</f>
        <v>0</v>
      </c>
      <c r="P896">
        <f>IF(O896&gt;=Cfg_HiMove, "Yes", "")</f>
        <v>0</v>
      </c>
      <c r="Q896">
        <f>IF($A896="","", $I896 + IFERROR(O896/30*$H896,0))</f>
        <v>0</v>
      </c>
      <c r="R896">
        <f>IF($A896="","", IF(J896&lt;=$F896, "Yes", ""))</f>
        <v>0</v>
      </c>
      <c r="S896">
        <f>IF(R896="Yes", CEILING(MAX($G896, Q896-J896), $G896), 0)</f>
        <v>0</v>
      </c>
      <c r="T896">
        <f>IFERROR(J896/(O896/30),"")</f>
        <v>0</v>
      </c>
    </row>
    <row r="897" spans="10:20">
      <c r="J897">
        <f>IF($A897="","", SUMIFS(Mov_Qty, Mov_Item, $A897))</f>
        <v>0</v>
      </c>
      <c r="K897">
        <f>IF($A897="","", J897 * $E897)</f>
        <v>0</v>
      </c>
      <c r="L897">
        <f>IF($A897="","", SUMIFS(-Mov_Qty, Mov_Item, $A897, Mov_Type, "Consumption", Mov_Date, "&gt;="&amp;$V$2, Mov_Date, "&lt;="&amp;$W$2))</f>
        <v>0</v>
      </c>
      <c r="M897">
        <f>IF($A897="","", SUMIFS(-Mov_Qty, Mov_Item, $A897, Mov_Type, "Consumption", Mov_Date, "&gt;="&amp;$X$2, Mov_Date, "&lt;="&amp;$Y$2))</f>
        <v>0</v>
      </c>
      <c r="N897">
        <f>IF($A897="","", SUMIFS(-Mov_Qty, Mov_Item, $A897, Mov_Type, "Consumption", Mov_Date, "&gt;="&amp;$Z$2, Mov_Date, "&lt;="&amp;$AA$2))</f>
        <v>0</v>
      </c>
      <c r="O897">
        <f>IFERROR(AVERAGE(L897:N897),"")</f>
        <v>0</v>
      </c>
      <c r="P897">
        <f>IF(O897&gt;=Cfg_HiMove, "Yes", "")</f>
        <v>0</v>
      </c>
      <c r="Q897">
        <f>IF($A897="","", $I897 + IFERROR(O897/30*$H897,0))</f>
        <v>0</v>
      </c>
      <c r="R897">
        <f>IF($A897="","", IF(J897&lt;=$F897, "Yes", ""))</f>
        <v>0</v>
      </c>
      <c r="S897">
        <f>IF(R897="Yes", CEILING(MAX($G897, Q897-J897), $G897), 0)</f>
        <v>0</v>
      </c>
      <c r="T897">
        <f>IFERROR(J897/(O897/30),"")</f>
        <v>0</v>
      </c>
    </row>
    <row r="898" spans="10:20">
      <c r="J898">
        <f>IF($A898="","", SUMIFS(Mov_Qty, Mov_Item, $A898))</f>
        <v>0</v>
      </c>
      <c r="K898">
        <f>IF($A898="","", J898 * $E898)</f>
        <v>0</v>
      </c>
      <c r="L898">
        <f>IF($A898="","", SUMIFS(-Mov_Qty, Mov_Item, $A898, Mov_Type, "Consumption", Mov_Date, "&gt;="&amp;$V$2, Mov_Date, "&lt;="&amp;$W$2))</f>
        <v>0</v>
      </c>
      <c r="M898">
        <f>IF($A898="","", SUMIFS(-Mov_Qty, Mov_Item, $A898, Mov_Type, "Consumption", Mov_Date, "&gt;="&amp;$X$2, Mov_Date, "&lt;="&amp;$Y$2))</f>
        <v>0</v>
      </c>
      <c r="N898">
        <f>IF($A898="","", SUMIFS(-Mov_Qty, Mov_Item, $A898, Mov_Type, "Consumption", Mov_Date, "&gt;="&amp;$Z$2, Mov_Date, "&lt;="&amp;$AA$2))</f>
        <v>0</v>
      </c>
      <c r="O898">
        <f>IFERROR(AVERAGE(L898:N898),"")</f>
        <v>0</v>
      </c>
      <c r="P898">
        <f>IF(O898&gt;=Cfg_HiMove, "Yes", "")</f>
        <v>0</v>
      </c>
      <c r="Q898">
        <f>IF($A898="","", $I898 + IFERROR(O898/30*$H898,0))</f>
        <v>0</v>
      </c>
      <c r="R898">
        <f>IF($A898="","", IF(J898&lt;=$F898, "Yes", ""))</f>
        <v>0</v>
      </c>
      <c r="S898">
        <f>IF(R898="Yes", CEILING(MAX($G898, Q898-J898), $G898), 0)</f>
        <v>0</v>
      </c>
      <c r="T898">
        <f>IFERROR(J898/(O898/30),"")</f>
        <v>0</v>
      </c>
    </row>
    <row r="899" spans="10:20">
      <c r="J899">
        <f>IF($A899="","", SUMIFS(Mov_Qty, Mov_Item, $A899))</f>
        <v>0</v>
      </c>
      <c r="K899">
        <f>IF($A899="","", J899 * $E899)</f>
        <v>0</v>
      </c>
      <c r="L899">
        <f>IF($A899="","", SUMIFS(-Mov_Qty, Mov_Item, $A899, Mov_Type, "Consumption", Mov_Date, "&gt;="&amp;$V$2, Mov_Date, "&lt;="&amp;$W$2))</f>
        <v>0</v>
      </c>
      <c r="M899">
        <f>IF($A899="","", SUMIFS(-Mov_Qty, Mov_Item, $A899, Mov_Type, "Consumption", Mov_Date, "&gt;="&amp;$X$2, Mov_Date, "&lt;="&amp;$Y$2))</f>
        <v>0</v>
      </c>
      <c r="N899">
        <f>IF($A899="","", SUMIFS(-Mov_Qty, Mov_Item, $A899, Mov_Type, "Consumption", Mov_Date, "&gt;="&amp;$Z$2, Mov_Date, "&lt;="&amp;$AA$2))</f>
        <v>0</v>
      </c>
      <c r="O899">
        <f>IFERROR(AVERAGE(L899:N899),"")</f>
        <v>0</v>
      </c>
      <c r="P899">
        <f>IF(O899&gt;=Cfg_HiMove, "Yes", "")</f>
        <v>0</v>
      </c>
      <c r="Q899">
        <f>IF($A899="","", $I899 + IFERROR(O899/30*$H899,0))</f>
        <v>0</v>
      </c>
      <c r="R899">
        <f>IF($A899="","", IF(J899&lt;=$F899, "Yes", ""))</f>
        <v>0</v>
      </c>
      <c r="S899">
        <f>IF(R899="Yes", CEILING(MAX($G899, Q899-J899), $G899), 0)</f>
        <v>0</v>
      </c>
      <c r="T899">
        <f>IFERROR(J899/(O899/30),"")</f>
        <v>0</v>
      </c>
    </row>
    <row r="900" spans="10:20">
      <c r="J900">
        <f>IF($A900="","", SUMIFS(Mov_Qty, Mov_Item, $A900))</f>
        <v>0</v>
      </c>
      <c r="K900">
        <f>IF($A900="","", J900 * $E900)</f>
        <v>0</v>
      </c>
      <c r="L900">
        <f>IF($A900="","", SUMIFS(-Mov_Qty, Mov_Item, $A900, Mov_Type, "Consumption", Mov_Date, "&gt;="&amp;$V$2, Mov_Date, "&lt;="&amp;$W$2))</f>
        <v>0</v>
      </c>
      <c r="M900">
        <f>IF($A900="","", SUMIFS(-Mov_Qty, Mov_Item, $A900, Mov_Type, "Consumption", Mov_Date, "&gt;="&amp;$X$2, Mov_Date, "&lt;="&amp;$Y$2))</f>
        <v>0</v>
      </c>
      <c r="N900">
        <f>IF($A900="","", SUMIFS(-Mov_Qty, Mov_Item, $A900, Mov_Type, "Consumption", Mov_Date, "&gt;="&amp;$Z$2, Mov_Date, "&lt;="&amp;$AA$2))</f>
        <v>0</v>
      </c>
      <c r="O900">
        <f>IFERROR(AVERAGE(L900:N900),"")</f>
        <v>0</v>
      </c>
      <c r="P900">
        <f>IF(O900&gt;=Cfg_HiMove, "Yes", "")</f>
        <v>0</v>
      </c>
      <c r="Q900">
        <f>IF($A900="","", $I900 + IFERROR(O900/30*$H900,0))</f>
        <v>0</v>
      </c>
      <c r="R900">
        <f>IF($A900="","", IF(J900&lt;=$F900, "Yes", ""))</f>
        <v>0</v>
      </c>
      <c r="S900">
        <f>IF(R900="Yes", CEILING(MAX($G900, Q900-J900), $G900), 0)</f>
        <v>0</v>
      </c>
      <c r="T900">
        <f>IFERROR(J900/(O900/30),"")</f>
        <v>0</v>
      </c>
    </row>
    <row r="901" spans="10:20">
      <c r="J901">
        <f>IF($A901="","", SUMIFS(Mov_Qty, Mov_Item, $A901))</f>
        <v>0</v>
      </c>
      <c r="K901">
        <f>IF($A901="","", J901 * $E901)</f>
        <v>0</v>
      </c>
      <c r="L901">
        <f>IF($A901="","", SUMIFS(-Mov_Qty, Mov_Item, $A901, Mov_Type, "Consumption", Mov_Date, "&gt;="&amp;$V$2, Mov_Date, "&lt;="&amp;$W$2))</f>
        <v>0</v>
      </c>
      <c r="M901">
        <f>IF($A901="","", SUMIFS(-Mov_Qty, Mov_Item, $A901, Mov_Type, "Consumption", Mov_Date, "&gt;="&amp;$X$2, Mov_Date, "&lt;="&amp;$Y$2))</f>
        <v>0</v>
      </c>
      <c r="N901">
        <f>IF($A901="","", SUMIFS(-Mov_Qty, Mov_Item, $A901, Mov_Type, "Consumption", Mov_Date, "&gt;="&amp;$Z$2, Mov_Date, "&lt;="&amp;$AA$2))</f>
        <v>0</v>
      </c>
      <c r="O901">
        <f>IFERROR(AVERAGE(L901:N901),"")</f>
        <v>0</v>
      </c>
      <c r="P901">
        <f>IF(O901&gt;=Cfg_HiMove, "Yes", "")</f>
        <v>0</v>
      </c>
      <c r="Q901">
        <f>IF($A901="","", $I901 + IFERROR(O901/30*$H901,0))</f>
        <v>0</v>
      </c>
      <c r="R901">
        <f>IF($A901="","", IF(J901&lt;=$F901, "Yes", ""))</f>
        <v>0</v>
      </c>
      <c r="S901">
        <f>IF(R901="Yes", CEILING(MAX($G901, Q901-J901), $G901), 0)</f>
        <v>0</v>
      </c>
      <c r="T901">
        <f>IFERROR(J901/(O901/30),"")</f>
        <v>0</v>
      </c>
    </row>
    <row r="902" spans="10:20">
      <c r="J902">
        <f>IF($A902="","", SUMIFS(Mov_Qty, Mov_Item, $A902))</f>
        <v>0</v>
      </c>
      <c r="K902">
        <f>IF($A902="","", J902 * $E902)</f>
        <v>0</v>
      </c>
      <c r="L902">
        <f>IF($A902="","", SUMIFS(-Mov_Qty, Mov_Item, $A902, Mov_Type, "Consumption", Mov_Date, "&gt;="&amp;$V$2, Mov_Date, "&lt;="&amp;$W$2))</f>
        <v>0</v>
      </c>
      <c r="M902">
        <f>IF($A902="","", SUMIFS(-Mov_Qty, Mov_Item, $A902, Mov_Type, "Consumption", Mov_Date, "&gt;="&amp;$X$2, Mov_Date, "&lt;="&amp;$Y$2))</f>
        <v>0</v>
      </c>
      <c r="N902">
        <f>IF($A902="","", SUMIFS(-Mov_Qty, Mov_Item, $A902, Mov_Type, "Consumption", Mov_Date, "&gt;="&amp;$Z$2, Mov_Date, "&lt;="&amp;$AA$2))</f>
        <v>0</v>
      </c>
      <c r="O902">
        <f>IFERROR(AVERAGE(L902:N902),"")</f>
        <v>0</v>
      </c>
      <c r="P902">
        <f>IF(O902&gt;=Cfg_HiMove, "Yes", "")</f>
        <v>0</v>
      </c>
      <c r="Q902">
        <f>IF($A902="","", $I902 + IFERROR(O902/30*$H902,0))</f>
        <v>0</v>
      </c>
      <c r="R902">
        <f>IF($A902="","", IF(J902&lt;=$F902, "Yes", ""))</f>
        <v>0</v>
      </c>
      <c r="S902">
        <f>IF(R902="Yes", CEILING(MAX($G902, Q902-J902), $G902), 0)</f>
        <v>0</v>
      </c>
      <c r="T902">
        <f>IFERROR(J902/(O902/30),"")</f>
        <v>0</v>
      </c>
    </row>
    <row r="903" spans="10:20">
      <c r="J903">
        <f>IF($A903="","", SUMIFS(Mov_Qty, Mov_Item, $A903))</f>
        <v>0</v>
      </c>
      <c r="K903">
        <f>IF($A903="","", J903 * $E903)</f>
        <v>0</v>
      </c>
      <c r="L903">
        <f>IF($A903="","", SUMIFS(-Mov_Qty, Mov_Item, $A903, Mov_Type, "Consumption", Mov_Date, "&gt;="&amp;$V$2, Mov_Date, "&lt;="&amp;$W$2))</f>
        <v>0</v>
      </c>
      <c r="M903">
        <f>IF($A903="","", SUMIFS(-Mov_Qty, Mov_Item, $A903, Mov_Type, "Consumption", Mov_Date, "&gt;="&amp;$X$2, Mov_Date, "&lt;="&amp;$Y$2))</f>
        <v>0</v>
      </c>
      <c r="N903">
        <f>IF($A903="","", SUMIFS(-Mov_Qty, Mov_Item, $A903, Mov_Type, "Consumption", Mov_Date, "&gt;="&amp;$Z$2, Mov_Date, "&lt;="&amp;$AA$2))</f>
        <v>0</v>
      </c>
      <c r="O903">
        <f>IFERROR(AVERAGE(L903:N903),"")</f>
        <v>0</v>
      </c>
      <c r="P903">
        <f>IF(O903&gt;=Cfg_HiMove, "Yes", "")</f>
        <v>0</v>
      </c>
      <c r="Q903">
        <f>IF($A903="","", $I903 + IFERROR(O903/30*$H903,0))</f>
        <v>0</v>
      </c>
      <c r="R903">
        <f>IF($A903="","", IF(J903&lt;=$F903, "Yes", ""))</f>
        <v>0</v>
      </c>
      <c r="S903">
        <f>IF(R903="Yes", CEILING(MAX($G903, Q903-J903), $G903), 0)</f>
        <v>0</v>
      </c>
      <c r="T903">
        <f>IFERROR(J903/(O903/30),"")</f>
        <v>0</v>
      </c>
    </row>
    <row r="904" spans="10:20">
      <c r="J904">
        <f>IF($A904="","", SUMIFS(Mov_Qty, Mov_Item, $A904))</f>
        <v>0</v>
      </c>
      <c r="K904">
        <f>IF($A904="","", J904 * $E904)</f>
        <v>0</v>
      </c>
      <c r="L904">
        <f>IF($A904="","", SUMIFS(-Mov_Qty, Mov_Item, $A904, Mov_Type, "Consumption", Mov_Date, "&gt;="&amp;$V$2, Mov_Date, "&lt;="&amp;$W$2))</f>
        <v>0</v>
      </c>
      <c r="M904">
        <f>IF($A904="","", SUMIFS(-Mov_Qty, Mov_Item, $A904, Mov_Type, "Consumption", Mov_Date, "&gt;="&amp;$X$2, Mov_Date, "&lt;="&amp;$Y$2))</f>
        <v>0</v>
      </c>
      <c r="N904">
        <f>IF($A904="","", SUMIFS(-Mov_Qty, Mov_Item, $A904, Mov_Type, "Consumption", Mov_Date, "&gt;="&amp;$Z$2, Mov_Date, "&lt;="&amp;$AA$2))</f>
        <v>0</v>
      </c>
      <c r="O904">
        <f>IFERROR(AVERAGE(L904:N904),"")</f>
        <v>0</v>
      </c>
      <c r="P904">
        <f>IF(O904&gt;=Cfg_HiMove, "Yes", "")</f>
        <v>0</v>
      </c>
      <c r="Q904">
        <f>IF($A904="","", $I904 + IFERROR(O904/30*$H904,0))</f>
        <v>0</v>
      </c>
      <c r="R904">
        <f>IF($A904="","", IF(J904&lt;=$F904, "Yes", ""))</f>
        <v>0</v>
      </c>
      <c r="S904">
        <f>IF(R904="Yes", CEILING(MAX($G904, Q904-J904), $G904), 0)</f>
        <v>0</v>
      </c>
      <c r="T904">
        <f>IFERROR(J904/(O904/30),"")</f>
        <v>0</v>
      </c>
    </row>
    <row r="905" spans="10:20">
      <c r="J905">
        <f>IF($A905="","", SUMIFS(Mov_Qty, Mov_Item, $A905))</f>
        <v>0</v>
      </c>
      <c r="K905">
        <f>IF($A905="","", J905 * $E905)</f>
        <v>0</v>
      </c>
      <c r="L905">
        <f>IF($A905="","", SUMIFS(-Mov_Qty, Mov_Item, $A905, Mov_Type, "Consumption", Mov_Date, "&gt;="&amp;$V$2, Mov_Date, "&lt;="&amp;$W$2))</f>
        <v>0</v>
      </c>
      <c r="M905">
        <f>IF($A905="","", SUMIFS(-Mov_Qty, Mov_Item, $A905, Mov_Type, "Consumption", Mov_Date, "&gt;="&amp;$X$2, Mov_Date, "&lt;="&amp;$Y$2))</f>
        <v>0</v>
      </c>
      <c r="N905">
        <f>IF($A905="","", SUMIFS(-Mov_Qty, Mov_Item, $A905, Mov_Type, "Consumption", Mov_Date, "&gt;="&amp;$Z$2, Mov_Date, "&lt;="&amp;$AA$2))</f>
        <v>0</v>
      </c>
      <c r="O905">
        <f>IFERROR(AVERAGE(L905:N905),"")</f>
        <v>0</v>
      </c>
      <c r="P905">
        <f>IF(O905&gt;=Cfg_HiMove, "Yes", "")</f>
        <v>0</v>
      </c>
      <c r="Q905">
        <f>IF($A905="","", $I905 + IFERROR(O905/30*$H905,0))</f>
        <v>0</v>
      </c>
      <c r="R905">
        <f>IF($A905="","", IF(J905&lt;=$F905, "Yes", ""))</f>
        <v>0</v>
      </c>
      <c r="S905">
        <f>IF(R905="Yes", CEILING(MAX($G905, Q905-J905), $G905), 0)</f>
        <v>0</v>
      </c>
      <c r="T905">
        <f>IFERROR(J905/(O905/30),"")</f>
        <v>0</v>
      </c>
    </row>
    <row r="906" spans="10:20">
      <c r="J906">
        <f>IF($A906="","", SUMIFS(Mov_Qty, Mov_Item, $A906))</f>
        <v>0</v>
      </c>
      <c r="K906">
        <f>IF($A906="","", J906 * $E906)</f>
        <v>0</v>
      </c>
      <c r="L906">
        <f>IF($A906="","", SUMIFS(-Mov_Qty, Mov_Item, $A906, Mov_Type, "Consumption", Mov_Date, "&gt;="&amp;$V$2, Mov_Date, "&lt;="&amp;$W$2))</f>
        <v>0</v>
      </c>
      <c r="M906">
        <f>IF($A906="","", SUMIFS(-Mov_Qty, Mov_Item, $A906, Mov_Type, "Consumption", Mov_Date, "&gt;="&amp;$X$2, Mov_Date, "&lt;="&amp;$Y$2))</f>
        <v>0</v>
      </c>
      <c r="N906">
        <f>IF($A906="","", SUMIFS(-Mov_Qty, Mov_Item, $A906, Mov_Type, "Consumption", Mov_Date, "&gt;="&amp;$Z$2, Mov_Date, "&lt;="&amp;$AA$2))</f>
        <v>0</v>
      </c>
      <c r="O906">
        <f>IFERROR(AVERAGE(L906:N906),"")</f>
        <v>0</v>
      </c>
      <c r="P906">
        <f>IF(O906&gt;=Cfg_HiMove, "Yes", "")</f>
        <v>0</v>
      </c>
      <c r="Q906">
        <f>IF($A906="","", $I906 + IFERROR(O906/30*$H906,0))</f>
        <v>0</v>
      </c>
      <c r="R906">
        <f>IF($A906="","", IF(J906&lt;=$F906, "Yes", ""))</f>
        <v>0</v>
      </c>
      <c r="S906">
        <f>IF(R906="Yes", CEILING(MAX($G906, Q906-J906), $G906), 0)</f>
        <v>0</v>
      </c>
      <c r="T906">
        <f>IFERROR(J906/(O906/30),"")</f>
        <v>0</v>
      </c>
    </row>
    <row r="907" spans="10:20">
      <c r="J907">
        <f>IF($A907="","", SUMIFS(Mov_Qty, Mov_Item, $A907))</f>
        <v>0</v>
      </c>
      <c r="K907">
        <f>IF($A907="","", J907 * $E907)</f>
        <v>0</v>
      </c>
      <c r="L907">
        <f>IF($A907="","", SUMIFS(-Mov_Qty, Mov_Item, $A907, Mov_Type, "Consumption", Mov_Date, "&gt;="&amp;$V$2, Mov_Date, "&lt;="&amp;$W$2))</f>
        <v>0</v>
      </c>
      <c r="M907">
        <f>IF($A907="","", SUMIFS(-Mov_Qty, Mov_Item, $A907, Mov_Type, "Consumption", Mov_Date, "&gt;="&amp;$X$2, Mov_Date, "&lt;="&amp;$Y$2))</f>
        <v>0</v>
      </c>
      <c r="N907">
        <f>IF($A907="","", SUMIFS(-Mov_Qty, Mov_Item, $A907, Mov_Type, "Consumption", Mov_Date, "&gt;="&amp;$Z$2, Mov_Date, "&lt;="&amp;$AA$2))</f>
        <v>0</v>
      </c>
      <c r="O907">
        <f>IFERROR(AVERAGE(L907:N907),"")</f>
        <v>0</v>
      </c>
      <c r="P907">
        <f>IF(O907&gt;=Cfg_HiMove, "Yes", "")</f>
        <v>0</v>
      </c>
      <c r="Q907">
        <f>IF($A907="","", $I907 + IFERROR(O907/30*$H907,0))</f>
        <v>0</v>
      </c>
      <c r="R907">
        <f>IF($A907="","", IF(J907&lt;=$F907, "Yes", ""))</f>
        <v>0</v>
      </c>
      <c r="S907">
        <f>IF(R907="Yes", CEILING(MAX($G907, Q907-J907), $G907), 0)</f>
        <v>0</v>
      </c>
      <c r="T907">
        <f>IFERROR(J907/(O907/30),"")</f>
        <v>0</v>
      </c>
    </row>
    <row r="908" spans="10:20">
      <c r="J908">
        <f>IF($A908="","", SUMIFS(Mov_Qty, Mov_Item, $A908))</f>
        <v>0</v>
      </c>
      <c r="K908">
        <f>IF($A908="","", J908 * $E908)</f>
        <v>0</v>
      </c>
      <c r="L908">
        <f>IF($A908="","", SUMIFS(-Mov_Qty, Mov_Item, $A908, Mov_Type, "Consumption", Mov_Date, "&gt;="&amp;$V$2, Mov_Date, "&lt;="&amp;$W$2))</f>
        <v>0</v>
      </c>
      <c r="M908">
        <f>IF($A908="","", SUMIFS(-Mov_Qty, Mov_Item, $A908, Mov_Type, "Consumption", Mov_Date, "&gt;="&amp;$X$2, Mov_Date, "&lt;="&amp;$Y$2))</f>
        <v>0</v>
      </c>
      <c r="N908">
        <f>IF($A908="","", SUMIFS(-Mov_Qty, Mov_Item, $A908, Mov_Type, "Consumption", Mov_Date, "&gt;="&amp;$Z$2, Mov_Date, "&lt;="&amp;$AA$2))</f>
        <v>0</v>
      </c>
      <c r="O908">
        <f>IFERROR(AVERAGE(L908:N908),"")</f>
        <v>0</v>
      </c>
      <c r="P908">
        <f>IF(O908&gt;=Cfg_HiMove, "Yes", "")</f>
        <v>0</v>
      </c>
      <c r="Q908">
        <f>IF($A908="","", $I908 + IFERROR(O908/30*$H908,0))</f>
        <v>0</v>
      </c>
      <c r="R908">
        <f>IF($A908="","", IF(J908&lt;=$F908, "Yes", ""))</f>
        <v>0</v>
      </c>
      <c r="S908">
        <f>IF(R908="Yes", CEILING(MAX($G908, Q908-J908), $G908), 0)</f>
        <v>0</v>
      </c>
      <c r="T908">
        <f>IFERROR(J908/(O908/30),"")</f>
        <v>0</v>
      </c>
    </row>
    <row r="909" spans="10:20">
      <c r="J909">
        <f>IF($A909="","", SUMIFS(Mov_Qty, Mov_Item, $A909))</f>
        <v>0</v>
      </c>
      <c r="K909">
        <f>IF($A909="","", J909 * $E909)</f>
        <v>0</v>
      </c>
      <c r="L909">
        <f>IF($A909="","", SUMIFS(-Mov_Qty, Mov_Item, $A909, Mov_Type, "Consumption", Mov_Date, "&gt;="&amp;$V$2, Mov_Date, "&lt;="&amp;$W$2))</f>
        <v>0</v>
      </c>
      <c r="M909">
        <f>IF($A909="","", SUMIFS(-Mov_Qty, Mov_Item, $A909, Mov_Type, "Consumption", Mov_Date, "&gt;="&amp;$X$2, Mov_Date, "&lt;="&amp;$Y$2))</f>
        <v>0</v>
      </c>
      <c r="N909">
        <f>IF($A909="","", SUMIFS(-Mov_Qty, Mov_Item, $A909, Mov_Type, "Consumption", Mov_Date, "&gt;="&amp;$Z$2, Mov_Date, "&lt;="&amp;$AA$2))</f>
        <v>0</v>
      </c>
      <c r="O909">
        <f>IFERROR(AVERAGE(L909:N909),"")</f>
        <v>0</v>
      </c>
      <c r="P909">
        <f>IF(O909&gt;=Cfg_HiMove, "Yes", "")</f>
        <v>0</v>
      </c>
      <c r="Q909">
        <f>IF($A909="","", $I909 + IFERROR(O909/30*$H909,0))</f>
        <v>0</v>
      </c>
      <c r="R909">
        <f>IF($A909="","", IF(J909&lt;=$F909, "Yes", ""))</f>
        <v>0</v>
      </c>
      <c r="S909">
        <f>IF(R909="Yes", CEILING(MAX($G909, Q909-J909), $G909), 0)</f>
        <v>0</v>
      </c>
      <c r="T909">
        <f>IFERROR(J909/(O909/30),"")</f>
        <v>0</v>
      </c>
    </row>
    <row r="910" spans="10:20">
      <c r="J910">
        <f>IF($A910="","", SUMIFS(Mov_Qty, Mov_Item, $A910))</f>
        <v>0</v>
      </c>
      <c r="K910">
        <f>IF($A910="","", J910 * $E910)</f>
        <v>0</v>
      </c>
      <c r="L910">
        <f>IF($A910="","", SUMIFS(-Mov_Qty, Mov_Item, $A910, Mov_Type, "Consumption", Mov_Date, "&gt;="&amp;$V$2, Mov_Date, "&lt;="&amp;$W$2))</f>
        <v>0</v>
      </c>
      <c r="M910">
        <f>IF($A910="","", SUMIFS(-Mov_Qty, Mov_Item, $A910, Mov_Type, "Consumption", Mov_Date, "&gt;="&amp;$X$2, Mov_Date, "&lt;="&amp;$Y$2))</f>
        <v>0</v>
      </c>
      <c r="N910">
        <f>IF($A910="","", SUMIFS(-Mov_Qty, Mov_Item, $A910, Mov_Type, "Consumption", Mov_Date, "&gt;="&amp;$Z$2, Mov_Date, "&lt;="&amp;$AA$2))</f>
        <v>0</v>
      </c>
      <c r="O910">
        <f>IFERROR(AVERAGE(L910:N910),"")</f>
        <v>0</v>
      </c>
      <c r="P910">
        <f>IF(O910&gt;=Cfg_HiMove, "Yes", "")</f>
        <v>0</v>
      </c>
      <c r="Q910">
        <f>IF($A910="","", $I910 + IFERROR(O910/30*$H910,0))</f>
        <v>0</v>
      </c>
      <c r="R910">
        <f>IF($A910="","", IF(J910&lt;=$F910, "Yes", ""))</f>
        <v>0</v>
      </c>
      <c r="S910">
        <f>IF(R910="Yes", CEILING(MAX($G910, Q910-J910), $G910), 0)</f>
        <v>0</v>
      </c>
      <c r="T910">
        <f>IFERROR(J910/(O910/30),"")</f>
        <v>0</v>
      </c>
    </row>
    <row r="911" spans="10:20">
      <c r="J911">
        <f>IF($A911="","", SUMIFS(Mov_Qty, Mov_Item, $A911))</f>
        <v>0</v>
      </c>
      <c r="K911">
        <f>IF($A911="","", J911 * $E911)</f>
        <v>0</v>
      </c>
      <c r="L911">
        <f>IF($A911="","", SUMIFS(-Mov_Qty, Mov_Item, $A911, Mov_Type, "Consumption", Mov_Date, "&gt;="&amp;$V$2, Mov_Date, "&lt;="&amp;$W$2))</f>
        <v>0</v>
      </c>
      <c r="M911">
        <f>IF($A911="","", SUMIFS(-Mov_Qty, Mov_Item, $A911, Mov_Type, "Consumption", Mov_Date, "&gt;="&amp;$X$2, Mov_Date, "&lt;="&amp;$Y$2))</f>
        <v>0</v>
      </c>
      <c r="N911">
        <f>IF($A911="","", SUMIFS(-Mov_Qty, Mov_Item, $A911, Mov_Type, "Consumption", Mov_Date, "&gt;="&amp;$Z$2, Mov_Date, "&lt;="&amp;$AA$2))</f>
        <v>0</v>
      </c>
      <c r="O911">
        <f>IFERROR(AVERAGE(L911:N911),"")</f>
        <v>0</v>
      </c>
      <c r="P911">
        <f>IF(O911&gt;=Cfg_HiMove, "Yes", "")</f>
        <v>0</v>
      </c>
      <c r="Q911">
        <f>IF($A911="","", $I911 + IFERROR(O911/30*$H911,0))</f>
        <v>0</v>
      </c>
      <c r="R911">
        <f>IF($A911="","", IF(J911&lt;=$F911, "Yes", ""))</f>
        <v>0</v>
      </c>
      <c r="S911">
        <f>IF(R911="Yes", CEILING(MAX($G911, Q911-J911), $G911), 0)</f>
        <v>0</v>
      </c>
      <c r="T911">
        <f>IFERROR(J911/(O911/30),"")</f>
        <v>0</v>
      </c>
    </row>
    <row r="912" spans="10:20">
      <c r="J912">
        <f>IF($A912="","", SUMIFS(Mov_Qty, Mov_Item, $A912))</f>
        <v>0</v>
      </c>
      <c r="K912">
        <f>IF($A912="","", J912 * $E912)</f>
        <v>0</v>
      </c>
      <c r="L912">
        <f>IF($A912="","", SUMIFS(-Mov_Qty, Mov_Item, $A912, Mov_Type, "Consumption", Mov_Date, "&gt;="&amp;$V$2, Mov_Date, "&lt;="&amp;$W$2))</f>
        <v>0</v>
      </c>
      <c r="M912">
        <f>IF($A912="","", SUMIFS(-Mov_Qty, Mov_Item, $A912, Mov_Type, "Consumption", Mov_Date, "&gt;="&amp;$X$2, Mov_Date, "&lt;="&amp;$Y$2))</f>
        <v>0</v>
      </c>
      <c r="N912">
        <f>IF($A912="","", SUMIFS(-Mov_Qty, Mov_Item, $A912, Mov_Type, "Consumption", Mov_Date, "&gt;="&amp;$Z$2, Mov_Date, "&lt;="&amp;$AA$2))</f>
        <v>0</v>
      </c>
      <c r="O912">
        <f>IFERROR(AVERAGE(L912:N912),"")</f>
        <v>0</v>
      </c>
      <c r="P912">
        <f>IF(O912&gt;=Cfg_HiMove, "Yes", "")</f>
        <v>0</v>
      </c>
      <c r="Q912">
        <f>IF($A912="","", $I912 + IFERROR(O912/30*$H912,0))</f>
        <v>0</v>
      </c>
      <c r="R912">
        <f>IF($A912="","", IF(J912&lt;=$F912, "Yes", ""))</f>
        <v>0</v>
      </c>
      <c r="S912">
        <f>IF(R912="Yes", CEILING(MAX($G912, Q912-J912), $G912), 0)</f>
        <v>0</v>
      </c>
      <c r="T912">
        <f>IFERROR(J912/(O912/30),"")</f>
        <v>0</v>
      </c>
    </row>
    <row r="913" spans="10:20">
      <c r="J913">
        <f>IF($A913="","", SUMIFS(Mov_Qty, Mov_Item, $A913))</f>
        <v>0</v>
      </c>
      <c r="K913">
        <f>IF($A913="","", J913 * $E913)</f>
        <v>0</v>
      </c>
      <c r="L913">
        <f>IF($A913="","", SUMIFS(-Mov_Qty, Mov_Item, $A913, Mov_Type, "Consumption", Mov_Date, "&gt;="&amp;$V$2, Mov_Date, "&lt;="&amp;$W$2))</f>
        <v>0</v>
      </c>
      <c r="M913">
        <f>IF($A913="","", SUMIFS(-Mov_Qty, Mov_Item, $A913, Mov_Type, "Consumption", Mov_Date, "&gt;="&amp;$X$2, Mov_Date, "&lt;="&amp;$Y$2))</f>
        <v>0</v>
      </c>
      <c r="N913">
        <f>IF($A913="","", SUMIFS(-Mov_Qty, Mov_Item, $A913, Mov_Type, "Consumption", Mov_Date, "&gt;="&amp;$Z$2, Mov_Date, "&lt;="&amp;$AA$2))</f>
        <v>0</v>
      </c>
      <c r="O913">
        <f>IFERROR(AVERAGE(L913:N913),"")</f>
        <v>0</v>
      </c>
      <c r="P913">
        <f>IF(O913&gt;=Cfg_HiMove, "Yes", "")</f>
        <v>0</v>
      </c>
      <c r="Q913">
        <f>IF($A913="","", $I913 + IFERROR(O913/30*$H913,0))</f>
        <v>0</v>
      </c>
      <c r="R913">
        <f>IF($A913="","", IF(J913&lt;=$F913, "Yes", ""))</f>
        <v>0</v>
      </c>
      <c r="S913">
        <f>IF(R913="Yes", CEILING(MAX($G913, Q913-J913), $G913), 0)</f>
        <v>0</v>
      </c>
      <c r="T913">
        <f>IFERROR(J913/(O913/30),"")</f>
        <v>0</v>
      </c>
    </row>
    <row r="914" spans="10:20">
      <c r="J914">
        <f>IF($A914="","", SUMIFS(Mov_Qty, Mov_Item, $A914))</f>
        <v>0</v>
      </c>
      <c r="K914">
        <f>IF($A914="","", J914 * $E914)</f>
        <v>0</v>
      </c>
      <c r="L914">
        <f>IF($A914="","", SUMIFS(-Mov_Qty, Mov_Item, $A914, Mov_Type, "Consumption", Mov_Date, "&gt;="&amp;$V$2, Mov_Date, "&lt;="&amp;$W$2))</f>
        <v>0</v>
      </c>
      <c r="M914">
        <f>IF($A914="","", SUMIFS(-Mov_Qty, Mov_Item, $A914, Mov_Type, "Consumption", Mov_Date, "&gt;="&amp;$X$2, Mov_Date, "&lt;="&amp;$Y$2))</f>
        <v>0</v>
      </c>
      <c r="N914">
        <f>IF($A914="","", SUMIFS(-Mov_Qty, Mov_Item, $A914, Mov_Type, "Consumption", Mov_Date, "&gt;="&amp;$Z$2, Mov_Date, "&lt;="&amp;$AA$2))</f>
        <v>0</v>
      </c>
      <c r="O914">
        <f>IFERROR(AVERAGE(L914:N914),"")</f>
        <v>0</v>
      </c>
      <c r="P914">
        <f>IF(O914&gt;=Cfg_HiMove, "Yes", "")</f>
        <v>0</v>
      </c>
      <c r="Q914">
        <f>IF($A914="","", $I914 + IFERROR(O914/30*$H914,0))</f>
        <v>0</v>
      </c>
      <c r="R914">
        <f>IF($A914="","", IF(J914&lt;=$F914, "Yes", ""))</f>
        <v>0</v>
      </c>
      <c r="S914">
        <f>IF(R914="Yes", CEILING(MAX($G914, Q914-J914), $G914), 0)</f>
        <v>0</v>
      </c>
      <c r="T914">
        <f>IFERROR(J914/(O914/30),"")</f>
        <v>0</v>
      </c>
    </row>
    <row r="915" spans="10:20">
      <c r="J915">
        <f>IF($A915="","", SUMIFS(Mov_Qty, Mov_Item, $A915))</f>
        <v>0</v>
      </c>
      <c r="K915">
        <f>IF($A915="","", J915 * $E915)</f>
        <v>0</v>
      </c>
      <c r="L915">
        <f>IF($A915="","", SUMIFS(-Mov_Qty, Mov_Item, $A915, Mov_Type, "Consumption", Mov_Date, "&gt;="&amp;$V$2, Mov_Date, "&lt;="&amp;$W$2))</f>
        <v>0</v>
      </c>
      <c r="M915">
        <f>IF($A915="","", SUMIFS(-Mov_Qty, Mov_Item, $A915, Mov_Type, "Consumption", Mov_Date, "&gt;="&amp;$X$2, Mov_Date, "&lt;="&amp;$Y$2))</f>
        <v>0</v>
      </c>
      <c r="N915">
        <f>IF($A915="","", SUMIFS(-Mov_Qty, Mov_Item, $A915, Mov_Type, "Consumption", Mov_Date, "&gt;="&amp;$Z$2, Mov_Date, "&lt;="&amp;$AA$2))</f>
        <v>0</v>
      </c>
      <c r="O915">
        <f>IFERROR(AVERAGE(L915:N915),"")</f>
        <v>0</v>
      </c>
      <c r="P915">
        <f>IF(O915&gt;=Cfg_HiMove, "Yes", "")</f>
        <v>0</v>
      </c>
      <c r="Q915">
        <f>IF($A915="","", $I915 + IFERROR(O915/30*$H915,0))</f>
        <v>0</v>
      </c>
      <c r="R915">
        <f>IF($A915="","", IF(J915&lt;=$F915, "Yes", ""))</f>
        <v>0</v>
      </c>
      <c r="S915">
        <f>IF(R915="Yes", CEILING(MAX($G915, Q915-J915), $G915), 0)</f>
        <v>0</v>
      </c>
      <c r="T915">
        <f>IFERROR(J915/(O915/30),"")</f>
        <v>0</v>
      </c>
    </row>
    <row r="916" spans="10:20">
      <c r="J916">
        <f>IF($A916="","", SUMIFS(Mov_Qty, Mov_Item, $A916))</f>
        <v>0</v>
      </c>
      <c r="K916">
        <f>IF($A916="","", J916 * $E916)</f>
        <v>0</v>
      </c>
      <c r="L916">
        <f>IF($A916="","", SUMIFS(-Mov_Qty, Mov_Item, $A916, Mov_Type, "Consumption", Mov_Date, "&gt;="&amp;$V$2, Mov_Date, "&lt;="&amp;$W$2))</f>
        <v>0</v>
      </c>
      <c r="M916">
        <f>IF($A916="","", SUMIFS(-Mov_Qty, Mov_Item, $A916, Mov_Type, "Consumption", Mov_Date, "&gt;="&amp;$X$2, Mov_Date, "&lt;="&amp;$Y$2))</f>
        <v>0</v>
      </c>
      <c r="N916">
        <f>IF($A916="","", SUMIFS(-Mov_Qty, Mov_Item, $A916, Mov_Type, "Consumption", Mov_Date, "&gt;="&amp;$Z$2, Mov_Date, "&lt;="&amp;$AA$2))</f>
        <v>0</v>
      </c>
      <c r="O916">
        <f>IFERROR(AVERAGE(L916:N916),"")</f>
        <v>0</v>
      </c>
      <c r="P916">
        <f>IF(O916&gt;=Cfg_HiMove, "Yes", "")</f>
        <v>0</v>
      </c>
      <c r="Q916">
        <f>IF($A916="","", $I916 + IFERROR(O916/30*$H916,0))</f>
        <v>0</v>
      </c>
      <c r="R916">
        <f>IF($A916="","", IF(J916&lt;=$F916, "Yes", ""))</f>
        <v>0</v>
      </c>
      <c r="S916">
        <f>IF(R916="Yes", CEILING(MAX($G916, Q916-J916), $G916), 0)</f>
        <v>0</v>
      </c>
      <c r="T916">
        <f>IFERROR(J916/(O916/30),"")</f>
        <v>0</v>
      </c>
    </row>
    <row r="917" spans="10:20">
      <c r="J917">
        <f>IF($A917="","", SUMIFS(Mov_Qty, Mov_Item, $A917))</f>
        <v>0</v>
      </c>
      <c r="K917">
        <f>IF($A917="","", J917 * $E917)</f>
        <v>0</v>
      </c>
      <c r="L917">
        <f>IF($A917="","", SUMIFS(-Mov_Qty, Mov_Item, $A917, Mov_Type, "Consumption", Mov_Date, "&gt;="&amp;$V$2, Mov_Date, "&lt;="&amp;$W$2))</f>
        <v>0</v>
      </c>
      <c r="M917">
        <f>IF($A917="","", SUMIFS(-Mov_Qty, Mov_Item, $A917, Mov_Type, "Consumption", Mov_Date, "&gt;="&amp;$X$2, Mov_Date, "&lt;="&amp;$Y$2))</f>
        <v>0</v>
      </c>
      <c r="N917">
        <f>IF($A917="","", SUMIFS(-Mov_Qty, Mov_Item, $A917, Mov_Type, "Consumption", Mov_Date, "&gt;="&amp;$Z$2, Mov_Date, "&lt;="&amp;$AA$2))</f>
        <v>0</v>
      </c>
      <c r="O917">
        <f>IFERROR(AVERAGE(L917:N917),"")</f>
        <v>0</v>
      </c>
      <c r="P917">
        <f>IF(O917&gt;=Cfg_HiMove, "Yes", "")</f>
        <v>0</v>
      </c>
      <c r="Q917">
        <f>IF($A917="","", $I917 + IFERROR(O917/30*$H917,0))</f>
        <v>0</v>
      </c>
      <c r="R917">
        <f>IF($A917="","", IF(J917&lt;=$F917, "Yes", ""))</f>
        <v>0</v>
      </c>
      <c r="S917">
        <f>IF(R917="Yes", CEILING(MAX($G917, Q917-J917), $G917), 0)</f>
        <v>0</v>
      </c>
      <c r="T917">
        <f>IFERROR(J917/(O917/30),"")</f>
        <v>0</v>
      </c>
    </row>
    <row r="918" spans="10:20">
      <c r="J918">
        <f>IF($A918="","", SUMIFS(Mov_Qty, Mov_Item, $A918))</f>
        <v>0</v>
      </c>
      <c r="K918">
        <f>IF($A918="","", J918 * $E918)</f>
        <v>0</v>
      </c>
      <c r="L918">
        <f>IF($A918="","", SUMIFS(-Mov_Qty, Mov_Item, $A918, Mov_Type, "Consumption", Mov_Date, "&gt;="&amp;$V$2, Mov_Date, "&lt;="&amp;$W$2))</f>
        <v>0</v>
      </c>
      <c r="M918">
        <f>IF($A918="","", SUMIFS(-Mov_Qty, Mov_Item, $A918, Mov_Type, "Consumption", Mov_Date, "&gt;="&amp;$X$2, Mov_Date, "&lt;="&amp;$Y$2))</f>
        <v>0</v>
      </c>
      <c r="N918">
        <f>IF($A918="","", SUMIFS(-Mov_Qty, Mov_Item, $A918, Mov_Type, "Consumption", Mov_Date, "&gt;="&amp;$Z$2, Mov_Date, "&lt;="&amp;$AA$2))</f>
        <v>0</v>
      </c>
      <c r="O918">
        <f>IFERROR(AVERAGE(L918:N918),"")</f>
        <v>0</v>
      </c>
      <c r="P918">
        <f>IF(O918&gt;=Cfg_HiMove, "Yes", "")</f>
        <v>0</v>
      </c>
      <c r="Q918">
        <f>IF($A918="","", $I918 + IFERROR(O918/30*$H918,0))</f>
        <v>0</v>
      </c>
      <c r="R918">
        <f>IF($A918="","", IF(J918&lt;=$F918, "Yes", ""))</f>
        <v>0</v>
      </c>
      <c r="S918">
        <f>IF(R918="Yes", CEILING(MAX($G918, Q918-J918), $G918), 0)</f>
        <v>0</v>
      </c>
      <c r="T918">
        <f>IFERROR(J918/(O918/30),"")</f>
        <v>0</v>
      </c>
    </row>
    <row r="919" spans="10:20">
      <c r="J919">
        <f>IF($A919="","", SUMIFS(Mov_Qty, Mov_Item, $A919))</f>
        <v>0</v>
      </c>
      <c r="K919">
        <f>IF($A919="","", J919 * $E919)</f>
        <v>0</v>
      </c>
      <c r="L919">
        <f>IF($A919="","", SUMIFS(-Mov_Qty, Mov_Item, $A919, Mov_Type, "Consumption", Mov_Date, "&gt;="&amp;$V$2, Mov_Date, "&lt;="&amp;$W$2))</f>
        <v>0</v>
      </c>
      <c r="M919">
        <f>IF($A919="","", SUMIFS(-Mov_Qty, Mov_Item, $A919, Mov_Type, "Consumption", Mov_Date, "&gt;="&amp;$X$2, Mov_Date, "&lt;="&amp;$Y$2))</f>
        <v>0</v>
      </c>
      <c r="N919">
        <f>IF($A919="","", SUMIFS(-Mov_Qty, Mov_Item, $A919, Mov_Type, "Consumption", Mov_Date, "&gt;="&amp;$Z$2, Mov_Date, "&lt;="&amp;$AA$2))</f>
        <v>0</v>
      </c>
      <c r="O919">
        <f>IFERROR(AVERAGE(L919:N919),"")</f>
        <v>0</v>
      </c>
      <c r="P919">
        <f>IF(O919&gt;=Cfg_HiMove, "Yes", "")</f>
        <v>0</v>
      </c>
      <c r="Q919">
        <f>IF($A919="","", $I919 + IFERROR(O919/30*$H919,0))</f>
        <v>0</v>
      </c>
      <c r="R919">
        <f>IF($A919="","", IF(J919&lt;=$F919, "Yes", ""))</f>
        <v>0</v>
      </c>
      <c r="S919">
        <f>IF(R919="Yes", CEILING(MAX($G919, Q919-J919), $G919), 0)</f>
        <v>0</v>
      </c>
      <c r="T919">
        <f>IFERROR(J919/(O919/30),"")</f>
        <v>0</v>
      </c>
    </row>
    <row r="920" spans="10:20">
      <c r="J920">
        <f>IF($A920="","", SUMIFS(Mov_Qty, Mov_Item, $A920))</f>
        <v>0</v>
      </c>
      <c r="K920">
        <f>IF($A920="","", J920 * $E920)</f>
        <v>0</v>
      </c>
      <c r="L920">
        <f>IF($A920="","", SUMIFS(-Mov_Qty, Mov_Item, $A920, Mov_Type, "Consumption", Mov_Date, "&gt;="&amp;$V$2, Mov_Date, "&lt;="&amp;$W$2))</f>
        <v>0</v>
      </c>
      <c r="M920">
        <f>IF($A920="","", SUMIFS(-Mov_Qty, Mov_Item, $A920, Mov_Type, "Consumption", Mov_Date, "&gt;="&amp;$X$2, Mov_Date, "&lt;="&amp;$Y$2))</f>
        <v>0</v>
      </c>
      <c r="N920">
        <f>IF($A920="","", SUMIFS(-Mov_Qty, Mov_Item, $A920, Mov_Type, "Consumption", Mov_Date, "&gt;="&amp;$Z$2, Mov_Date, "&lt;="&amp;$AA$2))</f>
        <v>0</v>
      </c>
      <c r="O920">
        <f>IFERROR(AVERAGE(L920:N920),"")</f>
        <v>0</v>
      </c>
      <c r="P920">
        <f>IF(O920&gt;=Cfg_HiMove, "Yes", "")</f>
        <v>0</v>
      </c>
      <c r="Q920">
        <f>IF($A920="","", $I920 + IFERROR(O920/30*$H920,0))</f>
        <v>0</v>
      </c>
      <c r="R920">
        <f>IF($A920="","", IF(J920&lt;=$F920, "Yes", ""))</f>
        <v>0</v>
      </c>
      <c r="S920">
        <f>IF(R920="Yes", CEILING(MAX($G920, Q920-J920), $G920), 0)</f>
        <v>0</v>
      </c>
      <c r="T920">
        <f>IFERROR(J920/(O920/30),"")</f>
        <v>0</v>
      </c>
    </row>
    <row r="921" spans="10:20">
      <c r="J921">
        <f>IF($A921="","", SUMIFS(Mov_Qty, Mov_Item, $A921))</f>
        <v>0</v>
      </c>
      <c r="K921">
        <f>IF($A921="","", J921 * $E921)</f>
        <v>0</v>
      </c>
      <c r="L921">
        <f>IF($A921="","", SUMIFS(-Mov_Qty, Mov_Item, $A921, Mov_Type, "Consumption", Mov_Date, "&gt;="&amp;$V$2, Mov_Date, "&lt;="&amp;$W$2))</f>
        <v>0</v>
      </c>
      <c r="M921">
        <f>IF($A921="","", SUMIFS(-Mov_Qty, Mov_Item, $A921, Mov_Type, "Consumption", Mov_Date, "&gt;="&amp;$X$2, Mov_Date, "&lt;="&amp;$Y$2))</f>
        <v>0</v>
      </c>
      <c r="N921">
        <f>IF($A921="","", SUMIFS(-Mov_Qty, Mov_Item, $A921, Mov_Type, "Consumption", Mov_Date, "&gt;="&amp;$Z$2, Mov_Date, "&lt;="&amp;$AA$2))</f>
        <v>0</v>
      </c>
      <c r="O921">
        <f>IFERROR(AVERAGE(L921:N921),"")</f>
        <v>0</v>
      </c>
      <c r="P921">
        <f>IF(O921&gt;=Cfg_HiMove, "Yes", "")</f>
        <v>0</v>
      </c>
      <c r="Q921">
        <f>IF($A921="","", $I921 + IFERROR(O921/30*$H921,0))</f>
        <v>0</v>
      </c>
      <c r="R921">
        <f>IF($A921="","", IF(J921&lt;=$F921, "Yes", ""))</f>
        <v>0</v>
      </c>
      <c r="S921">
        <f>IF(R921="Yes", CEILING(MAX($G921, Q921-J921), $G921), 0)</f>
        <v>0</v>
      </c>
      <c r="T921">
        <f>IFERROR(J921/(O921/30),"")</f>
        <v>0</v>
      </c>
    </row>
    <row r="922" spans="10:20">
      <c r="J922">
        <f>IF($A922="","", SUMIFS(Mov_Qty, Mov_Item, $A922))</f>
        <v>0</v>
      </c>
      <c r="K922">
        <f>IF($A922="","", J922 * $E922)</f>
        <v>0</v>
      </c>
      <c r="L922">
        <f>IF($A922="","", SUMIFS(-Mov_Qty, Mov_Item, $A922, Mov_Type, "Consumption", Mov_Date, "&gt;="&amp;$V$2, Mov_Date, "&lt;="&amp;$W$2))</f>
        <v>0</v>
      </c>
      <c r="M922">
        <f>IF($A922="","", SUMIFS(-Mov_Qty, Mov_Item, $A922, Mov_Type, "Consumption", Mov_Date, "&gt;="&amp;$X$2, Mov_Date, "&lt;="&amp;$Y$2))</f>
        <v>0</v>
      </c>
      <c r="N922">
        <f>IF($A922="","", SUMIFS(-Mov_Qty, Mov_Item, $A922, Mov_Type, "Consumption", Mov_Date, "&gt;="&amp;$Z$2, Mov_Date, "&lt;="&amp;$AA$2))</f>
        <v>0</v>
      </c>
      <c r="O922">
        <f>IFERROR(AVERAGE(L922:N922),"")</f>
        <v>0</v>
      </c>
      <c r="P922">
        <f>IF(O922&gt;=Cfg_HiMove, "Yes", "")</f>
        <v>0</v>
      </c>
      <c r="Q922">
        <f>IF($A922="","", $I922 + IFERROR(O922/30*$H922,0))</f>
        <v>0</v>
      </c>
      <c r="R922">
        <f>IF($A922="","", IF(J922&lt;=$F922, "Yes", ""))</f>
        <v>0</v>
      </c>
      <c r="S922">
        <f>IF(R922="Yes", CEILING(MAX($G922, Q922-J922), $G922), 0)</f>
        <v>0</v>
      </c>
      <c r="T922">
        <f>IFERROR(J922/(O922/30),"")</f>
        <v>0</v>
      </c>
    </row>
    <row r="923" spans="10:20">
      <c r="J923">
        <f>IF($A923="","", SUMIFS(Mov_Qty, Mov_Item, $A923))</f>
        <v>0</v>
      </c>
      <c r="K923">
        <f>IF($A923="","", J923 * $E923)</f>
        <v>0</v>
      </c>
      <c r="L923">
        <f>IF($A923="","", SUMIFS(-Mov_Qty, Mov_Item, $A923, Mov_Type, "Consumption", Mov_Date, "&gt;="&amp;$V$2, Mov_Date, "&lt;="&amp;$W$2))</f>
        <v>0</v>
      </c>
      <c r="M923">
        <f>IF($A923="","", SUMIFS(-Mov_Qty, Mov_Item, $A923, Mov_Type, "Consumption", Mov_Date, "&gt;="&amp;$X$2, Mov_Date, "&lt;="&amp;$Y$2))</f>
        <v>0</v>
      </c>
      <c r="N923">
        <f>IF($A923="","", SUMIFS(-Mov_Qty, Mov_Item, $A923, Mov_Type, "Consumption", Mov_Date, "&gt;="&amp;$Z$2, Mov_Date, "&lt;="&amp;$AA$2))</f>
        <v>0</v>
      </c>
      <c r="O923">
        <f>IFERROR(AVERAGE(L923:N923),"")</f>
        <v>0</v>
      </c>
      <c r="P923">
        <f>IF(O923&gt;=Cfg_HiMove, "Yes", "")</f>
        <v>0</v>
      </c>
      <c r="Q923">
        <f>IF($A923="","", $I923 + IFERROR(O923/30*$H923,0))</f>
        <v>0</v>
      </c>
      <c r="R923">
        <f>IF($A923="","", IF(J923&lt;=$F923, "Yes", ""))</f>
        <v>0</v>
      </c>
      <c r="S923">
        <f>IF(R923="Yes", CEILING(MAX($G923, Q923-J923), $G923), 0)</f>
        <v>0</v>
      </c>
      <c r="T923">
        <f>IFERROR(J923/(O923/30),"")</f>
        <v>0</v>
      </c>
    </row>
    <row r="924" spans="10:20">
      <c r="J924">
        <f>IF($A924="","", SUMIFS(Mov_Qty, Mov_Item, $A924))</f>
        <v>0</v>
      </c>
      <c r="K924">
        <f>IF($A924="","", J924 * $E924)</f>
        <v>0</v>
      </c>
      <c r="L924">
        <f>IF($A924="","", SUMIFS(-Mov_Qty, Mov_Item, $A924, Mov_Type, "Consumption", Mov_Date, "&gt;="&amp;$V$2, Mov_Date, "&lt;="&amp;$W$2))</f>
        <v>0</v>
      </c>
      <c r="M924">
        <f>IF($A924="","", SUMIFS(-Mov_Qty, Mov_Item, $A924, Mov_Type, "Consumption", Mov_Date, "&gt;="&amp;$X$2, Mov_Date, "&lt;="&amp;$Y$2))</f>
        <v>0</v>
      </c>
      <c r="N924">
        <f>IF($A924="","", SUMIFS(-Mov_Qty, Mov_Item, $A924, Mov_Type, "Consumption", Mov_Date, "&gt;="&amp;$Z$2, Mov_Date, "&lt;="&amp;$AA$2))</f>
        <v>0</v>
      </c>
      <c r="O924">
        <f>IFERROR(AVERAGE(L924:N924),"")</f>
        <v>0</v>
      </c>
      <c r="P924">
        <f>IF(O924&gt;=Cfg_HiMove, "Yes", "")</f>
        <v>0</v>
      </c>
      <c r="Q924">
        <f>IF($A924="","", $I924 + IFERROR(O924/30*$H924,0))</f>
        <v>0</v>
      </c>
      <c r="R924">
        <f>IF($A924="","", IF(J924&lt;=$F924, "Yes", ""))</f>
        <v>0</v>
      </c>
      <c r="S924">
        <f>IF(R924="Yes", CEILING(MAX($G924, Q924-J924), $G924), 0)</f>
        <v>0</v>
      </c>
      <c r="T924">
        <f>IFERROR(J924/(O924/30),"")</f>
        <v>0</v>
      </c>
    </row>
    <row r="925" spans="10:20">
      <c r="J925">
        <f>IF($A925="","", SUMIFS(Mov_Qty, Mov_Item, $A925))</f>
        <v>0</v>
      </c>
      <c r="K925">
        <f>IF($A925="","", J925 * $E925)</f>
        <v>0</v>
      </c>
      <c r="L925">
        <f>IF($A925="","", SUMIFS(-Mov_Qty, Mov_Item, $A925, Mov_Type, "Consumption", Mov_Date, "&gt;="&amp;$V$2, Mov_Date, "&lt;="&amp;$W$2))</f>
        <v>0</v>
      </c>
      <c r="M925">
        <f>IF($A925="","", SUMIFS(-Mov_Qty, Mov_Item, $A925, Mov_Type, "Consumption", Mov_Date, "&gt;="&amp;$X$2, Mov_Date, "&lt;="&amp;$Y$2))</f>
        <v>0</v>
      </c>
      <c r="N925">
        <f>IF($A925="","", SUMIFS(-Mov_Qty, Mov_Item, $A925, Mov_Type, "Consumption", Mov_Date, "&gt;="&amp;$Z$2, Mov_Date, "&lt;="&amp;$AA$2))</f>
        <v>0</v>
      </c>
      <c r="O925">
        <f>IFERROR(AVERAGE(L925:N925),"")</f>
        <v>0</v>
      </c>
      <c r="P925">
        <f>IF(O925&gt;=Cfg_HiMove, "Yes", "")</f>
        <v>0</v>
      </c>
      <c r="Q925">
        <f>IF($A925="","", $I925 + IFERROR(O925/30*$H925,0))</f>
        <v>0</v>
      </c>
      <c r="R925">
        <f>IF($A925="","", IF(J925&lt;=$F925, "Yes", ""))</f>
        <v>0</v>
      </c>
      <c r="S925">
        <f>IF(R925="Yes", CEILING(MAX($G925, Q925-J925), $G925), 0)</f>
        <v>0</v>
      </c>
      <c r="T925">
        <f>IFERROR(J925/(O925/30),"")</f>
        <v>0</v>
      </c>
    </row>
    <row r="926" spans="10:20">
      <c r="J926">
        <f>IF($A926="","", SUMIFS(Mov_Qty, Mov_Item, $A926))</f>
        <v>0</v>
      </c>
      <c r="K926">
        <f>IF($A926="","", J926 * $E926)</f>
        <v>0</v>
      </c>
      <c r="L926">
        <f>IF($A926="","", SUMIFS(-Mov_Qty, Mov_Item, $A926, Mov_Type, "Consumption", Mov_Date, "&gt;="&amp;$V$2, Mov_Date, "&lt;="&amp;$W$2))</f>
        <v>0</v>
      </c>
      <c r="M926">
        <f>IF($A926="","", SUMIFS(-Mov_Qty, Mov_Item, $A926, Mov_Type, "Consumption", Mov_Date, "&gt;="&amp;$X$2, Mov_Date, "&lt;="&amp;$Y$2))</f>
        <v>0</v>
      </c>
      <c r="N926">
        <f>IF($A926="","", SUMIFS(-Mov_Qty, Mov_Item, $A926, Mov_Type, "Consumption", Mov_Date, "&gt;="&amp;$Z$2, Mov_Date, "&lt;="&amp;$AA$2))</f>
        <v>0</v>
      </c>
      <c r="O926">
        <f>IFERROR(AVERAGE(L926:N926),"")</f>
        <v>0</v>
      </c>
      <c r="P926">
        <f>IF(O926&gt;=Cfg_HiMove, "Yes", "")</f>
        <v>0</v>
      </c>
      <c r="Q926">
        <f>IF($A926="","", $I926 + IFERROR(O926/30*$H926,0))</f>
        <v>0</v>
      </c>
      <c r="R926">
        <f>IF($A926="","", IF(J926&lt;=$F926, "Yes", ""))</f>
        <v>0</v>
      </c>
      <c r="S926">
        <f>IF(R926="Yes", CEILING(MAX($G926, Q926-J926), $G926), 0)</f>
        <v>0</v>
      </c>
      <c r="T926">
        <f>IFERROR(J926/(O926/30),"")</f>
        <v>0</v>
      </c>
    </row>
    <row r="927" spans="10:20">
      <c r="J927">
        <f>IF($A927="","", SUMIFS(Mov_Qty, Mov_Item, $A927))</f>
        <v>0</v>
      </c>
      <c r="K927">
        <f>IF($A927="","", J927 * $E927)</f>
        <v>0</v>
      </c>
      <c r="L927">
        <f>IF($A927="","", SUMIFS(-Mov_Qty, Mov_Item, $A927, Mov_Type, "Consumption", Mov_Date, "&gt;="&amp;$V$2, Mov_Date, "&lt;="&amp;$W$2))</f>
        <v>0</v>
      </c>
      <c r="M927">
        <f>IF($A927="","", SUMIFS(-Mov_Qty, Mov_Item, $A927, Mov_Type, "Consumption", Mov_Date, "&gt;="&amp;$X$2, Mov_Date, "&lt;="&amp;$Y$2))</f>
        <v>0</v>
      </c>
      <c r="N927">
        <f>IF($A927="","", SUMIFS(-Mov_Qty, Mov_Item, $A927, Mov_Type, "Consumption", Mov_Date, "&gt;="&amp;$Z$2, Mov_Date, "&lt;="&amp;$AA$2))</f>
        <v>0</v>
      </c>
      <c r="O927">
        <f>IFERROR(AVERAGE(L927:N927),"")</f>
        <v>0</v>
      </c>
      <c r="P927">
        <f>IF(O927&gt;=Cfg_HiMove, "Yes", "")</f>
        <v>0</v>
      </c>
      <c r="Q927">
        <f>IF($A927="","", $I927 + IFERROR(O927/30*$H927,0))</f>
        <v>0</v>
      </c>
      <c r="R927">
        <f>IF($A927="","", IF(J927&lt;=$F927, "Yes", ""))</f>
        <v>0</v>
      </c>
      <c r="S927">
        <f>IF(R927="Yes", CEILING(MAX($G927, Q927-J927), $G927), 0)</f>
        <v>0</v>
      </c>
      <c r="T927">
        <f>IFERROR(J927/(O927/30),"")</f>
        <v>0</v>
      </c>
    </row>
    <row r="928" spans="10:20">
      <c r="J928">
        <f>IF($A928="","", SUMIFS(Mov_Qty, Mov_Item, $A928))</f>
        <v>0</v>
      </c>
      <c r="K928">
        <f>IF($A928="","", J928 * $E928)</f>
        <v>0</v>
      </c>
      <c r="L928">
        <f>IF($A928="","", SUMIFS(-Mov_Qty, Mov_Item, $A928, Mov_Type, "Consumption", Mov_Date, "&gt;="&amp;$V$2, Mov_Date, "&lt;="&amp;$W$2))</f>
        <v>0</v>
      </c>
      <c r="M928">
        <f>IF($A928="","", SUMIFS(-Mov_Qty, Mov_Item, $A928, Mov_Type, "Consumption", Mov_Date, "&gt;="&amp;$X$2, Mov_Date, "&lt;="&amp;$Y$2))</f>
        <v>0</v>
      </c>
      <c r="N928">
        <f>IF($A928="","", SUMIFS(-Mov_Qty, Mov_Item, $A928, Mov_Type, "Consumption", Mov_Date, "&gt;="&amp;$Z$2, Mov_Date, "&lt;="&amp;$AA$2))</f>
        <v>0</v>
      </c>
      <c r="O928">
        <f>IFERROR(AVERAGE(L928:N928),"")</f>
        <v>0</v>
      </c>
      <c r="P928">
        <f>IF(O928&gt;=Cfg_HiMove, "Yes", "")</f>
        <v>0</v>
      </c>
      <c r="Q928">
        <f>IF($A928="","", $I928 + IFERROR(O928/30*$H928,0))</f>
        <v>0</v>
      </c>
      <c r="R928">
        <f>IF($A928="","", IF(J928&lt;=$F928, "Yes", ""))</f>
        <v>0</v>
      </c>
      <c r="S928">
        <f>IF(R928="Yes", CEILING(MAX($G928, Q928-J928), $G928), 0)</f>
        <v>0</v>
      </c>
      <c r="T928">
        <f>IFERROR(J928/(O928/30),"")</f>
        <v>0</v>
      </c>
    </row>
    <row r="929" spans="10:20">
      <c r="J929">
        <f>IF($A929="","", SUMIFS(Mov_Qty, Mov_Item, $A929))</f>
        <v>0</v>
      </c>
      <c r="K929">
        <f>IF($A929="","", J929 * $E929)</f>
        <v>0</v>
      </c>
      <c r="L929">
        <f>IF($A929="","", SUMIFS(-Mov_Qty, Mov_Item, $A929, Mov_Type, "Consumption", Mov_Date, "&gt;="&amp;$V$2, Mov_Date, "&lt;="&amp;$W$2))</f>
        <v>0</v>
      </c>
      <c r="M929">
        <f>IF($A929="","", SUMIFS(-Mov_Qty, Mov_Item, $A929, Mov_Type, "Consumption", Mov_Date, "&gt;="&amp;$X$2, Mov_Date, "&lt;="&amp;$Y$2))</f>
        <v>0</v>
      </c>
      <c r="N929">
        <f>IF($A929="","", SUMIFS(-Mov_Qty, Mov_Item, $A929, Mov_Type, "Consumption", Mov_Date, "&gt;="&amp;$Z$2, Mov_Date, "&lt;="&amp;$AA$2))</f>
        <v>0</v>
      </c>
      <c r="O929">
        <f>IFERROR(AVERAGE(L929:N929),"")</f>
        <v>0</v>
      </c>
      <c r="P929">
        <f>IF(O929&gt;=Cfg_HiMove, "Yes", "")</f>
        <v>0</v>
      </c>
      <c r="Q929">
        <f>IF($A929="","", $I929 + IFERROR(O929/30*$H929,0))</f>
        <v>0</v>
      </c>
      <c r="R929">
        <f>IF($A929="","", IF(J929&lt;=$F929, "Yes", ""))</f>
        <v>0</v>
      </c>
      <c r="S929">
        <f>IF(R929="Yes", CEILING(MAX($G929, Q929-J929), $G929), 0)</f>
        <v>0</v>
      </c>
      <c r="T929">
        <f>IFERROR(J929/(O929/30),"")</f>
        <v>0</v>
      </c>
    </row>
    <row r="930" spans="10:20">
      <c r="J930">
        <f>IF($A930="","", SUMIFS(Mov_Qty, Mov_Item, $A930))</f>
        <v>0</v>
      </c>
      <c r="K930">
        <f>IF($A930="","", J930 * $E930)</f>
        <v>0</v>
      </c>
      <c r="L930">
        <f>IF($A930="","", SUMIFS(-Mov_Qty, Mov_Item, $A930, Mov_Type, "Consumption", Mov_Date, "&gt;="&amp;$V$2, Mov_Date, "&lt;="&amp;$W$2))</f>
        <v>0</v>
      </c>
      <c r="M930">
        <f>IF($A930="","", SUMIFS(-Mov_Qty, Mov_Item, $A930, Mov_Type, "Consumption", Mov_Date, "&gt;="&amp;$X$2, Mov_Date, "&lt;="&amp;$Y$2))</f>
        <v>0</v>
      </c>
      <c r="N930">
        <f>IF($A930="","", SUMIFS(-Mov_Qty, Mov_Item, $A930, Mov_Type, "Consumption", Mov_Date, "&gt;="&amp;$Z$2, Mov_Date, "&lt;="&amp;$AA$2))</f>
        <v>0</v>
      </c>
      <c r="O930">
        <f>IFERROR(AVERAGE(L930:N930),"")</f>
        <v>0</v>
      </c>
      <c r="P930">
        <f>IF(O930&gt;=Cfg_HiMove, "Yes", "")</f>
        <v>0</v>
      </c>
      <c r="Q930">
        <f>IF($A930="","", $I930 + IFERROR(O930/30*$H930,0))</f>
        <v>0</v>
      </c>
      <c r="R930">
        <f>IF($A930="","", IF(J930&lt;=$F930, "Yes", ""))</f>
        <v>0</v>
      </c>
      <c r="S930">
        <f>IF(R930="Yes", CEILING(MAX($G930, Q930-J930), $G930), 0)</f>
        <v>0</v>
      </c>
      <c r="T930">
        <f>IFERROR(J930/(O930/30),"")</f>
        <v>0</v>
      </c>
    </row>
    <row r="931" spans="10:20">
      <c r="J931">
        <f>IF($A931="","", SUMIFS(Mov_Qty, Mov_Item, $A931))</f>
        <v>0</v>
      </c>
      <c r="K931">
        <f>IF($A931="","", J931 * $E931)</f>
        <v>0</v>
      </c>
      <c r="L931">
        <f>IF($A931="","", SUMIFS(-Mov_Qty, Mov_Item, $A931, Mov_Type, "Consumption", Mov_Date, "&gt;="&amp;$V$2, Mov_Date, "&lt;="&amp;$W$2))</f>
        <v>0</v>
      </c>
      <c r="M931">
        <f>IF($A931="","", SUMIFS(-Mov_Qty, Mov_Item, $A931, Mov_Type, "Consumption", Mov_Date, "&gt;="&amp;$X$2, Mov_Date, "&lt;="&amp;$Y$2))</f>
        <v>0</v>
      </c>
      <c r="N931">
        <f>IF($A931="","", SUMIFS(-Mov_Qty, Mov_Item, $A931, Mov_Type, "Consumption", Mov_Date, "&gt;="&amp;$Z$2, Mov_Date, "&lt;="&amp;$AA$2))</f>
        <v>0</v>
      </c>
      <c r="O931">
        <f>IFERROR(AVERAGE(L931:N931),"")</f>
        <v>0</v>
      </c>
      <c r="P931">
        <f>IF(O931&gt;=Cfg_HiMove, "Yes", "")</f>
        <v>0</v>
      </c>
      <c r="Q931">
        <f>IF($A931="","", $I931 + IFERROR(O931/30*$H931,0))</f>
        <v>0</v>
      </c>
      <c r="R931">
        <f>IF($A931="","", IF(J931&lt;=$F931, "Yes", ""))</f>
        <v>0</v>
      </c>
      <c r="S931">
        <f>IF(R931="Yes", CEILING(MAX($G931, Q931-J931), $G931), 0)</f>
        <v>0</v>
      </c>
      <c r="T931">
        <f>IFERROR(J931/(O931/30),"")</f>
        <v>0</v>
      </c>
    </row>
    <row r="932" spans="10:20">
      <c r="J932">
        <f>IF($A932="","", SUMIFS(Mov_Qty, Mov_Item, $A932))</f>
        <v>0</v>
      </c>
      <c r="K932">
        <f>IF($A932="","", J932 * $E932)</f>
        <v>0</v>
      </c>
      <c r="L932">
        <f>IF($A932="","", SUMIFS(-Mov_Qty, Mov_Item, $A932, Mov_Type, "Consumption", Mov_Date, "&gt;="&amp;$V$2, Mov_Date, "&lt;="&amp;$W$2))</f>
        <v>0</v>
      </c>
      <c r="M932">
        <f>IF($A932="","", SUMIFS(-Mov_Qty, Mov_Item, $A932, Mov_Type, "Consumption", Mov_Date, "&gt;="&amp;$X$2, Mov_Date, "&lt;="&amp;$Y$2))</f>
        <v>0</v>
      </c>
      <c r="N932">
        <f>IF($A932="","", SUMIFS(-Mov_Qty, Mov_Item, $A932, Mov_Type, "Consumption", Mov_Date, "&gt;="&amp;$Z$2, Mov_Date, "&lt;="&amp;$AA$2))</f>
        <v>0</v>
      </c>
      <c r="O932">
        <f>IFERROR(AVERAGE(L932:N932),"")</f>
        <v>0</v>
      </c>
      <c r="P932">
        <f>IF(O932&gt;=Cfg_HiMove, "Yes", "")</f>
        <v>0</v>
      </c>
      <c r="Q932">
        <f>IF($A932="","", $I932 + IFERROR(O932/30*$H932,0))</f>
        <v>0</v>
      </c>
      <c r="R932">
        <f>IF($A932="","", IF(J932&lt;=$F932, "Yes", ""))</f>
        <v>0</v>
      </c>
      <c r="S932">
        <f>IF(R932="Yes", CEILING(MAX($G932, Q932-J932), $G932), 0)</f>
        <v>0</v>
      </c>
      <c r="T932">
        <f>IFERROR(J932/(O932/30),"")</f>
        <v>0</v>
      </c>
    </row>
    <row r="933" spans="10:20">
      <c r="J933">
        <f>IF($A933="","", SUMIFS(Mov_Qty, Mov_Item, $A933))</f>
        <v>0</v>
      </c>
      <c r="K933">
        <f>IF($A933="","", J933 * $E933)</f>
        <v>0</v>
      </c>
      <c r="L933">
        <f>IF($A933="","", SUMIFS(-Mov_Qty, Mov_Item, $A933, Mov_Type, "Consumption", Mov_Date, "&gt;="&amp;$V$2, Mov_Date, "&lt;="&amp;$W$2))</f>
        <v>0</v>
      </c>
      <c r="M933">
        <f>IF($A933="","", SUMIFS(-Mov_Qty, Mov_Item, $A933, Mov_Type, "Consumption", Mov_Date, "&gt;="&amp;$X$2, Mov_Date, "&lt;="&amp;$Y$2))</f>
        <v>0</v>
      </c>
      <c r="N933">
        <f>IF($A933="","", SUMIFS(-Mov_Qty, Mov_Item, $A933, Mov_Type, "Consumption", Mov_Date, "&gt;="&amp;$Z$2, Mov_Date, "&lt;="&amp;$AA$2))</f>
        <v>0</v>
      </c>
      <c r="O933">
        <f>IFERROR(AVERAGE(L933:N933),"")</f>
        <v>0</v>
      </c>
      <c r="P933">
        <f>IF(O933&gt;=Cfg_HiMove, "Yes", "")</f>
        <v>0</v>
      </c>
      <c r="Q933">
        <f>IF($A933="","", $I933 + IFERROR(O933/30*$H933,0))</f>
        <v>0</v>
      </c>
      <c r="R933">
        <f>IF($A933="","", IF(J933&lt;=$F933, "Yes", ""))</f>
        <v>0</v>
      </c>
      <c r="S933">
        <f>IF(R933="Yes", CEILING(MAX($G933, Q933-J933), $G933), 0)</f>
        <v>0</v>
      </c>
      <c r="T933">
        <f>IFERROR(J933/(O933/30),"")</f>
        <v>0</v>
      </c>
    </row>
    <row r="934" spans="10:20">
      <c r="J934">
        <f>IF($A934="","", SUMIFS(Mov_Qty, Mov_Item, $A934))</f>
        <v>0</v>
      </c>
      <c r="K934">
        <f>IF($A934="","", J934 * $E934)</f>
        <v>0</v>
      </c>
      <c r="L934">
        <f>IF($A934="","", SUMIFS(-Mov_Qty, Mov_Item, $A934, Mov_Type, "Consumption", Mov_Date, "&gt;="&amp;$V$2, Mov_Date, "&lt;="&amp;$W$2))</f>
        <v>0</v>
      </c>
      <c r="M934">
        <f>IF($A934="","", SUMIFS(-Mov_Qty, Mov_Item, $A934, Mov_Type, "Consumption", Mov_Date, "&gt;="&amp;$X$2, Mov_Date, "&lt;="&amp;$Y$2))</f>
        <v>0</v>
      </c>
      <c r="N934">
        <f>IF($A934="","", SUMIFS(-Mov_Qty, Mov_Item, $A934, Mov_Type, "Consumption", Mov_Date, "&gt;="&amp;$Z$2, Mov_Date, "&lt;="&amp;$AA$2))</f>
        <v>0</v>
      </c>
      <c r="O934">
        <f>IFERROR(AVERAGE(L934:N934),"")</f>
        <v>0</v>
      </c>
      <c r="P934">
        <f>IF(O934&gt;=Cfg_HiMove, "Yes", "")</f>
        <v>0</v>
      </c>
      <c r="Q934">
        <f>IF($A934="","", $I934 + IFERROR(O934/30*$H934,0))</f>
        <v>0</v>
      </c>
      <c r="R934">
        <f>IF($A934="","", IF(J934&lt;=$F934, "Yes", ""))</f>
        <v>0</v>
      </c>
      <c r="S934">
        <f>IF(R934="Yes", CEILING(MAX($G934, Q934-J934), $G934), 0)</f>
        <v>0</v>
      </c>
      <c r="T934">
        <f>IFERROR(J934/(O934/30),"")</f>
        <v>0</v>
      </c>
    </row>
    <row r="935" spans="10:20">
      <c r="J935">
        <f>IF($A935="","", SUMIFS(Mov_Qty, Mov_Item, $A935))</f>
        <v>0</v>
      </c>
      <c r="K935">
        <f>IF($A935="","", J935 * $E935)</f>
        <v>0</v>
      </c>
      <c r="L935">
        <f>IF($A935="","", SUMIFS(-Mov_Qty, Mov_Item, $A935, Mov_Type, "Consumption", Mov_Date, "&gt;="&amp;$V$2, Mov_Date, "&lt;="&amp;$W$2))</f>
        <v>0</v>
      </c>
      <c r="M935">
        <f>IF($A935="","", SUMIFS(-Mov_Qty, Mov_Item, $A935, Mov_Type, "Consumption", Mov_Date, "&gt;="&amp;$X$2, Mov_Date, "&lt;="&amp;$Y$2))</f>
        <v>0</v>
      </c>
      <c r="N935">
        <f>IF($A935="","", SUMIFS(-Mov_Qty, Mov_Item, $A935, Mov_Type, "Consumption", Mov_Date, "&gt;="&amp;$Z$2, Mov_Date, "&lt;="&amp;$AA$2))</f>
        <v>0</v>
      </c>
      <c r="O935">
        <f>IFERROR(AVERAGE(L935:N935),"")</f>
        <v>0</v>
      </c>
      <c r="P935">
        <f>IF(O935&gt;=Cfg_HiMove, "Yes", "")</f>
        <v>0</v>
      </c>
      <c r="Q935">
        <f>IF($A935="","", $I935 + IFERROR(O935/30*$H935,0))</f>
        <v>0</v>
      </c>
      <c r="R935">
        <f>IF($A935="","", IF(J935&lt;=$F935, "Yes", ""))</f>
        <v>0</v>
      </c>
      <c r="S935">
        <f>IF(R935="Yes", CEILING(MAX($G935, Q935-J935), $G935), 0)</f>
        <v>0</v>
      </c>
      <c r="T935">
        <f>IFERROR(J935/(O935/30),"")</f>
        <v>0</v>
      </c>
    </row>
    <row r="936" spans="10:20">
      <c r="J936">
        <f>IF($A936="","", SUMIFS(Mov_Qty, Mov_Item, $A936))</f>
        <v>0</v>
      </c>
      <c r="K936">
        <f>IF($A936="","", J936 * $E936)</f>
        <v>0</v>
      </c>
      <c r="L936">
        <f>IF($A936="","", SUMIFS(-Mov_Qty, Mov_Item, $A936, Mov_Type, "Consumption", Mov_Date, "&gt;="&amp;$V$2, Mov_Date, "&lt;="&amp;$W$2))</f>
        <v>0</v>
      </c>
      <c r="M936">
        <f>IF($A936="","", SUMIFS(-Mov_Qty, Mov_Item, $A936, Mov_Type, "Consumption", Mov_Date, "&gt;="&amp;$X$2, Mov_Date, "&lt;="&amp;$Y$2))</f>
        <v>0</v>
      </c>
      <c r="N936">
        <f>IF($A936="","", SUMIFS(-Mov_Qty, Mov_Item, $A936, Mov_Type, "Consumption", Mov_Date, "&gt;="&amp;$Z$2, Mov_Date, "&lt;="&amp;$AA$2))</f>
        <v>0</v>
      </c>
      <c r="O936">
        <f>IFERROR(AVERAGE(L936:N936),"")</f>
        <v>0</v>
      </c>
      <c r="P936">
        <f>IF(O936&gt;=Cfg_HiMove, "Yes", "")</f>
        <v>0</v>
      </c>
      <c r="Q936">
        <f>IF($A936="","", $I936 + IFERROR(O936/30*$H936,0))</f>
        <v>0</v>
      </c>
      <c r="R936">
        <f>IF($A936="","", IF(J936&lt;=$F936, "Yes", ""))</f>
        <v>0</v>
      </c>
      <c r="S936">
        <f>IF(R936="Yes", CEILING(MAX($G936, Q936-J936), $G936), 0)</f>
        <v>0</v>
      </c>
      <c r="T936">
        <f>IFERROR(J936/(O936/30),"")</f>
        <v>0</v>
      </c>
    </row>
    <row r="937" spans="10:20">
      <c r="J937">
        <f>IF($A937="","", SUMIFS(Mov_Qty, Mov_Item, $A937))</f>
        <v>0</v>
      </c>
      <c r="K937">
        <f>IF($A937="","", J937 * $E937)</f>
        <v>0</v>
      </c>
      <c r="L937">
        <f>IF($A937="","", SUMIFS(-Mov_Qty, Mov_Item, $A937, Mov_Type, "Consumption", Mov_Date, "&gt;="&amp;$V$2, Mov_Date, "&lt;="&amp;$W$2))</f>
        <v>0</v>
      </c>
      <c r="M937">
        <f>IF($A937="","", SUMIFS(-Mov_Qty, Mov_Item, $A937, Mov_Type, "Consumption", Mov_Date, "&gt;="&amp;$X$2, Mov_Date, "&lt;="&amp;$Y$2))</f>
        <v>0</v>
      </c>
      <c r="N937">
        <f>IF($A937="","", SUMIFS(-Mov_Qty, Mov_Item, $A937, Mov_Type, "Consumption", Mov_Date, "&gt;="&amp;$Z$2, Mov_Date, "&lt;="&amp;$AA$2))</f>
        <v>0</v>
      </c>
      <c r="O937">
        <f>IFERROR(AVERAGE(L937:N937),"")</f>
        <v>0</v>
      </c>
      <c r="P937">
        <f>IF(O937&gt;=Cfg_HiMove, "Yes", "")</f>
        <v>0</v>
      </c>
      <c r="Q937">
        <f>IF($A937="","", $I937 + IFERROR(O937/30*$H937,0))</f>
        <v>0</v>
      </c>
      <c r="R937">
        <f>IF($A937="","", IF(J937&lt;=$F937, "Yes", ""))</f>
        <v>0</v>
      </c>
      <c r="S937">
        <f>IF(R937="Yes", CEILING(MAX($G937, Q937-J937), $G937), 0)</f>
        <v>0</v>
      </c>
      <c r="T937">
        <f>IFERROR(J937/(O937/30),"")</f>
        <v>0</v>
      </c>
    </row>
    <row r="938" spans="10:20">
      <c r="J938">
        <f>IF($A938="","", SUMIFS(Mov_Qty, Mov_Item, $A938))</f>
        <v>0</v>
      </c>
      <c r="K938">
        <f>IF($A938="","", J938 * $E938)</f>
        <v>0</v>
      </c>
      <c r="L938">
        <f>IF($A938="","", SUMIFS(-Mov_Qty, Mov_Item, $A938, Mov_Type, "Consumption", Mov_Date, "&gt;="&amp;$V$2, Mov_Date, "&lt;="&amp;$W$2))</f>
        <v>0</v>
      </c>
      <c r="M938">
        <f>IF($A938="","", SUMIFS(-Mov_Qty, Mov_Item, $A938, Mov_Type, "Consumption", Mov_Date, "&gt;="&amp;$X$2, Mov_Date, "&lt;="&amp;$Y$2))</f>
        <v>0</v>
      </c>
      <c r="N938">
        <f>IF($A938="","", SUMIFS(-Mov_Qty, Mov_Item, $A938, Mov_Type, "Consumption", Mov_Date, "&gt;="&amp;$Z$2, Mov_Date, "&lt;="&amp;$AA$2))</f>
        <v>0</v>
      </c>
      <c r="O938">
        <f>IFERROR(AVERAGE(L938:N938),"")</f>
        <v>0</v>
      </c>
      <c r="P938">
        <f>IF(O938&gt;=Cfg_HiMove, "Yes", "")</f>
        <v>0</v>
      </c>
      <c r="Q938">
        <f>IF($A938="","", $I938 + IFERROR(O938/30*$H938,0))</f>
        <v>0</v>
      </c>
      <c r="R938">
        <f>IF($A938="","", IF(J938&lt;=$F938, "Yes", ""))</f>
        <v>0</v>
      </c>
      <c r="S938">
        <f>IF(R938="Yes", CEILING(MAX($G938, Q938-J938), $G938), 0)</f>
        <v>0</v>
      </c>
      <c r="T938">
        <f>IFERROR(J938/(O938/30),"")</f>
        <v>0</v>
      </c>
    </row>
    <row r="939" spans="10:20">
      <c r="J939">
        <f>IF($A939="","", SUMIFS(Mov_Qty, Mov_Item, $A939))</f>
        <v>0</v>
      </c>
      <c r="K939">
        <f>IF($A939="","", J939 * $E939)</f>
        <v>0</v>
      </c>
      <c r="L939">
        <f>IF($A939="","", SUMIFS(-Mov_Qty, Mov_Item, $A939, Mov_Type, "Consumption", Mov_Date, "&gt;="&amp;$V$2, Mov_Date, "&lt;="&amp;$W$2))</f>
        <v>0</v>
      </c>
      <c r="M939">
        <f>IF($A939="","", SUMIFS(-Mov_Qty, Mov_Item, $A939, Mov_Type, "Consumption", Mov_Date, "&gt;="&amp;$X$2, Mov_Date, "&lt;="&amp;$Y$2))</f>
        <v>0</v>
      </c>
      <c r="N939">
        <f>IF($A939="","", SUMIFS(-Mov_Qty, Mov_Item, $A939, Mov_Type, "Consumption", Mov_Date, "&gt;="&amp;$Z$2, Mov_Date, "&lt;="&amp;$AA$2))</f>
        <v>0</v>
      </c>
      <c r="O939">
        <f>IFERROR(AVERAGE(L939:N939),"")</f>
        <v>0</v>
      </c>
      <c r="P939">
        <f>IF(O939&gt;=Cfg_HiMove, "Yes", "")</f>
        <v>0</v>
      </c>
      <c r="Q939">
        <f>IF($A939="","", $I939 + IFERROR(O939/30*$H939,0))</f>
        <v>0</v>
      </c>
      <c r="R939">
        <f>IF($A939="","", IF(J939&lt;=$F939, "Yes", ""))</f>
        <v>0</v>
      </c>
      <c r="S939">
        <f>IF(R939="Yes", CEILING(MAX($G939, Q939-J939), $G939), 0)</f>
        <v>0</v>
      </c>
      <c r="T939">
        <f>IFERROR(J939/(O939/30),"")</f>
        <v>0</v>
      </c>
    </row>
    <row r="940" spans="10:20">
      <c r="J940">
        <f>IF($A940="","", SUMIFS(Mov_Qty, Mov_Item, $A940))</f>
        <v>0</v>
      </c>
      <c r="K940">
        <f>IF($A940="","", J940 * $E940)</f>
        <v>0</v>
      </c>
      <c r="L940">
        <f>IF($A940="","", SUMIFS(-Mov_Qty, Mov_Item, $A940, Mov_Type, "Consumption", Mov_Date, "&gt;="&amp;$V$2, Mov_Date, "&lt;="&amp;$W$2))</f>
        <v>0</v>
      </c>
      <c r="M940">
        <f>IF($A940="","", SUMIFS(-Mov_Qty, Mov_Item, $A940, Mov_Type, "Consumption", Mov_Date, "&gt;="&amp;$X$2, Mov_Date, "&lt;="&amp;$Y$2))</f>
        <v>0</v>
      </c>
      <c r="N940">
        <f>IF($A940="","", SUMIFS(-Mov_Qty, Mov_Item, $A940, Mov_Type, "Consumption", Mov_Date, "&gt;="&amp;$Z$2, Mov_Date, "&lt;="&amp;$AA$2))</f>
        <v>0</v>
      </c>
      <c r="O940">
        <f>IFERROR(AVERAGE(L940:N940),"")</f>
        <v>0</v>
      </c>
      <c r="P940">
        <f>IF(O940&gt;=Cfg_HiMove, "Yes", "")</f>
        <v>0</v>
      </c>
      <c r="Q940">
        <f>IF($A940="","", $I940 + IFERROR(O940/30*$H940,0))</f>
        <v>0</v>
      </c>
      <c r="R940">
        <f>IF($A940="","", IF(J940&lt;=$F940, "Yes", ""))</f>
        <v>0</v>
      </c>
      <c r="S940">
        <f>IF(R940="Yes", CEILING(MAX($G940, Q940-J940), $G940), 0)</f>
        <v>0</v>
      </c>
      <c r="T940">
        <f>IFERROR(J940/(O940/30),"")</f>
        <v>0</v>
      </c>
    </row>
    <row r="941" spans="10:20">
      <c r="J941">
        <f>IF($A941="","", SUMIFS(Mov_Qty, Mov_Item, $A941))</f>
        <v>0</v>
      </c>
      <c r="K941">
        <f>IF($A941="","", J941 * $E941)</f>
        <v>0</v>
      </c>
      <c r="L941">
        <f>IF($A941="","", SUMIFS(-Mov_Qty, Mov_Item, $A941, Mov_Type, "Consumption", Mov_Date, "&gt;="&amp;$V$2, Mov_Date, "&lt;="&amp;$W$2))</f>
        <v>0</v>
      </c>
      <c r="M941">
        <f>IF($A941="","", SUMIFS(-Mov_Qty, Mov_Item, $A941, Mov_Type, "Consumption", Mov_Date, "&gt;="&amp;$X$2, Mov_Date, "&lt;="&amp;$Y$2))</f>
        <v>0</v>
      </c>
      <c r="N941">
        <f>IF($A941="","", SUMIFS(-Mov_Qty, Mov_Item, $A941, Mov_Type, "Consumption", Mov_Date, "&gt;="&amp;$Z$2, Mov_Date, "&lt;="&amp;$AA$2))</f>
        <v>0</v>
      </c>
      <c r="O941">
        <f>IFERROR(AVERAGE(L941:N941),"")</f>
        <v>0</v>
      </c>
      <c r="P941">
        <f>IF(O941&gt;=Cfg_HiMove, "Yes", "")</f>
        <v>0</v>
      </c>
      <c r="Q941">
        <f>IF($A941="","", $I941 + IFERROR(O941/30*$H941,0))</f>
        <v>0</v>
      </c>
      <c r="R941">
        <f>IF($A941="","", IF(J941&lt;=$F941, "Yes", ""))</f>
        <v>0</v>
      </c>
      <c r="S941">
        <f>IF(R941="Yes", CEILING(MAX($G941, Q941-J941), $G941), 0)</f>
        <v>0</v>
      </c>
      <c r="T941">
        <f>IFERROR(J941/(O941/30),"")</f>
        <v>0</v>
      </c>
    </row>
    <row r="942" spans="10:20">
      <c r="J942">
        <f>IF($A942="","", SUMIFS(Mov_Qty, Mov_Item, $A942))</f>
        <v>0</v>
      </c>
      <c r="K942">
        <f>IF($A942="","", J942 * $E942)</f>
        <v>0</v>
      </c>
      <c r="L942">
        <f>IF($A942="","", SUMIFS(-Mov_Qty, Mov_Item, $A942, Mov_Type, "Consumption", Mov_Date, "&gt;="&amp;$V$2, Mov_Date, "&lt;="&amp;$W$2))</f>
        <v>0</v>
      </c>
      <c r="M942">
        <f>IF($A942="","", SUMIFS(-Mov_Qty, Mov_Item, $A942, Mov_Type, "Consumption", Mov_Date, "&gt;="&amp;$X$2, Mov_Date, "&lt;="&amp;$Y$2))</f>
        <v>0</v>
      </c>
      <c r="N942">
        <f>IF($A942="","", SUMIFS(-Mov_Qty, Mov_Item, $A942, Mov_Type, "Consumption", Mov_Date, "&gt;="&amp;$Z$2, Mov_Date, "&lt;="&amp;$AA$2))</f>
        <v>0</v>
      </c>
      <c r="O942">
        <f>IFERROR(AVERAGE(L942:N942),"")</f>
        <v>0</v>
      </c>
      <c r="P942">
        <f>IF(O942&gt;=Cfg_HiMove, "Yes", "")</f>
        <v>0</v>
      </c>
      <c r="Q942">
        <f>IF($A942="","", $I942 + IFERROR(O942/30*$H942,0))</f>
        <v>0</v>
      </c>
      <c r="R942">
        <f>IF($A942="","", IF(J942&lt;=$F942, "Yes", ""))</f>
        <v>0</v>
      </c>
      <c r="S942">
        <f>IF(R942="Yes", CEILING(MAX($G942, Q942-J942), $G942), 0)</f>
        <v>0</v>
      </c>
      <c r="T942">
        <f>IFERROR(J942/(O942/30),"")</f>
        <v>0</v>
      </c>
    </row>
    <row r="943" spans="10:20">
      <c r="J943">
        <f>IF($A943="","", SUMIFS(Mov_Qty, Mov_Item, $A943))</f>
        <v>0</v>
      </c>
      <c r="K943">
        <f>IF($A943="","", J943 * $E943)</f>
        <v>0</v>
      </c>
      <c r="L943">
        <f>IF($A943="","", SUMIFS(-Mov_Qty, Mov_Item, $A943, Mov_Type, "Consumption", Mov_Date, "&gt;="&amp;$V$2, Mov_Date, "&lt;="&amp;$W$2))</f>
        <v>0</v>
      </c>
      <c r="M943">
        <f>IF($A943="","", SUMIFS(-Mov_Qty, Mov_Item, $A943, Mov_Type, "Consumption", Mov_Date, "&gt;="&amp;$X$2, Mov_Date, "&lt;="&amp;$Y$2))</f>
        <v>0</v>
      </c>
      <c r="N943">
        <f>IF($A943="","", SUMIFS(-Mov_Qty, Mov_Item, $A943, Mov_Type, "Consumption", Mov_Date, "&gt;="&amp;$Z$2, Mov_Date, "&lt;="&amp;$AA$2))</f>
        <v>0</v>
      </c>
      <c r="O943">
        <f>IFERROR(AVERAGE(L943:N943),"")</f>
        <v>0</v>
      </c>
      <c r="P943">
        <f>IF(O943&gt;=Cfg_HiMove, "Yes", "")</f>
        <v>0</v>
      </c>
      <c r="Q943">
        <f>IF($A943="","", $I943 + IFERROR(O943/30*$H943,0))</f>
        <v>0</v>
      </c>
      <c r="R943">
        <f>IF($A943="","", IF(J943&lt;=$F943, "Yes", ""))</f>
        <v>0</v>
      </c>
      <c r="S943">
        <f>IF(R943="Yes", CEILING(MAX($G943, Q943-J943), $G943), 0)</f>
        <v>0</v>
      </c>
      <c r="T943">
        <f>IFERROR(J943/(O943/30),"")</f>
        <v>0</v>
      </c>
    </row>
    <row r="944" spans="10:20">
      <c r="J944">
        <f>IF($A944="","", SUMIFS(Mov_Qty, Mov_Item, $A944))</f>
        <v>0</v>
      </c>
      <c r="K944">
        <f>IF($A944="","", J944 * $E944)</f>
        <v>0</v>
      </c>
      <c r="L944">
        <f>IF($A944="","", SUMIFS(-Mov_Qty, Mov_Item, $A944, Mov_Type, "Consumption", Mov_Date, "&gt;="&amp;$V$2, Mov_Date, "&lt;="&amp;$W$2))</f>
        <v>0</v>
      </c>
      <c r="M944">
        <f>IF($A944="","", SUMIFS(-Mov_Qty, Mov_Item, $A944, Mov_Type, "Consumption", Mov_Date, "&gt;="&amp;$X$2, Mov_Date, "&lt;="&amp;$Y$2))</f>
        <v>0</v>
      </c>
      <c r="N944">
        <f>IF($A944="","", SUMIFS(-Mov_Qty, Mov_Item, $A944, Mov_Type, "Consumption", Mov_Date, "&gt;="&amp;$Z$2, Mov_Date, "&lt;="&amp;$AA$2))</f>
        <v>0</v>
      </c>
      <c r="O944">
        <f>IFERROR(AVERAGE(L944:N944),"")</f>
        <v>0</v>
      </c>
      <c r="P944">
        <f>IF(O944&gt;=Cfg_HiMove, "Yes", "")</f>
        <v>0</v>
      </c>
      <c r="Q944">
        <f>IF($A944="","", $I944 + IFERROR(O944/30*$H944,0))</f>
        <v>0</v>
      </c>
      <c r="R944">
        <f>IF($A944="","", IF(J944&lt;=$F944, "Yes", ""))</f>
        <v>0</v>
      </c>
      <c r="S944">
        <f>IF(R944="Yes", CEILING(MAX($G944, Q944-J944), $G944), 0)</f>
        <v>0</v>
      </c>
      <c r="T944">
        <f>IFERROR(J944/(O944/30),"")</f>
        <v>0</v>
      </c>
    </row>
    <row r="945" spans="10:20">
      <c r="J945">
        <f>IF($A945="","", SUMIFS(Mov_Qty, Mov_Item, $A945))</f>
        <v>0</v>
      </c>
      <c r="K945">
        <f>IF($A945="","", J945 * $E945)</f>
        <v>0</v>
      </c>
      <c r="L945">
        <f>IF($A945="","", SUMIFS(-Mov_Qty, Mov_Item, $A945, Mov_Type, "Consumption", Mov_Date, "&gt;="&amp;$V$2, Mov_Date, "&lt;="&amp;$W$2))</f>
        <v>0</v>
      </c>
      <c r="M945">
        <f>IF($A945="","", SUMIFS(-Mov_Qty, Mov_Item, $A945, Mov_Type, "Consumption", Mov_Date, "&gt;="&amp;$X$2, Mov_Date, "&lt;="&amp;$Y$2))</f>
        <v>0</v>
      </c>
      <c r="N945">
        <f>IF($A945="","", SUMIFS(-Mov_Qty, Mov_Item, $A945, Mov_Type, "Consumption", Mov_Date, "&gt;="&amp;$Z$2, Mov_Date, "&lt;="&amp;$AA$2))</f>
        <v>0</v>
      </c>
      <c r="O945">
        <f>IFERROR(AVERAGE(L945:N945),"")</f>
        <v>0</v>
      </c>
      <c r="P945">
        <f>IF(O945&gt;=Cfg_HiMove, "Yes", "")</f>
        <v>0</v>
      </c>
      <c r="Q945">
        <f>IF($A945="","", $I945 + IFERROR(O945/30*$H945,0))</f>
        <v>0</v>
      </c>
      <c r="R945">
        <f>IF($A945="","", IF(J945&lt;=$F945, "Yes", ""))</f>
        <v>0</v>
      </c>
      <c r="S945">
        <f>IF(R945="Yes", CEILING(MAX($G945, Q945-J945), $G945), 0)</f>
        <v>0</v>
      </c>
      <c r="T945">
        <f>IFERROR(J945/(O945/30),"")</f>
        <v>0</v>
      </c>
    </row>
    <row r="946" spans="10:20">
      <c r="J946">
        <f>IF($A946="","", SUMIFS(Mov_Qty, Mov_Item, $A946))</f>
        <v>0</v>
      </c>
      <c r="K946">
        <f>IF($A946="","", J946 * $E946)</f>
        <v>0</v>
      </c>
      <c r="L946">
        <f>IF($A946="","", SUMIFS(-Mov_Qty, Mov_Item, $A946, Mov_Type, "Consumption", Mov_Date, "&gt;="&amp;$V$2, Mov_Date, "&lt;="&amp;$W$2))</f>
        <v>0</v>
      </c>
      <c r="M946">
        <f>IF($A946="","", SUMIFS(-Mov_Qty, Mov_Item, $A946, Mov_Type, "Consumption", Mov_Date, "&gt;="&amp;$X$2, Mov_Date, "&lt;="&amp;$Y$2))</f>
        <v>0</v>
      </c>
      <c r="N946">
        <f>IF($A946="","", SUMIFS(-Mov_Qty, Mov_Item, $A946, Mov_Type, "Consumption", Mov_Date, "&gt;="&amp;$Z$2, Mov_Date, "&lt;="&amp;$AA$2))</f>
        <v>0</v>
      </c>
      <c r="O946">
        <f>IFERROR(AVERAGE(L946:N946),"")</f>
        <v>0</v>
      </c>
      <c r="P946">
        <f>IF(O946&gt;=Cfg_HiMove, "Yes", "")</f>
        <v>0</v>
      </c>
      <c r="Q946">
        <f>IF($A946="","", $I946 + IFERROR(O946/30*$H946,0))</f>
        <v>0</v>
      </c>
      <c r="R946">
        <f>IF($A946="","", IF(J946&lt;=$F946, "Yes", ""))</f>
        <v>0</v>
      </c>
      <c r="S946">
        <f>IF(R946="Yes", CEILING(MAX($G946, Q946-J946), $G946), 0)</f>
        <v>0</v>
      </c>
      <c r="T946">
        <f>IFERROR(J946/(O946/30),"")</f>
        <v>0</v>
      </c>
    </row>
    <row r="947" spans="10:20">
      <c r="J947">
        <f>IF($A947="","", SUMIFS(Mov_Qty, Mov_Item, $A947))</f>
        <v>0</v>
      </c>
      <c r="K947">
        <f>IF($A947="","", J947 * $E947)</f>
        <v>0</v>
      </c>
      <c r="L947">
        <f>IF($A947="","", SUMIFS(-Mov_Qty, Mov_Item, $A947, Mov_Type, "Consumption", Mov_Date, "&gt;="&amp;$V$2, Mov_Date, "&lt;="&amp;$W$2))</f>
        <v>0</v>
      </c>
      <c r="M947">
        <f>IF($A947="","", SUMIFS(-Mov_Qty, Mov_Item, $A947, Mov_Type, "Consumption", Mov_Date, "&gt;="&amp;$X$2, Mov_Date, "&lt;="&amp;$Y$2))</f>
        <v>0</v>
      </c>
      <c r="N947">
        <f>IF($A947="","", SUMIFS(-Mov_Qty, Mov_Item, $A947, Mov_Type, "Consumption", Mov_Date, "&gt;="&amp;$Z$2, Mov_Date, "&lt;="&amp;$AA$2))</f>
        <v>0</v>
      </c>
      <c r="O947">
        <f>IFERROR(AVERAGE(L947:N947),"")</f>
        <v>0</v>
      </c>
      <c r="P947">
        <f>IF(O947&gt;=Cfg_HiMove, "Yes", "")</f>
        <v>0</v>
      </c>
      <c r="Q947">
        <f>IF($A947="","", $I947 + IFERROR(O947/30*$H947,0))</f>
        <v>0</v>
      </c>
      <c r="R947">
        <f>IF($A947="","", IF(J947&lt;=$F947, "Yes", ""))</f>
        <v>0</v>
      </c>
      <c r="S947">
        <f>IF(R947="Yes", CEILING(MAX($G947, Q947-J947), $G947), 0)</f>
        <v>0</v>
      </c>
      <c r="T947">
        <f>IFERROR(J947/(O947/30),"")</f>
        <v>0</v>
      </c>
    </row>
    <row r="948" spans="10:20">
      <c r="J948">
        <f>IF($A948="","", SUMIFS(Mov_Qty, Mov_Item, $A948))</f>
        <v>0</v>
      </c>
      <c r="K948">
        <f>IF($A948="","", J948 * $E948)</f>
        <v>0</v>
      </c>
      <c r="L948">
        <f>IF($A948="","", SUMIFS(-Mov_Qty, Mov_Item, $A948, Mov_Type, "Consumption", Mov_Date, "&gt;="&amp;$V$2, Mov_Date, "&lt;="&amp;$W$2))</f>
        <v>0</v>
      </c>
      <c r="M948">
        <f>IF($A948="","", SUMIFS(-Mov_Qty, Mov_Item, $A948, Mov_Type, "Consumption", Mov_Date, "&gt;="&amp;$X$2, Mov_Date, "&lt;="&amp;$Y$2))</f>
        <v>0</v>
      </c>
      <c r="N948">
        <f>IF($A948="","", SUMIFS(-Mov_Qty, Mov_Item, $A948, Mov_Type, "Consumption", Mov_Date, "&gt;="&amp;$Z$2, Mov_Date, "&lt;="&amp;$AA$2))</f>
        <v>0</v>
      </c>
      <c r="O948">
        <f>IFERROR(AVERAGE(L948:N948),"")</f>
        <v>0</v>
      </c>
      <c r="P948">
        <f>IF(O948&gt;=Cfg_HiMove, "Yes", "")</f>
        <v>0</v>
      </c>
      <c r="Q948">
        <f>IF($A948="","", $I948 + IFERROR(O948/30*$H948,0))</f>
        <v>0</v>
      </c>
      <c r="R948">
        <f>IF($A948="","", IF(J948&lt;=$F948, "Yes", ""))</f>
        <v>0</v>
      </c>
      <c r="S948">
        <f>IF(R948="Yes", CEILING(MAX($G948, Q948-J948), $G948), 0)</f>
        <v>0</v>
      </c>
      <c r="T948">
        <f>IFERROR(J948/(O948/30),"")</f>
        <v>0</v>
      </c>
    </row>
    <row r="949" spans="10:20">
      <c r="J949">
        <f>IF($A949="","", SUMIFS(Mov_Qty, Mov_Item, $A949))</f>
        <v>0</v>
      </c>
      <c r="K949">
        <f>IF($A949="","", J949 * $E949)</f>
        <v>0</v>
      </c>
      <c r="L949">
        <f>IF($A949="","", SUMIFS(-Mov_Qty, Mov_Item, $A949, Mov_Type, "Consumption", Mov_Date, "&gt;="&amp;$V$2, Mov_Date, "&lt;="&amp;$W$2))</f>
        <v>0</v>
      </c>
      <c r="M949">
        <f>IF($A949="","", SUMIFS(-Mov_Qty, Mov_Item, $A949, Mov_Type, "Consumption", Mov_Date, "&gt;="&amp;$X$2, Mov_Date, "&lt;="&amp;$Y$2))</f>
        <v>0</v>
      </c>
      <c r="N949">
        <f>IF($A949="","", SUMIFS(-Mov_Qty, Mov_Item, $A949, Mov_Type, "Consumption", Mov_Date, "&gt;="&amp;$Z$2, Mov_Date, "&lt;="&amp;$AA$2))</f>
        <v>0</v>
      </c>
      <c r="O949">
        <f>IFERROR(AVERAGE(L949:N949),"")</f>
        <v>0</v>
      </c>
      <c r="P949">
        <f>IF(O949&gt;=Cfg_HiMove, "Yes", "")</f>
        <v>0</v>
      </c>
      <c r="Q949">
        <f>IF($A949="","", $I949 + IFERROR(O949/30*$H949,0))</f>
        <v>0</v>
      </c>
      <c r="R949">
        <f>IF($A949="","", IF(J949&lt;=$F949, "Yes", ""))</f>
        <v>0</v>
      </c>
      <c r="S949">
        <f>IF(R949="Yes", CEILING(MAX($G949, Q949-J949), $G949), 0)</f>
        <v>0</v>
      </c>
      <c r="T949">
        <f>IFERROR(J949/(O949/30),"")</f>
        <v>0</v>
      </c>
    </row>
    <row r="950" spans="10:20">
      <c r="J950">
        <f>IF($A950="","", SUMIFS(Mov_Qty, Mov_Item, $A950))</f>
        <v>0</v>
      </c>
      <c r="K950">
        <f>IF($A950="","", J950 * $E950)</f>
        <v>0</v>
      </c>
      <c r="L950">
        <f>IF($A950="","", SUMIFS(-Mov_Qty, Mov_Item, $A950, Mov_Type, "Consumption", Mov_Date, "&gt;="&amp;$V$2, Mov_Date, "&lt;="&amp;$W$2))</f>
        <v>0</v>
      </c>
      <c r="M950">
        <f>IF($A950="","", SUMIFS(-Mov_Qty, Mov_Item, $A950, Mov_Type, "Consumption", Mov_Date, "&gt;="&amp;$X$2, Mov_Date, "&lt;="&amp;$Y$2))</f>
        <v>0</v>
      </c>
      <c r="N950">
        <f>IF($A950="","", SUMIFS(-Mov_Qty, Mov_Item, $A950, Mov_Type, "Consumption", Mov_Date, "&gt;="&amp;$Z$2, Mov_Date, "&lt;="&amp;$AA$2))</f>
        <v>0</v>
      </c>
      <c r="O950">
        <f>IFERROR(AVERAGE(L950:N950),"")</f>
        <v>0</v>
      </c>
      <c r="P950">
        <f>IF(O950&gt;=Cfg_HiMove, "Yes", "")</f>
        <v>0</v>
      </c>
      <c r="Q950">
        <f>IF($A950="","", $I950 + IFERROR(O950/30*$H950,0))</f>
        <v>0</v>
      </c>
      <c r="R950">
        <f>IF($A950="","", IF(J950&lt;=$F950, "Yes", ""))</f>
        <v>0</v>
      </c>
      <c r="S950">
        <f>IF(R950="Yes", CEILING(MAX($G950, Q950-J950), $G950), 0)</f>
        <v>0</v>
      </c>
      <c r="T950">
        <f>IFERROR(J950/(O950/30),"")</f>
        <v>0</v>
      </c>
    </row>
    <row r="951" spans="10:20">
      <c r="J951">
        <f>IF($A951="","", SUMIFS(Mov_Qty, Mov_Item, $A951))</f>
        <v>0</v>
      </c>
      <c r="K951">
        <f>IF($A951="","", J951 * $E951)</f>
        <v>0</v>
      </c>
      <c r="L951">
        <f>IF($A951="","", SUMIFS(-Mov_Qty, Mov_Item, $A951, Mov_Type, "Consumption", Mov_Date, "&gt;="&amp;$V$2, Mov_Date, "&lt;="&amp;$W$2))</f>
        <v>0</v>
      </c>
      <c r="M951">
        <f>IF($A951="","", SUMIFS(-Mov_Qty, Mov_Item, $A951, Mov_Type, "Consumption", Mov_Date, "&gt;="&amp;$X$2, Mov_Date, "&lt;="&amp;$Y$2))</f>
        <v>0</v>
      </c>
      <c r="N951">
        <f>IF($A951="","", SUMIFS(-Mov_Qty, Mov_Item, $A951, Mov_Type, "Consumption", Mov_Date, "&gt;="&amp;$Z$2, Mov_Date, "&lt;="&amp;$AA$2))</f>
        <v>0</v>
      </c>
      <c r="O951">
        <f>IFERROR(AVERAGE(L951:N951),"")</f>
        <v>0</v>
      </c>
      <c r="P951">
        <f>IF(O951&gt;=Cfg_HiMove, "Yes", "")</f>
        <v>0</v>
      </c>
      <c r="Q951">
        <f>IF($A951="","", $I951 + IFERROR(O951/30*$H951,0))</f>
        <v>0</v>
      </c>
      <c r="R951">
        <f>IF($A951="","", IF(J951&lt;=$F951, "Yes", ""))</f>
        <v>0</v>
      </c>
      <c r="S951">
        <f>IF(R951="Yes", CEILING(MAX($G951, Q951-J951), $G951), 0)</f>
        <v>0</v>
      </c>
      <c r="T951">
        <f>IFERROR(J951/(O951/30),"")</f>
        <v>0</v>
      </c>
    </row>
    <row r="952" spans="10:20">
      <c r="J952">
        <f>IF($A952="","", SUMIFS(Mov_Qty, Mov_Item, $A952))</f>
        <v>0</v>
      </c>
      <c r="K952">
        <f>IF($A952="","", J952 * $E952)</f>
        <v>0</v>
      </c>
      <c r="L952">
        <f>IF($A952="","", SUMIFS(-Mov_Qty, Mov_Item, $A952, Mov_Type, "Consumption", Mov_Date, "&gt;="&amp;$V$2, Mov_Date, "&lt;="&amp;$W$2))</f>
        <v>0</v>
      </c>
      <c r="M952">
        <f>IF($A952="","", SUMIFS(-Mov_Qty, Mov_Item, $A952, Mov_Type, "Consumption", Mov_Date, "&gt;="&amp;$X$2, Mov_Date, "&lt;="&amp;$Y$2))</f>
        <v>0</v>
      </c>
      <c r="N952">
        <f>IF($A952="","", SUMIFS(-Mov_Qty, Mov_Item, $A952, Mov_Type, "Consumption", Mov_Date, "&gt;="&amp;$Z$2, Mov_Date, "&lt;="&amp;$AA$2))</f>
        <v>0</v>
      </c>
      <c r="O952">
        <f>IFERROR(AVERAGE(L952:N952),"")</f>
        <v>0</v>
      </c>
      <c r="P952">
        <f>IF(O952&gt;=Cfg_HiMove, "Yes", "")</f>
        <v>0</v>
      </c>
      <c r="Q952">
        <f>IF($A952="","", $I952 + IFERROR(O952/30*$H952,0))</f>
        <v>0</v>
      </c>
      <c r="R952">
        <f>IF($A952="","", IF(J952&lt;=$F952, "Yes", ""))</f>
        <v>0</v>
      </c>
      <c r="S952">
        <f>IF(R952="Yes", CEILING(MAX($G952, Q952-J952), $G952), 0)</f>
        <v>0</v>
      </c>
      <c r="T952">
        <f>IFERROR(J952/(O952/30),"")</f>
        <v>0</v>
      </c>
    </row>
    <row r="953" spans="10:20">
      <c r="J953">
        <f>IF($A953="","", SUMIFS(Mov_Qty, Mov_Item, $A953))</f>
        <v>0</v>
      </c>
      <c r="K953">
        <f>IF($A953="","", J953 * $E953)</f>
        <v>0</v>
      </c>
      <c r="L953">
        <f>IF($A953="","", SUMIFS(-Mov_Qty, Mov_Item, $A953, Mov_Type, "Consumption", Mov_Date, "&gt;="&amp;$V$2, Mov_Date, "&lt;="&amp;$W$2))</f>
        <v>0</v>
      </c>
      <c r="M953">
        <f>IF($A953="","", SUMIFS(-Mov_Qty, Mov_Item, $A953, Mov_Type, "Consumption", Mov_Date, "&gt;="&amp;$X$2, Mov_Date, "&lt;="&amp;$Y$2))</f>
        <v>0</v>
      </c>
      <c r="N953">
        <f>IF($A953="","", SUMIFS(-Mov_Qty, Mov_Item, $A953, Mov_Type, "Consumption", Mov_Date, "&gt;="&amp;$Z$2, Mov_Date, "&lt;="&amp;$AA$2))</f>
        <v>0</v>
      </c>
      <c r="O953">
        <f>IFERROR(AVERAGE(L953:N953),"")</f>
        <v>0</v>
      </c>
      <c r="P953">
        <f>IF(O953&gt;=Cfg_HiMove, "Yes", "")</f>
        <v>0</v>
      </c>
      <c r="Q953">
        <f>IF($A953="","", $I953 + IFERROR(O953/30*$H953,0))</f>
        <v>0</v>
      </c>
      <c r="R953">
        <f>IF($A953="","", IF(J953&lt;=$F953, "Yes", ""))</f>
        <v>0</v>
      </c>
      <c r="S953">
        <f>IF(R953="Yes", CEILING(MAX($G953, Q953-J953), $G953), 0)</f>
        <v>0</v>
      </c>
      <c r="T953">
        <f>IFERROR(J953/(O953/30),"")</f>
        <v>0</v>
      </c>
    </row>
    <row r="954" spans="10:20">
      <c r="J954">
        <f>IF($A954="","", SUMIFS(Mov_Qty, Mov_Item, $A954))</f>
        <v>0</v>
      </c>
      <c r="K954">
        <f>IF($A954="","", J954 * $E954)</f>
        <v>0</v>
      </c>
      <c r="L954">
        <f>IF($A954="","", SUMIFS(-Mov_Qty, Mov_Item, $A954, Mov_Type, "Consumption", Mov_Date, "&gt;="&amp;$V$2, Mov_Date, "&lt;="&amp;$W$2))</f>
        <v>0</v>
      </c>
      <c r="M954">
        <f>IF($A954="","", SUMIFS(-Mov_Qty, Mov_Item, $A954, Mov_Type, "Consumption", Mov_Date, "&gt;="&amp;$X$2, Mov_Date, "&lt;="&amp;$Y$2))</f>
        <v>0</v>
      </c>
      <c r="N954">
        <f>IF($A954="","", SUMIFS(-Mov_Qty, Mov_Item, $A954, Mov_Type, "Consumption", Mov_Date, "&gt;="&amp;$Z$2, Mov_Date, "&lt;="&amp;$AA$2))</f>
        <v>0</v>
      </c>
      <c r="O954">
        <f>IFERROR(AVERAGE(L954:N954),"")</f>
        <v>0</v>
      </c>
      <c r="P954">
        <f>IF(O954&gt;=Cfg_HiMove, "Yes", "")</f>
        <v>0</v>
      </c>
      <c r="Q954">
        <f>IF($A954="","", $I954 + IFERROR(O954/30*$H954,0))</f>
        <v>0</v>
      </c>
      <c r="R954">
        <f>IF($A954="","", IF(J954&lt;=$F954, "Yes", ""))</f>
        <v>0</v>
      </c>
      <c r="S954">
        <f>IF(R954="Yes", CEILING(MAX($G954, Q954-J954), $G954), 0)</f>
        <v>0</v>
      </c>
      <c r="T954">
        <f>IFERROR(J954/(O954/30),"")</f>
        <v>0</v>
      </c>
    </row>
    <row r="955" spans="10:20">
      <c r="J955">
        <f>IF($A955="","", SUMIFS(Mov_Qty, Mov_Item, $A955))</f>
        <v>0</v>
      </c>
      <c r="K955">
        <f>IF($A955="","", J955 * $E955)</f>
        <v>0</v>
      </c>
      <c r="L955">
        <f>IF($A955="","", SUMIFS(-Mov_Qty, Mov_Item, $A955, Mov_Type, "Consumption", Mov_Date, "&gt;="&amp;$V$2, Mov_Date, "&lt;="&amp;$W$2))</f>
        <v>0</v>
      </c>
      <c r="M955">
        <f>IF($A955="","", SUMIFS(-Mov_Qty, Mov_Item, $A955, Mov_Type, "Consumption", Mov_Date, "&gt;="&amp;$X$2, Mov_Date, "&lt;="&amp;$Y$2))</f>
        <v>0</v>
      </c>
      <c r="N955">
        <f>IF($A955="","", SUMIFS(-Mov_Qty, Mov_Item, $A955, Mov_Type, "Consumption", Mov_Date, "&gt;="&amp;$Z$2, Mov_Date, "&lt;="&amp;$AA$2))</f>
        <v>0</v>
      </c>
      <c r="O955">
        <f>IFERROR(AVERAGE(L955:N955),"")</f>
        <v>0</v>
      </c>
      <c r="P955">
        <f>IF(O955&gt;=Cfg_HiMove, "Yes", "")</f>
        <v>0</v>
      </c>
      <c r="Q955">
        <f>IF($A955="","", $I955 + IFERROR(O955/30*$H955,0))</f>
        <v>0</v>
      </c>
      <c r="R955">
        <f>IF($A955="","", IF(J955&lt;=$F955, "Yes", ""))</f>
        <v>0</v>
      </c>
      <c r="S955">
        <f>IF(R955="Yes", CEILING(MAX($G955, Q955-J955), $G955), 0)</f>
        <v>0</v>
      </c>
      <c r="T955">
        <f>IFERROR(J955/(O955/30),"")</f>
        <v>0</v>
      </c>
    </row>
    <row r="956" spans="10:20">
      <c r="J956">
        <f>IF($A956="","", SUMIFS(Mov_Qty, Mov_Item, $A956))</f>
        <v>0</v>
      </c>
      <c r="K956">
        <f>IF($A956="","", J956 * $E956)</f>
        <v>0</v>
      </c>
      <c r="L956">
        <f>IF($A956="","", SUMIFS(-Mov_Qty, Mov_Item, $A956, Mov_Type, "Consumption", Mov_Date, "&gt;="&amp;$V$2, Mov_Date, "&lt;="&amp;$W$2))</f>
        <v>0</v>
      </c>
      <c r="M956">
        <f>IF($A956="","", SUMIFS(-Mov_Qty, Mov_Item, $A956, Mov_Type, "Consumption", Mov_Date, "&gt;="&amp;$X$2, Mov_Date, "&lt;="&amp;$Y$2))</f>
        <v>0</v>
      </c>
      <c r="N956">
        <f>IF($A956="","", SUMIFS(-Mov_Qty, Mov_Item, $A956, Mov_Type, "Consumption", Mov_Date, "&gt;="&amp;$Z$2, Mov_Date, "&lt;="&amp;$AA$2))</f>
        <v>0</v>
      </c>
      <c r="O956">
        <f>IFERROR(AVERAGE(L956:N956),"")</f>
        <v>0</v>
      </c>
      <c r="P956">
        <f>IF(O956&gt;=Cfg_HiMove, "Yes", "")</f>
        <v>0</v>
      </c>
      <c r="Q956">
        <f>IF($A956="","", $I956 + IFERROR(O956/30*$H956,0))</f>
        <v>0</v>
      </c>
      <c r="R956">
        <f>IF($A956="","", IF(J956&lt;=$F956, "Yes", ""))</f>
        <v>0</v>
      </c>
      <c r="S956">
        <f>IF(R956="Yes", CEILING(MAX($G956, Q956-J956), $G956), 0)</f>
        <v>0</v>
      </c>
      <c r="T956">
        <f>IFERROR(J956/(O956/30),"")</f>
        <v>0</v>
      </c>
    </row>
    <row r="957" spans="10:20">
      <c r="J957">
        <f>IF($A957="","", SUMIFS(Mov_Qty, Mov_Item, $A957))</f>
        <v>0</v>
      </c>
      <c r="K957">
        <f>IF($A957="","", J957 * $E957)</f>
        <v>0</v>
      </c>
      <c r="L957">
        <f>IF($A957="","", SUMIFS(-Mov_Qty, Mov_Item, $A957, Mov_Type, "Consumption", Mov_Date, "&gt;="&amp;$V$2, Mov_Date, "&lt;="&amp;$W$2))</f>
        <v>0</v>
      </c>
      <c r="M957">
        <f>IF($A957="","", SUMIFS(-Mov_Qty, Mov_Item, $A957, Mov_Type, "Consumption", Mov_Date, "&gt;="&amp;$X$2, Mov_Date, "&lt;="&amp;$Y$2))</f>
        <v>0</v>
      </c>
      <c r="N957">
        <f>IF($A957="","", SUMIFS(-Mov_Qty, Mov_Item, $A957, Mov_Type, "Consumption", Mov_Date, "&gt;="&amp;$Z$2, Mov_Date, "&lt;="&amp;$AA$2))</f>
        <v>0</v>
      </c>
      <c r="O957">
        <f>IFERROR(AVERAGE(L957:N957),"")</f>
        <v>0</v>
      </c>
      <c r="P957">
        <f>IF(O957&gt;=Cfg_HiMove, "Yes", "")</f>
        <v>0</v>
      </c>
      <c r="Q957">
        <f>IF($A957="","", $I957 + IFERROR(O957/30*$H957,0))</f>
        <v>0</v>
      </c>
      <c r="R957">
        <f>IF($A957="","", IF(J957&lt;=$F957, "Yes", ""))</f>
        <v>0</v>
      </c>
      <c r="S957">
        <f>IF(R957="Yes", CEILING(MAX($G957, Q957-J957), $G957), 0)</f>
        <v>0</v>
      </c>
      <c r="T957">
        <f>IFERROR(J957/(O957/30),"")</f>
        <v>0</v>
      </c>
    </row>
    <row r="958" spans="10:20">
      <c r="J958">
        <f>IF($A958="","", SUMIFS(Mov_Qty, Mov_Item, $A958))</f>
        <v>0</v>
      </c>
      <c r="K958">
        <f>IF($A958="","", J958 * $E958)</f>
        <v>0</v>
      </c>
      <c r="L958">
        <f>IF($A958="","", SUMIFS(-Mov_Qty, Mov_Item, $A958, Mov_Type, "Consumption", Mov_Date, "&gt;="&amp;$V$2, Mov_Date, "&lt;="&amp;$W$2))</f>
        <v>0</v>
      </c>
      <c r="M958">
        <f>IF($A958="","", SUMIFS(-Mov_Qty, Mov_Item, $A958, Mov_Type, "Consumption", Mov_Date, "&gt;="&amp;$X$2, Mov_Date, "&lt;="&amp;$Y$2))</f>
        <v>0</v>
      </c>
      <c r="N958">
        <f>IF($A958="","", SUMIFS(-Mov_Qty, Mov_Item, $A958, Mov_Type, "Consumption", Mov_Date, "&gt;="&amp;$Z$2, Mov_Date, "&lt;="&amp;$AA$2))</f>
        <v>0</v>
      </c>
      <c r="O958">
        <f>IFERROR(AVERAGE(L958:N958),"")</f>
        <v>0</v>
      </c>
      <c r="P958">
        <f>IF(O958&gt;=Cfg_HiMove, "Yes", "")</f>
        <v>0</v>
      </c>
      <c r="Q958">
        <f>IF($A958="","", $I958 + IFERROR(O958/30*$H958,0))</f>
        <v>0</v>
      </c>
      <c r="R958">
        <f>IF($A958="","", IF(J958&lt;=$F958, "Yes", ""))</f>
        <v>0</v>
      </c>
      <c r="S958">
        <f>IF(R958="Yes", CEILING(MAX($G958, Q958-J958), $G958), 0)</f>
        <v>0</v>
      </c>
      <c r="T958">
        <f>IFERROR(J958/(O958/30),"")</f>
        <v>0</v>
      </c>
    </row>
    <row r="959" spans="10:20">
      <c r="J959">
        <f>IF($A959="","", SUMIFS(Mov_Qty, Mov_Item, $A959))</f>
        <v>0</v>
      </c>
      <c r="K959">
        <f>IF($A959="","", J959 * $E959)</f>
        <v>0</v>
      </c>
      <c r="L959">
        <f>IF($A959="","", SUMIFS(-Mov_Qty, Mov_Item, $A959, Mov_Type, "Consumption", Mov_Date, "&gt;="&amp;$V$2, Mov_Date, "&lt;="&amp;$W$2))</f>
        <v>0</v>
      </c>
      <c r="M959">
        <f>IF($A959="","", SUMIFS(-Mov_Qty, Mov_Item, $A959, Mov_Type, "Consumption", Mov_Date, "&gt;="&amp;$X$2, Mov_Date, "&lt;="&amp;$Y$2))</f>
        <v>0</v>
      </c>
      <c r="N959">
        <f>IF($A959="","", SUMIFS(-Mov_Qty, Mov_Item, $A959, Mov_Type, "Consumption", Mov_Date, "&gt;="&amp;$Z$2, Mov_Date, "&lt;="&amp;$AA$2))</f>
        <v>0</v>
      </c>
      <c r="O959">
        <f>IFERROR(AVERAGE(L959:N959),"")</f>
        <v>0</v>
      </c>
      <c r="P959">
        <f>IF(O959&gt;=Cfg_HiMove, "Yes", "")</f>
        <v>0</v>
      </c>
      <c r="Q959">
        <f>IF($A959="","", $I959 + IFERROR(O959/30*$H959,0))</f>
        <v>0</v>
      </c>
      <c r="R959">
        <f>IF($A959="","", IF(J959&lt;=$F959, "Yes", ""))</f>
        <v>0</v>
      </c>
      <c r="S959">
        <f>IF(R959="Yes", CEILING(MAX($G959, Q959-J959), $G959), 0)</f>
        <v>0</v>
      </c>
      <c r="T959">
        <f>IFERROR(J959/(O959/30),"")</f>
        <v>0</v>
      </c>
    </row>
    <row r="960" spans="10:20">
      <c r="J960">
        <f>IF($A960="","", SUMIFS(Mov_Qty, Mov_Item, $A960))</f>
        <v>0</v>
      </c>
      <c r="K960">
        <f>IF($A960="","", J960 * $E960)</f>
        <v>0</v>
      </c>
      <c r="L960">
        <f>IF($A960="","", SUMIFS(-Mov_Qty, Mov_Item, $A960, Mov_Type, "Consumption", Mov_Date, "&gt;="&amp;$V$2, Mov_Date, "&lt;="&amp;$W$2))</f>
        <v>0</v>
      </c>
      <c r="M960">
        <f>IF($A960="","", SUMIFS(-Mov_Qty, Mov_Item, $A960, Mov_Type, "Consumption", Mov_Date, "&gt;="&amp;$X$2, Mov_Date, "&lt;="&amp;$Y$2))</f>
        <v>0</v>
      </c>
      <c r="N960">
        <f>IF($A960="","", SUMIFS(-Mov_Qty, Mov_Item, $A960, Mov_Type, "Consumption", Mov_Date, "&gt;="&amp;$Z$2, Mov_Date, "&lt;="&amp;$AA$2))</f>
        <v>0</v>
      </c>
      <c r="O960">
        <f>IFERROR(AVERAGE(L960:N960),"")</f>
        <v>0</v>
      </c>
      <c r="P960">
        <f>IF(O960&gt;=Cfg_HiMove, "Yes", "")</f>
        <v>0</v>
      </c>
      <c r="Q960">
        <f>IF($A960="","", $I960 + IFERROR(O960/30*$H960,0))</f>
        <v>0</v>
      </c>
      <c r="R960">
        <f>IF($A960="","", IF(J960&lt;=$F960, "Yes", ""))</f>
        <v>0</v>
      </c>
      <c r="S960">
        <f>IF(R960="Yes", CEILING(MAX($G960, Q960-J960), $G960), 0)</f>
        <v>0</v>
      </c>
      <c r="T960">
        <f>IFERROR(J960/(O960/30),"")</f>
        <v>0</v>
      </c>
    </row>
    <row r="961" spans="10:20">
      <c r="J961">
        <f>IF($A961="","", SUMIFS(Mov_Qty, Mov_Item, $A961))</f>
        <v>0</v>
      </c>
      <c r="K961">
        <f>IF($A961="","", J961 * $E961)</f>
        <v>0</v>
      </c>
      <c r="L961">
        <f>IF($A961="","", SUMIFS(-Mov_Qty, Mov_Item, $A961, Mov_Type, "Consumption", Mov_Date, "&gt;="&amp;$V$2, Mov_Date, "&lt;="&amp;$W$2))</f>
        <v>0</v>
      </c>
      <c r="M961">
        <f>IF($A961="","", SUMIFS(-Mov_Qty, Mov_Item, $A961, Mov_Type, "Consumption", Mov_Date, "&gt;="&amp;$X$2, Mov_Date, "&lt;="&amp;$Y$2))</f>
        <v>0</v>
      </c>
      <c r="N961">
        <f>IF($A961="","", SUMIFS(-Mov_Qty, Mov_Item, $A961, Mov_Type, "Consumption", Mov_Date, "&gt;="&amp;$Z$2, Mov_Date, "&lt;="&amp;$AA$2))</f>
        <v>0</v>
      </c>
      <c r="O961">
        <f>IFERROR(AVERAGE(L961:N961),"")</f>
        <v>0</v>
      </c>
      <c r="P961">
        <f>IF(O961&gt;=Cfg_HiMove, "Yes", "")</f>
        <v>0</v>
      </c>
      <c r="Q961">
        <f>IF($A961="","", $I961 + IFERROR(O961/30*$H961,0))</f>
        <v>0</v>
      </c>
      <c r="R961">
        <f>IF($A961="","", IF(J961&lt;=$F961, "Yes", ""))</f>
        <v>0</v>
      </c>
      <c r="S961">
        <f>IF(R961="Yes", CEILING(MAX($G961, Q961-J961), $G961), 0)</f>
        <v>0</v>
      </c>
      <c r="T961">
        <f>IFERROR(J961/(O961/30),"")</f>
        <v>0</v>
      </c>
    </row>
    <row r="962" spans="10:20">
      <c r="J962">
        <f>IF($A962="","", SUMIFS(Mov_Qty, Mov_Item, $A962))</f>
        <v>0</v>
      </c>
      <c r="K962">
        <f>IF($A962="","", J962 * $E962)</f>
        <v>0</v>
      </c>
      <c r="L962">
        <f>IF($A962="","", SUMIFS(-Mov_Qty, Mov_Item, $A962, Mov_Type, "Consumption", Mov_Date, "&gt;="&amp;$V$2, Mov_Date, "&lt;="&amp;$W$2))</f>
        <v>0</v>
      </c>
      <c r="M962">
        <f>IF($A962="","", SUMIFS(-Mov_Qty, Mov_Item, $A962, Mov_Type, "Consumption", Mov_Date, "&gt;="&amp;$X$2, Mov_Date, "&lt;="&amp;$Y$2))</f>
        <v>0</v>
      </c>
      <c r="N962">
        <f>IF($A962="","", SUMIFS(-Mov_Qty, Mov_Item, $A962, Mov_Type, "Consumption", Mov_Date, "&gt;="&amp;$Z$2, Mov_Date, "&lt;="&amp;$AA$2))</f>
        <v>0</v>
      </c>
      <c r="O962">
        <f>IFERROR(AVERAGE(L962:N962),"")</f>
        <v>0</v>
      </c>
      <c r="P962">
        <f>IF(O962&gt;=Cfg_HiMove, "Yes", "")</f>
        <v>0</v>
      </c>
      <c r="Q962">
        <f>IF($A962="","", $I962 + IFERROR(O962/30*$H962,0))</f>
        <v>0</v>
      </c>
      <c r="R962">
        <f>IF($A962="","", IF(J962&lt;=$F962, "Yes", ""))</f>
        <v>0</v>
      </c>
      <c r="S962">
        <f>IF(R962="Yes", CEILING(MAX($G962, Q962-J962), $G962), 0)</f>
        <v>0</v>
      </c>
      <c r="T962">
        <f>IFERROR(J962/(O962/30),"")</f>
        <v>0</v>
      </c>
    </row>
    <row r="963" spans="10:20">
      <c r="J963">
        <f>IF($A963="","", SUMIFS(Mov_Qty, Mov_Item, $A963))</f>
        <v>0</v>
      </c>
      <c r="K963">
        <f>IF($A963="","", J963 * $E963)</f>
        <v>0</v>
      </c>
      <c r="L963">
        <f>IF($A963="","", SUMIFS(-Mov_Qty, Mov_Item, $A963, Mov_Type, "Consumption", Mov_Date, "&gt;="&amp;$V$2, Mov_Date, "&lt;="&amp;$W$2))</f>
        <v>0</v>
      </c>
      <c r="M963">
        <f>IF($A963="","", SUMIFS(-Mov_Qty, Mov_Item, $A963, Mov_Type, "Consumption", Mov_Date, "&gt;="&amp;$X$2, Mov_Date, "&lt;="&amp;$Y$2))</f>
        <v>0</v>
      </c>
      <c r="N963">
        <f>IF($A963="","", SUMIFS(-Mov_Qty, Mov_Item, $A963, Mov_Type, "Consumption", Mov_Date, "&gt;="&amp;$Z$2, Mov_Date, "&lt;="&amp;$AA$2))</f>
        <v>0</v>
      </c>
      <c r="O963">
        <f>IFERROR(AVERAGE(L963:N963),"")</f>
        <v>0</v>
      </c>
      <c r="P963">
        <f>IF(O963&gt;=Cfg_HiMove, "Yes", "")</f>
        <v>0</v>
      </c>
      <c r="Q963">
        <f>IF($A963="","", $I963 + IFERROR(O963/30*$H963,0))</f>
        <v>0</v>
      </c>
      <c r="R963">
        <f>IF($A963="","", IF(J963&lt;=$F963, "Yes", ""))</f>
        <v>0</v>
      </c>
      <c r="S963">
        <f>IF(R963="Yes", CEILING(MAX($G963, Q963-J963), $G963), 0)</f>
        <v>0</v>
      </c>
      <c r="T963">
        <f>IFERROR(J963/(O963/30),"")</f>
        <v>0</v>
      </c>
    </row>
    <row r="964" spans="10:20">
      <c r="J964">
        <f>IF($A964="","", SUMIFS(Mov_Qty, Mov_Item, $A964))</f>
        <v>0</v>
      </c>
      <c r="K964">
        <f>IF($A964="","", J964 * $E964)</f>
        <v>0</v>
      </c>
      <c r="L964">
        <f>IF($A964="","", SUMIFS(-Mov_Qty, Mov_Item, $A964, Mov_Type, "Consumption", Mov_Date, "&gt;="&amp;$V$2, Mov_Date, "&lt;="&amp;$W$2))</f>
        <v>0</v>
      </c>
      <c r="M964">
        <f>IF($A964="","", SUMIFS(-Mov_Qty, Mov_Item, $A964, Mov_Type, "Consumption", Mov_Date, "&gt;="&amp;$X$2, Mov_Date, "&lt;="&amp;$Y$2))</f>
        <v>0</v>
      </c>
      <c r="N964">
        <f>IF($A964="","", SUMIFS(-Mov_Qty, Mov_Item, $A964, Mov_Type, "Consumption", Mov_Date, "&gt;="&amp;$Z$2, Mov_Date, "&lt;="&amp;$AA$2))</f>
        <v>0</v>
      </c>
      <c r="O964">
        <f>IFERROR(AVERAGE(L964:N964),"")</f>
        <v>0</v>
      </c>
      <c r="P964">
        <f>IF(O964&gt;=Cfg_HiMove, "Yes", "")</f>
        <v>0</v>
      </c>
      <c r="Q964">
        <f>IF($A964="","", $I964 + IFERROR(O964/30*$H964,0))</f>
        <v>0</v>
      </c>
      <c r="R964">
        <f>IF($A964="","", IF(J964&lt;=$F964, "Yes", ""))</f>
        <v>0</v>
      </c>
      <c r="S964">
        <f>IF(R964="Yes", CEILING(MAX($G964, Q964-J964), $G964), 0)</f>
        <v>0</v>
      </c>
      <c r="T964">
        <f>IFERROR(J964/(O964/30),"")</f>
        <v>0</v>
      </c>
    </row>
    <row r="965" spans="10:20">
      <c r="J965">
        <f>IF($A965="","", SUMIFS(Mov_Qty, Mov_Item, $A965))</f>
        <v>0</v>
      </c>
      <c r="K965">
        <f>IF($A965="","", J965 * $E965)</f>
        <v>0</v>
      </c>
      <c r="L965">
        <f>IF($A965="","", SUMIFS(-Mov_Qty, Mov_Item, $A965, Mov_Type, "Consumption", Mov_Date, "&gt;="&amp;$V$2, Mov_Date, "&lt;="&amp;$W$2))</f>
        <v>0</v>
      </c>
      <c r="M965">
        <f>IF($A965="","", SUMIFS(-Mov_Qty, Mov_Item, $A965, Mov_Type, "Consumption", Mov_Date, "&gt;="&amp;$X$2, Mov_Date, "&lt;="&amp;$Y$2))</f>
        <v>0</v>
      </c>
      <c r="N965">
        <f>IF($A965="","", SUMIFS(-Mov_Qty, Mov_Item, $A965, Mov_Type, "Consumption", Mov_Date, "&gt;="&amp;$Z$2, Mov_Date, "&lt;="&amp;$AA$2))</f>
        <v>0</v>
      </c>
      <c r="O965">
        <f>IFERROR(AVERAGE(L965:N965),"")</f>
        <v>0</v>
      </c>
      <c r="P965">
        <f>IF(O965&gt;=Cfg_HiMove, "Yes", "")</f>
        <v>0</v>
      </c>
      <c r="Q965">
        <f>IF($A965="","", $I965 + IFERROR(O965/30*$H965,0))</f>
        <v>0</v>
      </c>
      <c r="R965">
        <f>IF($A965="","", IF(J965&lt;=$F965, "Yes", ""))</f>
        <v>0</v>
      </c>
      <c r="S965">
        <f>IF(R965="Yes", CEILING(MAX($G965, Q965-J965), $G965), 0)</f>
        <v>0</v>
      </c>
      <c r="T965">
        <f>IFERROR(J965/(O965/30),"")</f>
        <v>0</v>
      </c>
    </row>
    <row r="966" spans="10:20">
      <c r="J966">
        <f>IF($A966="","", SUMIFS(Mov_Qty, Mov_Item, $A966))</f>
        <v>0</v>
      </c>
      <c r="K966">
        <f>IF($A966="","", J966 * $E966)</f>
        <v>0</v>
      </c>
      <c r="L966">
        <f>IF($A966="","", SUMIFS(-Mov_Qty, Mov_Item, $A966, Mov_Type, "Consumption", Mov_Date, "&gt;="&amp;$V$2, Mov_Date, "&lt;="&amp;$W$2))</f>
        <v>0</v>
      </c>
      <c r="M966">
        <f>IF($A966="","", SUMIFS(-Mov_Qty, Mov_Item, $A966, Mov_Type, "Consumption", Mov_Date, "&gt;="&amp;$X$2, Mov_Date, "&lt;="&amp;$Y$2))</f>
        <v>0</v>
      </c>
      <c r="N966">
        <f>IF($A966="","", SUMIFS(-Mov_Qty, Mov_Item, $A966, Mov_Type, "Consumption", Mov_Date, "&gt;="&amp;$Z$2, Mov_Date, "&lt;="&amp;$AA$2))</f>
        <v>0</v>
      </c>
      <c r="O966">
        <f>IFERROR(AVERAGE(L966:N966),"")</f>
        <v>0</v>
      </c>
      <c r="P966">
        <f>IF(O966&gt;=Cfg_HiMove, "Yes", "")</f>
        <v>0</v>
      </c>
      <c r="Q966">
        <f>IF($A966="","", $I966 + IFERROR(O966/30*$H966,0))</f>
        <v>0</v>
      </c>
      <c r="R966">
        <f>IF($A966="","", IF(J966&lt;=$F966, "Yes", ""))</f>
        <v>0</v>
      </c>
      <c r="S966">
        <f>IF(R966="Yes", CEILING(MAX($G966, Q966-J966), $G966), 0)</f>
        <v>0</v>
      </c>
      <c r="T966">
        <f>IFERROR(J966/(O966/30),"")</f>
        <v>0</v>
      </c>
    </row>
    <row r="967" spans="10:20">
      <c r="J967">
        <f>IF($A967="","", SUMIFS(Mov_Qty, Mov_Item, $A967))</f>
        <v>0</v>
      </c>
      <c r="K967">
        <f>IF($A967="","", J967 * $E967)</f>
        <v>0</v>
      </c>
      <c r="L967">
        <f>IF($A967="","", SUMIFS(-Mov_Qty, Mov_Item, $A967, Mov_Type, "Consumption", Mov_Date, "&gt;="&amp;$V$2, Mov_Date, "&lt;="&amp;$W$2))</f>
        <v>0</v>
      </c>
      <c r="M967">
        <f>IF($A967="","", SUMIFS(-Mov_Qty, Mov_Item, $A967, Mov_Type, "Consumption", Mov_Date, "&gt;="&amp;$X$2, Mov_Date, "&lt;="&amp;$Y$2))</f>
        <v>0</v>
      </c>
      <c r="N967">
        <f>IF($A967="","", SUMIFS(-Mov_Qty, Mov_Item, $A967, Mov_Type, "Consumption", Mov_Date, "&gt;="&amp;$Z$2, Mov_Date, "&lt;="&amp;$AA$2))</f>
        <v>0</v>
      </c>
      <c r="O967">
        <f>IFERROR(AVERAGE(L967:N967),"")</f>
        <v>0</v>
      </c>
      <c r="P967">
        <f>IF(O967&gt;=Cfg_HiMove, "Yes", "")</f>
        <v>0</v>
      </c>
      <c r="Q967">
        <f>IF($A967="","", $I967 + IFERROR(O967/30*$H967,0))</f>
        <v>0</v>
      </c>
      <c r="R967">
        <f>IF($A967="","", IF(J967&lt;=$F967, "Yes", ""))</f>
        <v>0</v>
      </c>
      <c r="S967">
        <f>IF(R967="Yes", CEILING(MAX($G967, Q967-J967), $G967), 0)</f>
        <v>0</v>
      </c>
      <c r="T967">
        <f>IFERROR(J967/(O967/30),"")</f>
        <v>0</v>
      </c>
    </row>
    <row r="968" spans="10:20">
      <c r="J968">
        <f>IF($A968="","", SUMIFS(Mov_Qty, Mov_Item, $A968))</f>
        <v>0</v>
      </c>
      <c r="K968">
        <f>IF($A968="","", J968 * $E968)</f>
        <v>0</v>
      </c>
      <c r="L968">
        <f>IF($A968="","", SUMIFS(-Mov_Qty, Mov_Item, $A968, Mov_Type, "Consumption", Mov_Date, "&gt;="&amp;$V$2, Mov_Date, "&lt;="&amp;$W$2))</f>
        <v>0</v>
      </c>
      <c r="M968">
        <f>IF($A968="","", SUMIFS(-Mov_Qty, Mov_Item, $A968, Mov_Type, "Consumption", Mov_Date, "&gt;="&amp;$X$2, Mov_Date, "&lt;="&amp;$Y$2))</f>
        <v>0</v>
      </c>
      <c r="N968">
        <f>IF($A968="","", SUMIFS(-Mov_Qty, Mov_Item, $A968, Mov_Type, "Consumption", Mov_Date, "&gt;="&amp;$Z$2, Mov_Date, "&lt;="&amp;$AA$2))</f>
        <v>0</v>
      </c>
      <c r="O968">
        <f>IFERROR(AVERAGE(L968:N968),"")</f>
        <v>0</v>
      </c>
      <c r="P968">
        <f>IF(O968&gt;=Cfg_HiMove, "Yes", "")</f>
        <v>0</v>
      </c>
      <c r="Q968">
        <f>IF($A968="","", $I968 + IFERROR(O968/30*$H968,0))</f>
        <v>0</v>
      </c>
      <c r="R968">
        <f>IF($A968="","", IF(J968&lt;=$F968, "Yes", ""))</f>
        <v>0</v>
      </c>
      <c r="S968">
        <f>IF(R968="Yes", CEILING(MAX($G968, Q968-J968), $G968), 0)</f>
        <v>0</v>
      </c>
      <c r="T968">
        <f>IFERROR(J968/(O968/30),"")</f>
        <v>0</v>
      </c>
    </row>
    <row r="969" spans="10:20">
      <c r="J969">
        <f>IF($A969="","", SUMIFS(Mov_Qty, Mov_Item, $A969))</f>
        <v>0</v>
      </c>
      <c r="K969">
        <f>IF($A969="","", J969 * $E969)</f>
        <v>0</v>
      </c>
      <c r="L969">
        <f>IF($A969="","", SUMIFS(-Mov_Qty, Mov_Item, $A969, Mov_Type, "Consumption", Mov_Date, "&gt;="&amp;$V$2, Mov_Date, "&lt;="&amp;$W$2))</f>
        <v>0</v>
      </c>
      <c r="M969">
        <f>IF($A969="","", SUMIFS(-Mov_Qty, Mov_Item, $A969, Mov_Type, "Consumption", Mov_Date, "&gt;="&amp;$X$2, Mov_Date, "&lt;="&amp;$Y$2))</f>
        <v>0</v>
      </c>
      <c r="N969">
        <f>IF($A969="","", SUMIFS(-Mov_Qty, Mov_Item, $A969, Mov_Type, "Consumption", Mov_Date, "&gt;="&amp;$Z$2, Mov_Date, "&lt;="&amp;$AA$2))</f>
        <v>0</v>
      </c>
      <c r="O969">
        <f>IFERROR(AVERAGE(L969:N969),"")</f>
        <v>0</v>
      </c>
      <c r="P969">
        <f>IF(O969&gt;=Cfg_HiMove, "Yes", "")</f>
        <v>0</v>
      </c>
      <c r="Q969">
        <f>IF($A969="","", $I969 + IFERROR(O969/30*$H969,0))</f>
        <v>0</v>
      </c>
      <c r="R969">
        <f>IF($A969="","", IF(J969&lt;=$F969, "Yes", ""))</f>
        <v>0</v>
      </c>
      <c r="S969">
        <f>IF(R969="Yes", CEILING(MAX($G969, Q969-J969), $G969), 0)</f>
        <v>0</v>
      </c>
      <c r="T969">
        <f>IFERROR(J969/(O969/30),"")</f>
        <v>0</v>
      </c>
    </row>
    <row r="970" spans="10:20">
      <c r="J970">
        <f>IF($A970="","", SUMIFS(Mov_Qty, Mov_Item, $A970))</f>
        <v>0</v>
      </c>
      <c r="K970">
        <f>IF($A970="","", J970 * $E970)</f>
        <v>0</v>
      </c>
      <c r="L970">
        <f>IF($A970="","", SUMIFS(-Mov_Qty, Mov_Item, $A970, Mov_Type, "Consumption", Mov_Date, "&gt;="&amp;$V$2, Mov_Date, "&lt;="&amp;$W$2))</f>
        <v>0</v>
      </c>
      <c r="M970">
        <f>IF($A970="","", SUMIFS(-Mov_Qty, Mov_Item, $A970, Mov_Type, "Consumption", Mov_Date, "&gt;="&amp;$X$2, Mov_Date, "&lt;="&amp;$Y$2))</f>
        <v>0</v>
      </c>
      <c r="N970">
        <f>IF($A970="","", SUMIFS(-Mov_Qty, Mov_Item, $A970, Mov_Type, "Consumption", Mov_Date, "&gt;="&amp;$Z$2, Mov_Date, "&lt;="&amp;$AA$2))</f>
        <v>0</v>
      </c>
      <c r="O970">
        <f>IFERROR(AVERAGE(L970:N970),"")</f>
        <v>0</v>
      </c>
      <c r="P970">
        <f>IF(O970&gt;=Cfg_HiMove, "Yes", "")</f>
        <v>0</v>
      </c>
      <c r="Q970">
        <f>IF($A970="","", $I970 + IFERROR(O970/30*$H970,0))</f>
        <v>0</v>
      </c>
      <c r="R970">
        <f>IF($A970="","", IF(J970&lt;=$F970, "Yes", ""))</f>
        <v>0</v>
      </c>
      <c r="S970">
        <f>IF(R970="Yes", CEILING(MAX($G970, Q970-J970), $G970), 0)</f>
        <v>0</v>
      </c>
      <c r="T970">
        <f>IFERROR(J970/(O970/30),"")</f>
        <v>0</v>
      </c>
    </row>
    <row r="971" spans="10:20">
      <c r="J971">
        <f>IF($A971="","", SUMIFS(Mov_Qty, Mov_Item, $A971))</f>
        <v>0</v>
      </c>
      <c r="K971">
        <f>IF($A971="","", J971 * $E971)</f>
        <v>0</v>
      </c>
      <c r="L971">
        <f>IF($A971="","", SUMIFS(-Mov_Qty, Mov_Item, $A971, Mov_Type, "Consumption", Mov_Date, "&gt;="&amp;$V$2, Mov_Date, "&lt;="&amp;$W$2))</f>
        <v>0</v>
      </c>
      <c r="M971">
        <f>IF($A971="","", SUMIFS(-Mov_Qty, Mov_Item, $A971, Mov_Type, "Consumption", Mov_Date, "&gt;="&amp;$X$2, Mov_Date, "&lt;="&amp;$Y$2))</f>
        <v>0</v>
      </c>
      <c r="N971">
        <f>IF($A971="","", SUMIFS(-Mov_Qty, Mov_Item, $A971, Mov_Type, "Consumption", Mov_Date, "&gt;="&amp;$Z$2, Mov_Date, "&lt;="&amp;$AA$2))</f>
        <v>0</v>
      </c>
      <c r="O971">
        <f>IFERROR(AVERAGE(L971:N971),"")</f>
        <v>0</v>
      </c>
      <c r="P971">
        <f>IF(O971&gt;=Cfg_HiMove, "Yes", "")</f>
        <v>0</v>
      </c>
      <c r="Q971">
        <f>IF($A971="","", $I971 + IFERROR(O971/30*$H971,0))</f>
        <v>0</v>
      </c>
      <c r="R971">
        <f>IF($A971="","", IF(J971&lt;=$F971, "Yes", ""))</f>
        <v>0</v>
      </c>
      <c r="S971">
        <f>IF(R971="Yes", CEILING(MAX($G971, Q971-J971), $G971), 0)</f>
        <v>0</v>
      </c>
      <c r="T971">
        <f>IFERROR(J971/(O971/30),"")</f>
        <v>0</v>
      </c>
    </row>
    <row r="972" spans="10:20">
      <c r="J972">
        <f>IF($A972="","", SUMIFS(Mov_Qty, Mov_Item, $A972))</f>
        <v>0</v>
      </c>
      <c r="K972">
        <f>IF($A972="","", J972 * $E972)</f>
        <v>0</v>
      </c>
      <c r="L972">
        <f>IF($A972="","", SUMIFS(-Mov_Qty, Mov_Item, $A972, Mov_Type, "Consumption", Mov_Date, "&gt;="&amp;$V$2, Mov_Date, "&lt;="&amp;$W$2))</f>
        <v>0</v>
      </c>
      <c r="M972">
        <f>IF($A972="","", SUMIFS(-Mov_Qty, Mov_Item, $A972, Mov_Type, "Consumption", Mov_Date, "&gt;="&amp;$X$2, Mov_Date, "&lt;="&amp;$Y$2))</f>
        <v>0</v>
      </c>
      <c r="N972">
        <f>IF($A972="","", SUMIFS(-Mov_Qty, Mov_Item, $A972, Mov_Type, "Consumption", Mov_Date, "&gt;="&amp;$Z$2, Mov_Date, "&lt;="&amp;$AA$2))</f>
        <v>0</v>
      </c>
      <c r="O972">
        <f>IFERROR(AVERAGE(L972:N972),"")</f>
        <v>0</v>
      </c>
      <c r="P972">
        <f>IF(O972&gt;=Cfg_HiMove, "Yes", "")</f>
        <v>0</v>
      </c>
      <c r="Q972">
        <f>IF($A972="","", $I972 + IFERROR(O972/30*$H972,0))</f>
        <v>0</v>
      </c>
      <c r="R972">
        <f>IF($A972="","", IF(J972&lt;=$F972, "Yes", ""))</f>
        <v>0</v>
      </c>
      <c r="S972">
        <f>IF(R972="Yes", CEILING(MAX($G972, Q972-J972), $G972), 0)</f>
        <v>0</v>
      </c>
      <c r="T972">
        <f>IFERROR(J972/(O972/30),"")</f>
        <v>0</v>
      </c>
    </row>
    <row r="973" spans="10:20">
      <c r="J973">
        <f>IF($A973="","", SUMIFS(Mov_Qty, Mov_Item, $A973))</f>
        <v>0</v>
      </c>
      <c r="K973">
        <f>IF($A973="","", J973 * $E973)</f>
        <v>0</v>
      </c>
      <c r="L973">
        <f>IF($A973="","", SUMIFS(-Mov_Qty, Mov_Item, $A973, Mov_Type, "Consumption", Mov_Date, "&gt;="&amp;$V$2, Mov_Date, "&lt;="&amp;$W$2))</f>
        <v>0</v>
      </c>
      <c r="M973">
        <f>IF($A973="","", SUMIFS(-Mov_Qty, Mov_Item, $A973, Mov_Type, "Consumption", Mov_Date, "&gt;="&amp;$X$2, Mov_Date, "&lt;="&amp;$Y$2))</f>
        <v>0</v>
      </c>
      <c r="N973">
        <f>IF($A973="","", SUMIFS(-Mov_Qty, Mov_Item, $A973, Mov_Type, "Consumption", Mov_Date, "&gt;="&amp;$Z$2, Mov_Date, "&lt;="&amp;$AA$2))</f>
        <v>0</v>
      </c>
      <c r="O973">
        <f>IFERROR(AVERAGE(L973:N973),"")</f>
        <v>0</v>
      </c>
      <c r="P973">
        <f>IF(O973&gt;=Cfg_HiMove, "Yes", "")</f>
        <v>0</v>
      </c>
      <c r="Q973">
        <f>IF($A973="","", $I973 + IFERROR(O973/30*$H973,0))</f>
        <v>0</v>
      </c>
      <c r="R973">
        <f>IF($A973="","", IF(J973&lt;=$F973, "Yes", ""))</f>
        <v>0</v>
      </c>
      <c r="S973">
        <f>IF(R973="Yes", CEILING(MAX($G973, Q973-J973), $G973), 0)</f>
        <v>0</v>
      </c>
      <c r="T973">
        <f>IFERROR(J973/(O973/30),"")</f>
        <v>0</v>
      </c>
    </row>
    <row r="974" spans="10:20">
      <c r="J974">
        <f>IF($A974="","", SUMIFS(Mov_Qty, Mov_Item, $A974))</f>
        <v>0</v>
      </c>
      <c r="K974">
        <f>IF($A974="","", J974 * $E974)</f>
        <v>0</v>
      </c>
      <c r="L974">
        <f>IF($A974="","", SUMIFS(-Mov_Qty, Mov_Item, $A974, Mov_Type, "Consumption", Mov_Date, "&gt;="&amp;$V$2, Mov_Date, "&lt;="&amp;$W$2))</f>
        <v>0</v>
      </c>
      <c r="M974">
        <f>IF($A974="","", SUMIFS(-Mov_Qty, Mov_Item, $A974, Mov_Type, "Consumption", Mov_Date, "&gt;="&amp;$X$2, Mov_Date, "&lt;="&amp;$Y$2))</f>
        <v>0</v>
      </c>
      <c r="N974">
        <f>IF($A974="","", SUMIFS(-Mov_Qty, Mov_Item, $A974, Mov_Type, "Consumption", Mov_Date, "&gt;="&amp;$Z$2, Mov_Date, "&lt;="&amp;$AA$2))</f>
        <v>0</v>
      </c>
      <c r="O974">
        <f>IFERROR(AVERAGE(L974:N974),"")</f>
        <v>0</v>
      </c>
      <c r="P974">
        <f>IF(O974&gt;=Cfg_HiMove, "Yes", "")</f>
        <v>0</v>
      </c>
      <c r="Q974">
        <f>IF($A974="","", $I974 + IFERROR(O974/30*$H974,0))</f>
        <v>0</v>
      </c>
      <c r="R974">
        <f>IF($A974="","", IF(J974&lt;=$F974, "Yes", ""))</f>
        <v>0</v>
      </c>
      <c r="S974">
        <f>IF(R974="Yes", CEILING(MAX($G974, Q974-J974), $G974), 0)</f>
        <v>0</v>
      </c>
      <c r="T974">
        <f>IFERROR(J974/(O974/30),"")</f>
        <v>0</v>
      </c>
    </row>
    <row r="975" spans="10:20">
      <c r="J975">
        <f>IF($A975="","", SUMIFS(Mov_Qty, Mov_Item, $A975))</f>
        <v>0</v>
      </c>
      <c r="K975">
        <f>IF($A975="","", J975 * $E975)</f>
        <v>0</v>
      </c>
      <c r="L975">
        <f>IF($A975="","", SUMIFS(-Mov_Qty, Mov_Item, $A975, Mov_Type, "Consumption", Mov_Date, "&gt;="&amp;$V$2, Mov_Date, "&lt;="&amp;$W$2))</f>
        <v>0</v>
      </c>
      <c r="M975">
        <f>IF($A975="","", SUMIFS(-Mov_Qty, Mov_Item, $A975, Mov_Type, "Consumption", Mov_Date, "&gt;="&amp;$X$2, Mov_Date, "&lt;="&amp;$Y$2))</f>
        <v>0</v>
      </c>
      <c r="N975">
        <f>IF($A975="","", SUMIFS(-Mov_Qty, Mov_Item, $A975, Mov_Type, "Consumption", Mov_Date, "&gt;="&amp;$Z$2, Mov_Date, "&lt;="&amp;$AA$2))</f>
        <v>0</v>
      </c>
      <c r="O975">
        <f>IFERROR(AVERAGE(L975:N975),"")</f>
        <v>0</v>
      </c>
      <c r="P975">
        <f>IF(O975&gt;=Cfg_HiMove, "Yes", "")</f>
        <v>0</v>
      </c>
      <c r="Q975">
        <f>IF($A975="","", $I975 + IFERROR(O975/30*$H975,0))</f>
        <v>0</v>
      </c>
      <c r="R975">
        <f>IF($A975="","", IF(J975&lt;=$F975, "Yes", ""))</f>
        <v>0</v>
      </c>
      <c r="S975">
        <f>IF(R975="Yes", CEILING(MAX($G975, Q975-J975), $G975), 0)</f>
        <v>0</v>
      </c>
      <c r="T975">
        <f>IFERROR(J975/(O975/30),"")</f>
        <v>0</v>
      </c>
    </row>
    <row r="976" spans="10:20">
      <c r="J976">
        <f>IF($A976="","", SUMIFS(Mov_Qty, Mov_Item, $A976))</f>
        <v>0</v>
      </c>
      <c r="K976">
        <f>IF($A976="","", J976 * $E976)</f>
        <v>0</v>
      </c>
      <c r="L976">
        <f>IF($A976="","", SUMIFS(-Mov_Qty, Mov_Item, $A976, Mov_Type, "Consumption", Mov_Date, "&gt;="&amp;$V$2, Mov_Date, "&lt;="&amp;$W$2))</f>
        <v>0</v>
      </c>
      <c r="M976">
        <f>IF($A976="","", SUMIFS(-Mov_Qty, Mov_Item, $A976, Mov_Type, "Consumption", Mov_Date, "&gt;="&amp;$X$2, Mov_Date, "&lt;="&amp;$Y$2))</f>
        <v>0</v>
      </c>
      <c r="N976">
        <f>IF($A976="","", SUMIFS(-Mov_Qty, Mov_Item, $A976, Mov_Type, "Consumption", Mov_Date, "&gt;="&amp;$Z$2, Mov_Date, "&lt;="&amp;$AA$2))</f>
        <v>0</v>
      </c>
      <c r="O976">
        <f>IFERROR(AVERAGE(L976:N976),"")</f>
        <v>0</v>
      </c>
      <c r="P976">
        <f>IF(O976&gt;=Cfg_HiMove, "Yes", "")</f>
        <v>0</v>
      </c>
      <c r="Q976">
        <f>IF($A976="","", $I976 + IFERROR(O976/30*$H976,0))</f>
        <v>0</v>
      </c>
      <c r="R976">
        <f>IF($A976="","", IF(J976&lt;=$F976, "Yes", ""))</f>
        <v>0</v>
      </c>
      <c r="S976">
        <f>IF(R976="Yes", CEILING(MAX($G976, Q976-J976), $G976), 0)</f>
        <v>0</v>
      </c>
      <c r="T976">
        <f>IFERROR(J976/(O976/30),"")</f>
        <v>0</v>
      </c>
    </row>
    <row r="977" spans="10:20">
      <c r="J977">
        <f>IF($A977="","", SUMIFS(Mov_Qty, Mov_Item, $A977))</f>
        <v>0</v>
      </c>
      <c r="K977">
        <f>IF($A977="","", J977 * $E977)</f>
        <v>0</v>
      </c>
      <c r="L977">
        <f>IF($A977="","", SUMIFS(-Mov_Qty, Mov_Item, $A977, Mov_Type, "Consumption", Mov_Date, "&gt;="&amp;$V$2, Mov_Date, "&lt;="&amp;$W$2))</f>
        <v>0</v>
      </c>
      <c r="M977">
        <f>IF($A977="","", SUMIFS(-Mov_Qty, Mov_Item, $A977, Mov_Type, "Consumption", Mov_Date, "&gt;="&amp;$X$2, Mov_Date, "&lt;="&amp;$Y$2))</f>
        <v>0</v>
      </c>
      <c r="N977">
        <f>IF($A977="","", SUMIFS(-Mov_Qty, Mov_Item, $A977, Mov_Type, "Consumption", Mov_Date, "&gt;="&amp;$Z$2, Mov_Date, "&lt;="&amp;$AA$2))</f>
        <v>0</v>
      </c>
      <c r="O977">
        <f>IFERROR(AVERAGE(L977:N977),"")</f>
        <v>0</v>
      </c>
      <c r="P977">
        <f>IF(O977&gt;=Cfg_HiMove, "Yes", "")</f>
        <v>0</v>
      </c>
      <c r="Q977">
        <f>IF($A977="","", $I977 + IFERROR(O977/30*$H977,0))</f>
        <v>0</v>
      </c>
      <c r="R977">
        <f>IF($A977="","", IF(J977&lt;=$F977, "Yes", ""))</f>
        <v>0</v>
      </c>
      <c r="S977">
        <f>IF(R977="Yes", CEILING(MAX($G977, Q977-J977), $G977), 0)</f>
        <v>0</v>
      </c>
      <c r="T977">
        <f>IFERROR(J977/(O977/30),"")</f>
        <v>0</v>
      </c>
    </row>
    <row r="978" spans="10:20">
      <c r="J978">
        <f>IF($A978="","", SUMIFS(Mov_Qty, Mov_Item, $A978))</f>
        <v>0</v>
      </c>
      <c r="K978">
        <f>IF($A978="","", J978 * $E978)</f>
        <v>0</v>
      </c>
      <c r="L978">
        <f>IF($A978="","", SUMIFS(-Mov_Qty, Mov_Item, $A978, Mov_Type, "Consumption", Mov_Date, "&gt;="&amp;$V$2, Mov_Date, "&lt;="&amp;$W$2))</f>
        <v>0</v>
      </c>
      <c r="M978">
        <f>IF($A978="","", SUMIFS(-Mov_Qty, Mov_Item, $A978, Mov_Type, "Consumption", Mov_Date, "&gt;="&amp;$X$2, Mov_Date, "&lt;="&amp;$Y$2))</f>
        <v>0</v>
      </c>
      <c r="N978">
        <f>IF($A978="","", SUMIFS(-Mov_Qty, Mov_Item, $A978, Mov_Type, "Consumption", Mov_Date, "&gt;="&amp;$Z$2, Mov_Date, "&lt;="&amp;$AA$2))</f>
        <v>0</v>
      </c>
      <c r="O978">
        <f>IFERROR(AVERAGE(L978:N978),"")</f>
        <v>0</v>
      </c>
      <c r="P978">
        <f>IF(O978&gt;=Cfg_HiMove, "Yes", "")</f>
        <v>0</v>
      </c>
      <c r="Q978">
        <f>IF($A978="","", $I978 + IFERROR(O978/30*$H978,0))</f>
        <v>0</v>
      </c>
      <c r="R978">
        <f>IF($A978="","", IF(J978&lt;=$F978, "Yes", ""))</f>
        <v>0</v>
      </c>
      <c r="S978">
        <f>IF(R978="Yes", CEILING(MAX($G978, Q978-J978), $G978), 0)</f>
        <v>0</v>
      </c>
      <c r="T978">
        <f>IFERROR(J978/(O978/30),"")</f>
        <v>0</v>
      </c>
    </row>
    <row r="979" spans="10:20">
      <c r="J979">
        <f>IF($A979="","", SUMIFS(Mov_Qty, Mov_Item, $A979))</f>
        <v>0</v>
      </c>
      <c r="K979">
        <f>IF($A979="","", J979 * $E979)</f>
        <v>0</v>
      </c>
      <c r="L979">
        <f>IF($A979="","", SUMIFS(-Mov_Qty, Mov_Item, $A979, Mov_Type, "Consumption", Mov_Date, "&gt;="&amp;$V$2, Mov_Date, "&lt;="&amp;$W$2))</f>
        <v>0</v>
      </c>
      <c r="M979">
        <f>IF($A979="","", SUMIFS(-Mov_Qty, Mov_Item, $A979, Mov_Type, "Consumption", Mov_Date, "&gt;="&amp;$X$2, Mov_Date, "&lt;="&amp;$Y$2))</f>
        <v>0</v>
      </c>
      <c r="N979">
        <f>IF($A979="","", SUMIFS(-Mov_Qty, Mov_Item, $A979, Mov_Type, "Consumption", Mov_Date, "&gt;="&amp;$Z$2, Mov_Date, "&lt;="&amp;$AA$2))</f>
        <v>0</v>
      </c>
      <c r="O979">
        <f>IFERROR(AVERAGE(L979:N979),"")</f>
        <v>0</v>
      </c>
      <c r="P979">
        <f>IF(O979&gt;=Cfg_HiMove, "Yes", "")</f>
        <v>0</v>
      </c>
      <c r="Q979">
        <f>IF($A979="","", $I979 + IFERROR(O979/30*$H979,0))</f>
        <v>0</v>
      </c>
      <c r="R979">
        <f>IF($A979="","", IF(J979&lt;=$F979, "Yes", ""))</f>
        <v>0</v>
      </c>
      <c r="S979">
        <f>IF(R979="Yes", CEILING(MAX($G979, Q979-J979), $G979), 0)</f>
        <v>0</v>
      </c>
      <c r="T979">
        <f>IFERROR(J979/(O979/30),"")</f>
        <v>0</v>
      </c>
    </row>
    <row r="980" spans="10:20">
      <c r="J980">
        <f>IF($A980="","", SUMIFS(Mov_Qty, Mov_Item, $A980))</f>
        <v>0</v>
      </c>
      <c r="K980">
        <f>IF($A980="","", J980 * $E980)</f>
        <v>0</v>
      </c>
      <c r="L980">
        <f>IF($A980="","", SUMIFS(-Mov_Qty, Mov_Item, $A980, Mov_Type, "Consumption", Mov_Date, "&gt;="&amp;$V$2, Mov_Date, "&lt;="&amp;$W$2))</f>
        <v>0</v>
      </c>
      <c r="M980">
        <f>IF($A980="","", SUMIFS(-Mov_Qty, Mov_Item, $A980, Mov_Type, "Consumption", Mov_Date, "&gt;="&amp;$X$2, Mov_Date, "&lt;="&amp;$Y$2))</f>
        <v>0</v>
      </c>
      <c r="N980">
        <f>IF($A980="","", SUMIFS(-Mov_Qty, Mov_Item, $A980, Mov_Type, "Consumption", Mov_Date, "&gt;="&amp;$Z$2, Mov_Date, "&lt;="&amp;$AA$2))</f>
        <v>0</v>
      </c>
      <c r="O980">
        <f>IFERROR(AVERAGE(L980:N980),"")</f>
        <v>0</v>
      </c>
      <c r="P980">
        <f>IF(O980&gt;=Cfg_HiMove, "Yes", "")</f>
        <v>0</v>
      </c>
      <c r="Q980">
        <f>IF($A980="","", $I980 + IFERROR(O980/30*$H980,0))</f>
        <v>0</v>
      </c>
      <c r="R980">
        <f>IF($A980="","", IF(J980&lt;=$F980, "Yes", ""))</f>
        <v>0</v>
      </c>
      <c r="S980">
        <f>IF(R980="Yes", CEILING(MAX($G980, Q980-J980), $G980), 0)</f>
        <v>0</v>
      </c>
      <c r="T980">
        <f>IFERROR(J980/(O980/30),"")</f>
        <v>0</v>
      </c>
    </row>
    <row r="981" spans="10:20">
      <c r="J981">
        <f>IF($A981="","", SUMIFS(Mov_Qty, Mov_Item, $A981))</f>
        <v>0</v>
      </c>
      <c r="K981">
        <f>IF($A981="","", J981 * $E981)</f>
        <v>0</v>
      </c>
      <c r="L981">
        <f>IF($A981="","", SUMIFS(-Mov_Qty, Mov_Item, $A981, Mov_Type, "Consumption", Mov_Date, "&gt;="&amp;$V$2, Mov_Date, "&lt;="&amp;$W$2))</f>
        <v>0</v>
      </c>
      <c r="M981">
        <f>IF($A981="","", SUMIFS(-Mov_Qty, Mov_Item, $A981, Mov_Type, "Consumption", Mov_Date, "&gt;="&amp;$X$2, Mov_Date, "&lt;="&amp;$Y$2))</f>
        <v>0</v>
      </c>
      <c r="N981">
        <f>IF($A981="","", SUMIFS(-Mov_Qty, Mov_Item, $A981, Mov_Type, "Consumption", Mov_Date, "&gt;="&amp;$Z$2, Mov_Date, "&lt;="&amp;$AA$2))</f>
        <v>0</v>
      </c>
      <c r="O981">
        <f>IFERROR(AVERAGE(L981:N981),"")</f>
        <v>0</v>
      </c>
      <c r="P981">
        <f>IF(O981&gt;=Cfg_HiMove, "Yes", "")</f>
        <v>0</v>
      </c>
      <c r="Q981">
        <f>IF($A981="","", $I981 + IFERROR(O981/30*$H981,0))</f>
        <v>0</v>
      </c>
      <c r="R981">
        <f>IF($A981="","", IF(J981&lt;=$F981, "Yes", ""))</f>
        <v>0</v>
      </c>
      <c r="S981">
        <f>IF(R981="Yes", CEILING(MAX($G981, Q981-J981), $G981), 0)</f>
        <v>0</v>
      </c>
      <c r="T981">
        <f>IFERROR(J981/(O981/30),"")</f>
        <v>0</v>
      </c>
    </row>
    <row r="982" spans="10:20">
      <c r="J982">
        <f>IF($A982="","", SUMIFS(Mov_Qty, Mov_Item, $A982))</f>
        <v>0</v>
      </c>
      <c r="K982">
        <f>IF($A982="","", J982 * $E982)</f>
        <v>0</v>
      </c>
      <c r="L982">
        <f>IF($A982="","", SUMIFS(-Mov_Qty, Mov_Item, $A982, Mov_Type, "Consumption", Mov_Date, "&gt;="&amp;$V$2, Mov_Date, "&lt;="&amp;$W$2))</f>
        <v>0</v>
      </c>
      <c r="M982">
        <f>IF($A982="","", SUMIFS(-Mov_Qty, Mov_Item, $A982, Mov_Type, "Consumption", Mov_Date, "&gt;="&amp;$X$2, Mov_Date, "&lt;="&amp;$Y$2))</f>
        <v>0</v>
      </c>
      <c r="N982">
        <f>IF($A982="","", SUMIFS(-Mov_Qty, Mov_Item, $A982, Mov_Type, "Consumption", Mov_Date, "&gt;="&amp;$Z$2, Mov_Date, "&lt;="&amp;$AA$2))</f>
        <v>0</v>
      </c>
      <c r="O982">
        <f>IFERROR(AVERAGE(L982:N982),"")</f>
        <v>0</v>
      </c>
      <c r="P982">
        <f>IF(O982&gt;=Cfg_HiMove, "Yes", "")</f>
        <v>0</v>
      </c>
      <c r="Q982">
        <f>IF($A982="","", $I982 + IFERROR(O982/30*$H982,0))</f>
        <v>0</v>
      </c>
      <c r="R982">
        <f>IF($A982="","", IF(J982&lt;=$F982, "Yes", ""))</f>
        <v>0</v>
      </c>
      <c r="S982">
        <f>IF(R982="Yes", CEILING(MAX($G982, Q982-J982), $G982), 0)</f>
        <v>0</v>
      </c>
      <c r="T982">
        <f>IFERROR(J982/(O982/30),"")</f>
        <v>0</v>
      </c>
    </row>
    <row r="983" spans="10:20">
      <c r="J983">
        <f>IF($A983="","", SUMIFS(Mov_Qty, Mov_Item, $A983))</f>
        <v>0</v>
      </c>
      <c r="K983">
        <f>IF($A983="","", J983 * $E983)</f>
        <v>0</v>
      </c>
      <c r="L983">
        <f>IF($A983="","", SUMIFS(-Mov_Qty, Mov_Item, $A983, Mov_Type, "Consumption", Mov_Date, "&gt;="&amp;$V$2, Mov_Date, "&lt;="&amp;$W$2))</f>
        <v>0</v>
      </c>
      <c r="M983">
        <f>IF($A983="","", SUMIFS(-Mov_Qty, Mov_Item, $A983, Mov_Type, "Consumption", Mov_Date, "&gt;="&amp;$X$2, Mov_Date, "&lt;="&amp;$Y$2))</f>
        <v>0</v>
      </c>
      <c r="N983">
        <f>IF($A983="","", SUMIFS(-Mov_Qty, Mov_Item, $A983, Mov_Type, "Consumption", Mov_Date, "&gt;="&amp;$Z$2, Mov_Date, "&lt;="&amp;$AA$2))</f>
        <v>0</v>
      </c>
      <c r="O983">
        <f>IFERROR(AVERAGE(L983:N983),"")</f>
        <v>0</v>
      </c>
      <c r="P983">
        <f>IF(O983&gt;=Cfg_HiMove, "Yes", "")</f>
        <v>0</v>
      </c>
      <c r="Q983">
        <f>IF($A983="","", $I983 + IFERROR(O983/30*$H983,0))</f>
        <v>0</v>
      </c>
      <c r="R983">
        <f>IF($A983="","", IF(J983&lt;=$F983, "Yes", ""))</f>
        <v>0</v>
      </c>
      <c r="S983">
        <f>IF(R983="Yes", CEILING(MAX($G983, Q983-J983), $G983), 0)</f>
        <v>0</v>
      </c>
      <c r="T983">
        <f>IFERROR(J983/(O983/30),"")</f>
        <v>0</v>
      </c>
    </row>
    <row r="984" spans="10:20">
      <c r="J984">
        <f>IF($A984="","", SUMIFS(Mov_Qty, Mov_Item, $A984))</f>
        <v>0</v>
      </c>
      <c r="K984">
        <f>IF($A984="","", J984 * $E984)</f>
        <v>0</v>
      </c>
      <c r="L984">
        <f>IF($A984="","", SUMIFS(-Mov_Qty, Mov_Item, $A984, Mov_Type, "Consumption", Mov_Date, "&gt;="&amp;$V$2, Mov_Date, "&lt;="&amp;$W$2))</f>
        <v>0</v>
      </c>
      <c r="M984">
        <f>IF($A984="","", SUMIFS(-Mov_Qty, Mov_Item, $A984, Mov_Type, "Consumption", Mov_Date, "&gt;="&amp;$X$2, Mov_Date, "&lt;="&amp;$Y$2))</f>
        <v>0</v>
      </c>
      <c r="N984">
        <f>IF($A984="","", SUMIFS(-Mov_Qty, Mov_Item, $A984, Mov_Type, "Consumption", Mov_Date, "&gt;="&amp;$Z$2, Mov_Date, "&lt;="&amp;$AA$2))</f>
        <v>0</v>
      </c>
      <c r="O984">
        <f>IFERROR(AVERAGE(L984:N984),"")</f>
        <v>0</v>
      </c>
      <c r="P984">
        <f>IF(O984&gt;=Cfg_HiMove, "Yes", "")</f>
        <v>0</v>
      </c>
      <c r="Q984">
        <f>IF($A984="","", $I984 + IFERROR(O984/30*$H984,0))</f>
        <v>0</v>
      </c>
      <c r="R984">
        <f>IF($A984="","", IF(J984&lt;=$F984, "Yes", ""))</f>
        <v>0</v>
      </c>
      <c r="S984">
        <f>IF(R984="Yes", CEILING(MAX($G984, Q984-J984), $G984), 0)</f>
        <v>0</v>
      </c>
      <c r="T984">
        <f>IFERROR(J984/(O984/30),"")</f>
        <v>0</v>
      </c>
    </row>
    <row r="985" spans="10:20">
      <c r="J985">
        <f>IF($A985="","", SUMIFS(Mov_Qty, Mov_Item, $A985))</f>
        <v>0</v>
      </c>
      <c r="K985">
        <f>IF($A985="","", J985 * $E985)</f>
        <v>0</v>
      </c>
      <c r="L985">
        <f>IF($A985="","", SUMIFS(-Mov_Qty, Mov_Item, $A985, Mov_Type, "Consumption", Mov_Date, "&gt;="&amp;$V$2, Mov_Date, "&lt;="&amp;$W$2))</f>
        <v>0</v>
      </c>
      <c r="M985">
        <f>IF($A985="","", SUMIFS(-Mov_Qty, Mov_Item, $A985, Mov_Type, "Consumption", Mov_Date, "&gt;="&amp;$X$2, Mov_Date, "&lt;="&amp;$Y$2))</f>
        <v>0</v>
      </c>
      <c r="N985">
        <f>IF($A985="","", SUMIFS(-Mov_Qty, Mov_Item, $A985, Mov_Type, "Consumption", Mov_Date, "&gt;="&amp;$Z$2, Mov_Date, "&lt;="&amp;$AA$2))</f>
        <v>0</v>
      </c>
      <c r="O985">
        <f>IFERROR(AVERAGE(L985:N985),"")</f>
        <v>0</v>
      </c>
      <c r="P985">
        <f>IF(O985&gt;=Cfg_HiMove, "Yes", "")</f>
        <v>0</v>
      </c>
      <c r="Q985">
        <f>IF($A985="","", $I985 + IFERROR(O985/30*$H985,0))</f>
        <v>0</v>
      </c>
      <c r="R985">
        <f>IF($A985="","", IF(J985&lt;=$F985, "Yes", ""))</f>
        <v>0</v>
      </c>
      <c r="S985">
        <f>IF(R985="Yes", CEILING(MAX($G985, Q985-J985), $G985), 0)</f>
        <v>0</v>
      </c>
      <c r="T985">
        <f>IFERROR(J985/(O985/30),"")</f>
        <v>0</v>
      </c>
    </row>
    <row r="986" spans="10:20">
      <c r="J986">
        <f>IF($A986="","", SUMIFS(Mov_Qty, Mov_Item, $A986))</f>
        <v>0</v>
      </c>
      <c r="K986">
        <f>IF($A986="","", J986 * $E986)</f>
        <v>0</v>
      </c>
      <c r="L986">
        <f>IF($A986="","", SUMIFS(-Mov_Qty, Mov_Item, $A986, Mov_Type, "Consumption", Mov_Date, "&gt;="&amp;$V$2, Mov_Date, "&lt;="&amp;$W$2))</f>
        <v>0</v>
      </c>
      <c r="M986">
        <f>IF($A986="","", SUMIFS(-Mov_Qty, Mov_Item, $A986, Mov_Type, "Consumption", Mov_Date, "&gt;="&amp;$X$2, Mov_Date, "&lt;="&amp;$Y$2))</f>
        <v>0</v>
      </c>
      <c r="N986">
        <f>IF($A986="","", SUMIFS(-Mov_Qty, Mov_Item, $A986, Mov_Type, "Consumption", Mov_Date, "&gt;="&amp;$Z$2, Mov_Date, "&lt;="&amp;$AA$2))</f>
        <v>0</v>
      </c>
      <c r="O986">
        <f>IFERROR(AVERAGE(L986:N986),"")</f>
        <v>0</v>
      </c>
      <c r="P986">
        <f>IF(O986&gt;=Cfg_HiMove, "Yes", "")</f>
        <v>0</v>
      </c>
      <c r="Q986">
        <f>IF($A986="","", $I986 + IFERROR(O986/30*$H986,0))</f>
        <v>0</v>
      </c>
      <c r="R986">
        <f>IF($A986="","", IF(J986&lt;=$F986, "Yes", ""))</f>
        <v>0</v>
      </c>
      <c r="S986">
        <f>IF(R986="Yes", CEILING(MAX($G986, Q986-J986), $G986), 0)</f>
        <v>0</v>
      </c>
      <c r="T986">
        <f>IFERROR(J986/(O986/30),"")</f>
        <v>0</v>
      </c>
    </row>
    <row r="987" spans="10:20">
      <c r="J987">
        <f>IF($A987="","", SUMIFS(Mov_Qty, Mov_Item, $A987))</f>
        <v>0</v>
      </c>
      <c r="K987">
        <f>IF($A987="","", J987 * $E987)</f>
        <v>0</v>
      </c>
      <c r="L987">
        <f>IF($A987="","", SUMIFS(-Mov_Qty, Mov_Item, $A987, Mov_Type, "Consumption", Mov_Date, "&gt;="&amp;$V$2, Mov_Date, "&lt;="&amp;$W$2))</f>
        <v>0</v>
      </c>
      <c r="M987">
        <f>IF($A987="","", SUMIFS(-Mov_Qty, Mov_Item, $A987, Mov_Type, "Consumption", Mov_Date, "&gt;="&amp;$X$2, Mov_Date, "&lt;="&amp;$Y$2))</f>
        <v>0</v>
      </c>
      <c r="N987">
        <f>IF($A987="","", SUMIFS(-Mov_Qty, Mov_Item, $A987, Mov_Type, "Consumption", Mov_Date, "&gt;="&amp;$Z$2, Mov_Date, "&lt;="&amp;$AA$2))</f>
        <v>0</v>
      </c>
      <c r="O987">
        <f>IFERROR(AVERAGE(L987:N987),"")</f>
        <v>0</v>
      </c>
      <c r="P987">
        <f>IF(O987&gt;=Cfg_HiMove, "Yes", "")</f>
        <v>0</v>
      </c>
      <c r="Q987">
        <f>IF($A987="","", $I987 + IFERROR(O987/30*$H987,0))</f>
        <v>0</v>
      </c>
      <c r="R987">
        <f>IF($A987="","", IF(J987&lt;=$F987, "Yes", ""))</f>
        <v>0</v>
      </c>
      <c r="S987">
        <f>IF(R987="Yes", CEILING(MAX($G987, Q987-J987), $G987), 0)</f>
        <v>0</v>
      </c>
      <c r="T987">
        <f>IFERROR(J987/(O987/30),"")</f>
        <v>0</v>
      </c>
    </row>
    <row r="988" spans="10:20">
      <c r="J988">
        <f>IF($A988="","", SUMIFS(Mov_Qty, Mov_Item, $A988))</f>
        <v>0</v>
      </c>
      <c r="K988">
        <f>IF($A988="","", J988 * $E988)</f>
        <v>0</v>
      </c>
      <c r="L988">
        <f>IF($A988="","", SUMIFS(-Mov_Qty, Mov_Item, $A988, Mov_Type, "Consumption", Mov_Date, "&gt;="&amp;$V$2, Mov_Date, "&lt;="&amp;$W$2))</f>
        <v>0</v>
      </c>
      <c r="M988">
        <f>IF($A988="","", SUMIFS(-Mov_Qty, Mov_Item, $A988, Mov_Type, "Consumption", Mov_Date, "&gt;="&amp;$X$2, Mov_Date, "&lt;="&amp;$Y$2))</f>
        <v>0</v>
      </c>
      <c r="N988">
        <f>IF($A988="","", SUMIFS(-Mov_Qty, Mov_Item, $A988, Mov_Type, "Consumption", Mov_Date, "&gt;="&amp;$Z$2, Mov_Date, "&lt;="&amp;$AA$2))</f>
        <v>0</v>
      </c>
      <c r="O988">
        <f>IFERROR(AVERAGE(L988:N988),"")</f>
        <v>0</v>
      </c>
      <c r="P988">
        <f>IF(O988&gt;=Cfg_HiMove, "Yes", "")</f>
        <v>0</v>
      </c>
      <c r="Q988">
        <f>IF($A988="","", $I988 + IFERROR(O988/30*$H988,0))</f>
        <v>0</v>
      </c>
      <c r="R988">
        <f>IF($A988="","", IF(J988&lt;=$F988, "Yes", ""))</f>
        <v>0</v>
      </c>
      <c r="S988">
        <f>IF(R988="Yes", CEILING(MAX($G988, Q988-J988), $G988), 0)</f>
        <v>0</v>
      </c>
      <c r="T988">
        <f>IFERROR(J988/(O988/30),"")</f>
        <v>0</v>
      </c>
    </row>
    <row r="989" spans="10:20">
      <c r="J989">
        <f>IF($A989="","", SUMIFS(Mov_Qty, Mov_Item, $A989))</f>
        <v>0</v>
      </c>
      <c r="K989">
        <f>IF($A989="","", J989 * $E989)</f>
        <v>0</v>
      </c>
      <c r="L989">
        <f>IF($A989="","", SUMIFS(-Mov_Qty, Mov_Item, $A989, Mov_Type, "Consumption", Mov_Date, "&gt;="&amp;$V$2, Mov_Date, "&lt;="&amp;$W$2))</f>
        <v>0</v>
      </c>
      <c r="M989">
        <f>IF($A989="","", SUMIFS(-Mov_Qty, Mov_Item, $A989, Mov_Type, "Consumption", Mov_Date, "&gt;="&amp;$X$2, Mov_Date, "&lt;="&amp;$Y$2))</f>
        <v>0</v>
      </c>
      <c r="N989">
        <f>IF($A989="","", SUMIFS(-Mov_Qty, Mov_Item, $A989, Mov_Type, "Consumption", Mov_Date, "&gt;="&amp;$Z$2, Mov_Date, "&lt;="&amp;$AA$2))</f>
        <v>0</v>
      </c>
      <c r="O989">
        <f>IFERROR(AVERAGE(L989:N989),"")</f>
        <v>0</v>
      </c>
      <c r="P989">
        <f>IF(O989&gt;=Cfg_HiMove, "Yes", "")</f>
        <v>0</v>
      </c>
      <c r="Q989">
        <f>IF($A989="","", $I989 + IFERROR(O989/30*$H989,0))</f>
        <v>0</v>
      </c>
      <c r="R989">
        <f>IF($A989="","", IF(J989&lt;=$F989, "Yes", ""))</f>
        <v>0</v>
      </c>
      <c r="S989">
        <f>IF(R989="Yes", CEILING(MAX($G989, Q989-J989), $G989), 0)</f>
        <v>0</v>
      </c>
      <c r="T989">
        <f>IFERROR(J989/(O989/30),"")</f>
        <v>0</v>
      </c>
    </row>
    <row r="990" spans="10:20">
      <c r="J990">
        <f>IF($A990="","", SUMIFS(Mov_Qty, Mov_Item, $A990))</f>
        <v>0</v>
      </c>
      <c r="K990">
        <f>IF($A990="","", J990 * $E990)</f>
        <v>0</v>
      </c>
      <c r="L990">
        <f>IF($A990="","", SUMIFS(-Mov_Qty, Mov_Item, $A990, Mov_Type, "Consumption", Mov_Date, "&gt;="&amp;$V$2, Mov_Date, "&lt;="&amp;$W$2))</f>
        <v>0</v>
      </c>
      <c r="M990">
        <f>IF($A990="","", SUMIFS(-Mov_Qty, Mov_Item, $A990, Mov_Type, "Consumption", Mov_Date, "&gt;="&amp;$X$2, Mov_Date, "&lt;="&amp;$Y$2))</f>
        <v>0</v>
      </c>
      <c r="N990">
        <f>IF($A990="","", SUMIFS(-Mov_Qty, Mov_Item, $A990, Mov_Type, "Consumption", Mov_Date, "&gt;="&amp;$Z$2, Mov_Date, "&lt;="&amp;$AA$2))</f>
        <v>0</v>
      </c>
      <c r="O990">
        <f>IFERROR(AVERAGE(L990:N990),"")</f>
        <v>0</v>
      </c>
      <c r="P990">
        <f>IF(O990&gt;=Cfg_HiMove, "Yes", "")</f>
        <v>0</v>
      </c>
      <c r="Q990">
        <f>IF($A990="","", $I990 + IFERROR(O990/30*$H990,0))</f>
        <v>0</v>
      </c>
      <c r="R990">
        <f>IF($A990="","", IF(J990&lt;=$F990, "Yes", ""))</f>
        <v>0</v>
      </c>
      <c r="S990">
        <f>IF(R990="Yes", CEILING(MAX($G990, Q990-J990), $G990), 0)</f>
        <v>0</v>
      </c>
      <c r="T990">
        <f>IFERROR(J990/(O990/30),"")</f>
        <v>0</v>
      </c>
    </row>
    <row r="991" spans="10:20">
      <c r="J991">
        <f>IF($A991="","", SUMIFS(Mov_Qty, Mov_Item, $A991))</f>
        <v>0</v>
      </c>
      <c r="K991">
        <f>IF($A991="","", J991 * $E991)</f>
        <v>0</v>
      </c>
      <c r="L991">
        <f>IF($A991="","", SUMIFS(-Mov_Qty, Mov_Item, $A991, Mov_Type, "Consumption", Mov_Date, "&gt;="&amp;$V$2, Mov_Date, "&lt;="&amp;$W$2))</f>
        <v>0</v>
      </c>
      <c r="M991">
        <f>IF($A991="","", SUMIFS(-Mov_Qty, Mov_Item, $A991, Mov_Type, "Consumption", Mov_Date, "&gt;="&amp;$X$2, Mov_Date, "&lt;="&amp;$Y$2))</f>
        <v>0</v>
      </c>
      <c r="N991">
        <f>IF($A991="","", SUMIFS(-Mov_Qty, Mov_Item, $A991, Mov_Type, "Consumption", Mov_Date, "&gt;="&amp;$Z$2, Mov_Date, "&lt;="&amp;$AA$2))</f>
        <v>0</v>
      </c>
      <c r="O991">
        <f>IFERROR(AVERAGE(L991:N991),"")</f>
        <v>0</v>
      </c>
      <c r="P991">
        <f>IF(O991&gt;=Cfg_HiMove, "Yes", "")</f>
        <v>0</v>
      </c>
      <c r="Q991">
        <f>IF($A991="","", $I991 + IFERROR(O991/30*$H991,0))</f>
        <v>0</v>
      </c>
      <c r="R991">
        <f>IF($A991="","", IF(J991&lt;=$F991, "Yes", ""))</f>
        <v>0</v>
      </c>
      <c r="S991">
        <f>IF(R991="Yes", CEILING(MAX($G991, Q991-J991), $G991), 0)</f>
        <v>0</v>
      </c>
      <c r="T991">
        <f>IFERROR(J991/(O991/30),"")</f>
        <v>0</v>
      </c>
    </row>
    <row r="992" spans="10:20">
      <c r="J992">
        <f>IF($A992="","", SUMIFS(Mov_Qty, Mov_Item, $A992))</f>
        <v>0</v>
      </c>
      <c r="K992">
        <f>IF($A992="","", J992 * $E992)</f>
        <v>0</v>
      </c>
      <c r="L992">
        <f>IF($A992="","", SUMIFS(-Mov_Qty, Mov_Item, $A992, Mov_Type, "Consumption", Mov_Date, "&gt;="&amp;$V$2, Mov_Date, "&lt;="&amp;$W$2))</f>
        <v>0</v>
      </c>
      <c r="M992">
        <f>IF($A992="","", SUMIFS(-Mov_Qty, Mov_Item, $A992, Mov_Type, "Consumption", Mov_Date, "&gt;="&amp;$X$2, Mov_Date, "&lt;="&amp;$Y$2))</f>
        <v>0</v>
      </c>
      <c r="N992">
        <f>IF($A992="","", SUMIFS(-Mov_Qty, Mov_Item, $A992, Mov_Type, "Consumption", Mov_Date, "&gt;="&amp;$Z$2, Mov_Date, "&lt;="&amp;$AA$2))</f>
        <v>0</v>
      </c>
      <c r="O992">
        <f>IFERROR(AVERAGE(L992:N992),"")</f>
        <v>0</v>
      </c>
      <c r="P992">
        <f>IF(O992&gt;=Cfg_HiMove, "Yes", "")</f>
        <v>0</v>
      </c>
      <c r="Q992">
        <f>IF($A992="","", $I992 + IFERROR(O992/30*$H992,0))</f>
        <v>0</v>
      </c>
      <c r="R992">
        <f>IF($A992="","", IF(J992&lt;=$F992, "Yes", ""))</f>
        <v>0</v>
      </c>
      <c r="S992">
        <f>IF(R992="Yes", CEILING(MAX($G992, Q992-J992), $G992), 0)</f>
        <v>0</v>
      </c>
      <c r="T992">
        <f>IFERROR(J992/(O992/30),"")</f>
        <v>0</v>
      </c>
    </row>
    <row r="993" spans="10:20">
      <c r="J993">
        <f>IF($A993="","", SUMIFS(Mov_Qty, Mov_Item, $A993))</f>
        <v>0</v>
      </c>
      <c r="K993">
        <f>IF($A993="","", J993 * $E993)</f>
        <v>0</v>
      </c>
      <c r="L993">
        <f>IF($A993="","", SUMIFS(-Mov_Qty, Mov_Item, $A993, Mov_Type, "Consumption", Mov_Date, "&gt;="&amp;$V$2, Mov_Date, "&lt;="&amp;$W$2))</f>
        <v>0</v>
      </c>
      <c r="M993">
        <f>IF($A993="","", SUMIFS(-Mov_Qty, Mov_Item, $A993, Mov_Type, "Consumption", Mov_Date, "&gt;="&amp;$X$2, Mov_Date, "&lt;="&amp;$Y$2))</f>
        <v>0</v>
      </c>
      <c r="N993">
        <f>IF($A993="","", SUMIFS(-Mov_Qty, Mov_Item, $A993, Mov_Type, "Consumption", Mov_Date, "&gt;="&amp;$Z$2, Mov_Date, "&lt;="&amp;$AA$2))</f>
        <v>0</v>
      </c>
      <c r="O993">
        <f>IFERROR(AVERAGE(L993:N993),"")</f>
        <v>0</v>
      </c>
      <c r="P993">
        <f>IF(O993&gt;=Cfg_HiMove, "Yes", "")</f>
        <v>0</v>
      </c>
      <c r="Q993">
        <f>IF($A993="","", $I993 + IFERROR(O993/30*$H993,0))</f>
        <v>0</v>
      </c>
      <c r="R993">
        <f>IF($A993="","", IF(J993&lt;=$F993, "Yes", ""))</f>
        <v>0</v>
      </c>
      <c r="S993">
        <f>IF(R993="Yes", CEILING(MAX($G993, Q993-J993), $G993), 0)</f>
        <v>0</v>
      </c>
      <c r="T993">
        <f>IFERROR(J993/(O993/30),"")</f>
        <v>0</v>
      </c>
    </row>
    <row r="994" spans="10:20">
      <c r="J994">
        <f>IF($A994="","", SUMIFS(Mov_Qty, Mov_Item, $A994))</f>
        <v>0</v>
      </c>
      <c r="K994">
        <f>IF($A994="","", J994 * $E994)</f>
        <v>0</v>
      </c>
      <c r="L994">
        <f>IF($A994="","", SUMIFS(-Mov_Qty, Mov_Item, $A994, Mov_Type, "Consumption", Mov_Date, "&gt;="&amp;$V$2, Mov_Date, "&lt;="&amp;$W$2))</f>
        <v>0</v>
      </c>
      <c r="M994">
        <f>IF($A994="","", SUMIFS(-Mov_Qty, Mov_Item, $A994, Mov_Type, "Consumption", Mov_Date, "&gt;="&amp;$X$2, Mov_Date, "&lt;="&amp;$Y$2))</f>
        <v>0</v>
      </c>
      <c r="N994">
        <f>IF($A994="","", SUMIFS(-Mov_Qty, Mov_Item, $A994, Mov_Type, "Consumption", Mov_Date, "&gt;="&amp;$Z$2, Mov_Date, "&lt;="&amp;$AA$2))</f>
        <v>0</v>
      </c>
      <c r="O994">
        <f>IFERROR(AVERAGE(L994:N994),"")</f>
        <v>0</v>
      </c>
      <c r="P994">
        <f>IF(O994&gt;=Cfg_HiMove, "Yes", "")</f>
        <v>0</v>
      </c>
      <c r="Q994">
        <f>IF($A994="","", $I994 + IFERROR(O994/30*$H994,0))</f>
        <v>0</v>
      </c>
      <c r="R994">
        <f>IF($A994="","", IF(J994&lt;=$F994, "Yes", ""))</f>
        <v>0</v>
      </c>
      <c r="S994">
        <f>IF(R994="Yes", CEILING(MAX($G994, Q994-J994), $G994), 0)</f>
        <v>0</v>
      </c>
      <c r="T994">
        <f>IFERROR(J994/(O994/30),"")</f>
        <v>0</v>
      </c>
    </row>
    <row r="995" spans="10:20">
      <c r="J995">
        <f>IF($A995="","", SUMIFS(Mov_Qty, Mov_Item, $A995))</f>
        <v>0</v>
      </c>
      <c r="K995">
        <f>IF($A995="","", J995 * $E995)</f>
        <v>0</v>
      </c>
      <c r="L995">
        <f>IF($A995="","", SUMIFS(-Mov_Qty, Mov_Item, $A995, Mov_Type, "Consumption", Mov_Date, "&gt;="&amp;$V$2, Mov_Date, "&lt;="&amp;$W$2))</f>
        <v>0</v>
      </c>
      <c r="M995">
        <f>IF($A995="","", SUMIFS(-Mov_Qty, Mov_Item, $A995, Mov_Type, "Consumption", Mov_Date, "&gt;="&amp;$X$2, Mov_Date, "&lt;="&amp;$Y$2))</f>
        <v>0</v>
      </c>
      <c r="N995">
        <f>IF($A995="","", SUMIFS(-Mov_Qty, Mov_Item, $A995, Mov_Type, "Consumption", Mov_Date, "&gt;="&amp;$Z$2, Mov_Date, "&lt;="&amp;$AA$2))</f>
        <v>0</v>
      </c>
      <c r="O995">
        <f>IFERROR(AVERAGE(L995:N995),"")</f>
        <v>0</v>
      </c>
      <c r="P995">
        <f>IF(O995&gt;=Cfg_HiMove, "Yes", "")</f>
        <v>0</v>
      </c>
      <c r="Q995">
        <f>IF($A995="","", $I995 + IFERROR(O995/30*$H995,0))</f>
        <v>0</v>
      </c>
      <c r="R995">
        <f>IF($A995="","", IF(J995&lt;=$F995, "Yes", ""))</f>
        <v>0</v>
      </c>
      <c r="S995">
        <f>IF(R995="Yes", CEILING(MAX($G995, Q995-J995), $G995), 0)</f>
        <v>0</v>
      </c>
      <c r="T995">
        <f>IFERROR(J995/(O995/30),"")</f>
        <v>0</v>
      </c>
    </row>
    <row r="996" spans="10:20">
      <c r="J996">
        <f>IF($A996="","", SUMIFS(Mov_Qty, Mov_Item, $A996))</f>
        <v>0</v>
      </c>
      <c r="K996">
        <f>IF($A996="","", J996 * $E996)</f>
        <v>0</v>
      </c>
      <c r="L996">
        <f>IF($A996="","", SUMIFS(-Mov_Qty, Mov_Item, $A996, Mov_Type, "Consumption", Mov_Date, "&gt;="&amp;$V$2, Mov_Date, "&lt;="&amp;$W$2))</f>
        <v>0</v>
      </c>
      <c r="M996">
        <f>IF($A996="","", SUMIFS(-Mov_Qty, Mov_Item, $A996, Mov_Type, "Consumption", Mov_Date, "&gt;="&amp;$X$2, Mov_Date, "&lt;="&amp;$Y$2))</f>
        <v>0</v>
      </c>
      <c r="N996">
        <f>IF($A996="","", SUMIFS(-Mov_Qty, Mov_Item, $A996, Mov_Type, "Consumption", Mov_Date, "&gt;="&amp;$Z$2, Mov_Date, "&lt;="&amp;$AA$2))</f>
        <v>0</v>
      </c>
      <c r="O996">
        <f>IFERROR(AVERAGE(L996:N996),"")</f>
        <v>0</v>
      </c>
      <c r="P996">
        <f>IF(O996&gt;=Cfg_HiMove, "Yes", "")</f>
        <v>0</v>
      </c>
      <c r="Q996">
        <f>IF($A996="","", $I996 + IFERROR(O996/30*$H996,0))</f>
        <v>0</v>
      </c>
      <c r="R996">
        <f>IF($A996="","", IF(J996&lt;=$F996, "Yes", ""))</f>
        <v>0</v>
      </c>
      <c r="S996">
        <f>IF(R996="Yes", CEILING(MAX($G996, Q996-J996), $G996), 0)</f>
        <v>0</v>
      </c>
      <c r="T996">
        <f>IFERROR(J996/(O996/30),"")</f>
        <v>0</v>
      </c>
    </row>
    <row r="997" spans="10:20">
      <c r="J997">
        <f>IF($A997="","", SUMIFS(Mov_Qty, Mov_Item, $A997))</f>
        <v>0</v>
      </c>
      <c r="K997">
        <f>IF($A997="","", J997 * $E997)</f>
        <v>0</v>
      </c>
      <c r="L997">
        <f>IF($A997="","", SUMIFS(-Mov_Qty, Mov_Item, $A997, Mov_Type, "Consumption", Mov_Date, "&gt;="&amp;$V$2, Mov_Date, "&lt;="&amp;$W$2))</f>
        <v>0</v>
      </c>
      <c r="M997">
        <f>IF($A997="","", SUMIFS(-Mov_Qty, Mov_Item, $A997, Mov_Type, "Consumption", Mov_Date, "&gt;="&amp;$X$2, Mov_Date, "&lt;="&amp;$Y$2))</f>
        <v>0</v>
      </c>
      <c r="N997">
        <f>IF($A997="","", SUMIFS(-Mov_Qty, Mov_Item, $A997, Mov_Type, "Consumption", Mov_Date, "&gt;="&amp;$Z$2, Mov_Date, "&lt;="&amp;$AA$2))</f>
        <v>0</v>
      </c>
      <c r="O997">
        <f>IFERROR(AVERAGE(L997:N997),"")</f>
        <v>0</v>
      </c>
      <c r="P997">
        <f>IF(O997&gt;=Cfg_HiMove, "Yes", "")</f>
        <v>0</v>
      </c>
      <c r="Q997">
        <f>IF($A997="","", $I997 + IFERROR(O997/30*$H997,0))</f>
        <v>0</v>
      </c>
      <c r="R997">
        <f>IF($A997="","", IF(J997&lt;=$F997, "Yes", ""))</f>
        <v>0</v>
      </c>
      <c r="S997">
        <f>IF(R997="Yes", CEILING(MAX($G997, Q997-J997), $G997), 0)</f>
        <v>0</v>
      </c>
      <c r="T997">
        <f>IFERROR(J997/(O997/30),"")</f>
        <v>0</v>
      </c>
    </row>
    <row r="998" spans="10:20">
      <c r="J998">
        <f>IF($A998="","", SUMIFS(Mov_Qty, Mov_Item, $A998))</f>
        <v>0</v>
      </c>
      <c r="K998">
        <f>IF($A998="","", J998 * $E998)</f>
        <v>0</v>
      </c>
      <c r="L998">
        <f>IF($A998="","", SUMIFS(-Mov_Qty, Mov_Item, $A998, Mov_Type, "Consumption", Mov_Date, "&gt;="&amp;$V$2, Mov_Date, "&lt;="&amp;$W$2))</f>
        <v>0</v>
      </c>
      <c r="M998">
        <f>IF($A998="","", SUMIFS(-Mov_Qty, Mov_Item, $A998, Mov_Type, "Consumption", Mov_Date, "&gt;="&amp;$X$2, Mov_Date, "&lt;="&amp;$Y$2))</f>
        <v>0</v>
      </c>
      <c r="N998">
        <f>IF($A998="","", SUMIFS(-Mov_Qty, Mov_Item, $A998, Mov_Type, "Consumption", Mov_Date, "&gt;="&amp;$Z$2, Mov_Date, "&lt;="&amp;$AA$2))</f>
        <v>0</v>
      </c>
      <c r="O998">
        <f>IFERROR(AVERAGE(L998:N998),"")</f>
        <v>0</v>
      </c>
      <c r="P998">
        <f>IF(O998&gt;=Cfg_HiMove, "Yes", "")</f>
        <v>0</v>
      </c>
      <c r="Q998">
        <f>IF($A998="","", $I998 + IFERROR(O998/30*$H998,0))</f>
        <v>0</v>
      </c>
      <c r="R998">
        <f>IF($A998="","", IF(J998&lt;=$F998, "Yes", ""))</f>
        <v>0</v>
      </c>
      <c r="S998">
        <f>IF(R998="Yes", CEILING(MAX($G998, Q998-J998), $G998), 0)</f>
        <v>0</v>
      </c>
      <c r="T998">
        <f>IFERROR(J998/(O998/30),"")</f>
        <v>0</v>
      </c>
    </row>
    <row r="999" spans="10:20">
      <c r="J999">
        <f>IF($A999="","", SUMIFS(Mov_Qty, Mov_Item, $A999))</f>
        <v>0</v>
      </c>
      <c r="K999">
        <f>IF($A999="","", J999 * $E999)</f>
        <v>0</v>
      </c>
      <c r="L999">
        <f>IF($A999="","", SUMIFS(-Mov_Qty, Mov_Item, $A999, Mov_Type, "Consumption", Mov_Date, "&gt;="&amp;$V$2, Mov_Date, "&lt;="&amp;$W$2))</f>
        <v>0</v>
      </c>
      <c r="M999">
        <f>IF($A999="","", SUMIFS(-Mov_Qty, Mov_Item, $A999, Mov_Type, "Consumption", Mov_Date, "&gt;="&amp;$X$2, Mov_Date, "&lt;="&amp;$Y$2))</f>
        <v>0</v>
      </c>
      <c r="N999">
        <f>IF($A999="","", SUMIFS(-Mov_Qty, Mov_Item, $A999, Mov_Type, "Consumption", Mov_Date, "&gt;="&amp;$Z$2, Mov_Date, "&lt;="&amp;$AA$2))</f>
        <v>0</v>
      </c>
      <c r="O999">
        <f>IFERROR(AVERAGE(L999:N999),"")</f>
        <v>0</v>
      </c>
      <c r="P999">
        <f>IF(O999&gt;=Cfg_HiMove, "Yes", "")</f>
        <v>0</v>
      </c>
      <c r="Q999">
        <f>IF($A999="","", $I999 + IFERROR(O999/30*$H999,0))</f>
        <v>0</v>
      </c>
      <c r="R999">
        <f>IF($A999="","", IF(J999&lt;=$F999, "Yes", ""))</f>
        <v>0</v>
      </c>
      <c r="S999">
        <f>IF(R999="Yes", CEILING(MAX($G999, Q999-J999), $G999), 0)</f>
        <v>0</v>
      </c>
      <c r="T999">
        <f>IFERROR(J999/(O999/30),"")</f>
        <v>0</v>
      </c>
    </row>
    <row r="1000" spans="10:20">
      <c r="J1000">
        <f>IF($A1000="","", SUMIFS(Mov_Qty, Mov_Item, $A1000))</f>
        <v>0</v>
      </c>
      <c r="K1000">
        <f>IF($A1000="","", J1000 * $E1000)</f>
        <v>0</v>
      </c>
      <c r="L1000">
        <f>IF($A1000="","", SUMIFS(-Mov_Qty, Mov_Item, $A1000, Mov_Type, "Consumption", Mov_Date, "&gt;="&amp;$V$2, Mov_Date, "&lt;="&amp;$W$2))</f>
        <v>0</v>
      </c>
      <c r="M1000">
        <f>IF($A1000="","", SUMIFS(-Mov_Qty, Mov_Item, $A1000, Mov_Type, "Consumption", Mov_Date, "&gt;="&amp;$X$2, Mov_Date, "&lt;="&amp;$Y$2))</f>
        <v>0</v>
      </c>
      <c r="N1000">
        <f>IF($A1000="","", SUMIFS(-Mov_Qty, Mov_Item, $A1000, Mov_Type, "Consumption", Mov_Date, "&gt;="&amp;$Z$2, Mov_Date, "&lt;="&amp;$AA$2))</f>
        <v>0</v>
      </c>
      <c r="O1000">
        <f>IFERROR(AVERAGE(L1000:N1000),"")</f>
        <v>0</v>
      </c>
      <c r="P1000">
        <f>IF(O1000&gt;=Cfg_HiMove, "Yes", "")</f>
        <v>0</v>
      </c>
      <c r="Q1000">
        <f>IF($A1000="","", $I1000 + IFERROR(O1000/30*$H1000,0))</f>
        <v>0</v>
      </c>
      <c r="R1000">
        <f>IF($A1000="","", IF(J1000&lt;=$F1000, "Yes", ""))</f>
        <v>0</v>
      </c>
      <c r="S1000">
        <f>IF(R1000="Yes", CEILING(MAX($G1000, Q1000-J1000), $G1000), 0)</f>
        <v>0</v>
      </c>
      <c r="T1000">
        <f>IFERROR(J1000/(O1000/30),"")</f>
        <v>0</v>
      </c>
    </row>
    <row r="1001" spans="10:20">
      <c r="J1001">
        <f>IF($A1001="","", SUMIFS(Mov_Qty, Mov_Item, $A1001))</f>
        <v>0</v>
      </c>
      <c r="K1001">
        <f>IF($A1001="","", J1001 * $E1001)</f>
        <v>0</v>
      </c>
      <c r="L1001">
        <f>IF($A1001="","", SUMIFS(-Mov_Qty, Mov_Item, $A1001, Mov_Type, "Consumption", Mov_Date, "&gt;="&amp;$V$2, Mov_Date, "&lt;="&amp;$W$2))</f>
        <v>0</v>
      </c>
      <c r="M1001">
        <f>IF($A1001="","", SUMIFS(-Mov_Qty, Mov_Item, $A1001, Mov_Type, "Consumption", Mov_Date, "&gt;="&amp;$X$2, Mov_Date, "&lt;="&amp;$Y$2))</f>
        <v>0</v>
      </c>
      <c r="N1001">
        <f>IF($A1001="","", SUMIFS(-Mov_Qty, Mov_Item, $A1001, Mov_Type, "Consumption", Mov_Date, "&gt;="&amp;$Z$2, Mov_Date, "&lt;="&amp;$AA$2))</f>
        <v>0</v>
      </c>
      <c r="O1001">
        <f>IFERROR(AVERAGE(L1001:N1001),"")</f>
        <v>0</v>
      </c>
      <c r="P1001">
        <f>IF(O1001&gt;=Cfg_HiMove, "Yes", "")</f>
        <v>0</v>
      </c>
      <c r="Q1001">
        <f>IF($A1001="","", $I1001 + IFERROR(O1001/30*$H1001,0))</f>
        <v>0</v>
      </c>
      <c r="R1001">
        <f>IF($A1001="","", IF(J1001&lt;=$F1001, "Yes", ""))</f>
        <v>0</v>
      </c>
      <c r="S1001">
        <f>IF(R1001="Yes", CEILING(MAX($G1001, Q1001-J1001), $G1001), 0)</f>
        <v>0</v>
      </c>
      <c r="T1001">
        <f>IFERROR(J1001/(O1001/30),"")</f>
        <v>0</v>
      </c>
    </row>
    <row r="1002" spans="10:20">
      <c r="J1002">
        <f>IF($A1002="","", SUMIFS(Mov_Qty, Mov_Item, $A1002))</f>
        <v>0</v>
      </c>
      <c r="K1002">
        <f>IF($A1002="","", J1002 * $E1002)</f>
        <v>0</v>
      </c>
      <c r="L1002">
        <f>IF($A1002="","", SUMIFS(-Mov_Qty, Mov_Item, $A1002, Mov_Type, "Consumption", Mov_Date, "&gt;="&amp;$V$2, Mov_Date, "&lt;="&amp;$W$2))</f>
        <v>0</v>
      </c>
      <c r="M1002">
        <f>IF($A1002="","", SUMIFS(-Mov_Qty, Mov_Item, $A1002, Mov_Type, "Consumption", Mov_Date, "&gt;="&amp;$X$2, Mov_Date, "&lt;="&amp;$Y$2))</f>
        <v>0</v>
      </c>
      <c r="N1002">
        <f>IF($A1002="","", SUMIFS(-Mov_Qty, Mov_Item, $A1002, Mov_Type, "Consumption", Mov_Date, "&gt;="&amp;$Z$2, Mov_Date, "&lt;="&amp;$AA$2))</f>
        <v>0</v>
      </c>
      <c r="O1002">
        <f>IFERROR(AVERAGE(L1002:N1002),"")</f>
        <v>0</v>
      </c>
      <c r="P1002">
        <f>IF(O1002&gt;=Cfg_HiMove, "Yes", "")</f>
        <v>0</v>
      </c>
      <c r="Q1002">
        <f>IF($A1002="","", $I1002 + IFERROR(O1002/30*$H1002,0))</f>
        <v>0</v>
      </c>
      <c r="R1002">
        <f>IF($A1002="","", IF(J1002&lt;=$F1002, "Yes", ""))</f>
        <v>0</v>
      </c>
      <c r="S1002">
        <f>IF(R1002="Yes", CEILING(MAX($G1002, Q1002-J1002), $G1002), 0)</f>
        <v>0</v>
      </c>
      <c r="T1002">
        <f>IFERROR(J1002/(O1002/30),"")</f>
        <v>0</v>
      </c>
    </row>
    <row r="1003" spans="10:20">
      <c r="J1003">
        <f>IF($A1003="","", SUMIFS(Mov_Qty, Mov_Item, $A1003))</f>
        <v>0</v>
      </c>
      <c r="K1003">
        <f>IF($A1003="","", J1003 * $E1003)</f>
        <v>0</v>
      </c>
      <c r="L1003">
        <f>IF($A1003="","", SUMIFS(-Mov_Qty, Mov_Item, $A1003, Mov_Type, "Consumption", Mov_Date, "&gt;="&amp;$V$2, Mov_Date, "&lt;="&amp;$W$2))</f>
        <v>0</v>
      </c>
      <c r="M1003">
        <f>IF($A1003="","", SUMIFS(-Mov_Qty, Mov_Item, $A1003, Mov_Type, "Consumption", Mov_Date, "&gt;="&amp;$X$2, Mov_Date, "&lt;="&amp;$Y$2))</f>
        <v>0</v>
      </c>
      <c r="N1003">
        <f>IF($A1003="","", SUMIFS(-Mov_Qty, Mov_Item, $A1003, Mov_Type, "Consumption", Mov_Date, "&gt;="&amp;$Z$2, Mov_Date, "&lt;="&amp;$AA$2))</f>
        <v>0</v>
      </c>
      <c r="O1003">
        <f>IFERROR(AVERAGE(L1003:N1003),"")</f>
        <v>0</v>
      </c>
      <c r="P1003">
        <f>IF(O1003&gt;=Cfg_HiMove, "Yes", "")</f>
        <v>0</v>
      </c>
      <c r="Q1003">
        <f>IF($A1003="","", $I1003 + IFERROR(O1003/30*$H1003,0))</f>
        <v>0</v>
      </c>
      <c r="R1003">
        <f>IF($A1003="","", IF(J1003&lt;=$F1003, "Yes", ""))</f>
        <v>0</v>
      </c>
      <c r="S1003">
        <f>IF(R1003="Yes", CEILING(MAX($G1003, Q1003-J1003), $G1003), 0)</f>
        <v>0</v>
      </c>
      <c r="T1003">
        <f>IFERROR(J1003/(O1003/30),"")</f>
        <v>0</v>
      </c>
    </row>
    <row r="1004" spans="10:20">
      <c r="J1004">
        <f>IF($A1004="","", SUMIFS(Mov_Qty, Mov_Item, $A1004))</f>
        <v>0</v>
      </c>
      <c r="K1004">
        <f>IF($A1004="","", J1004 * $E1004)</f>
        <v>0</v>
      </c>
      <c r="L1004">
        <f>IF($A1004="","", SUMIFS(-Mov_Qty, Mov_Item, $A1004, Mov_Type, "Consumption", Mov_Date, "&gt;="&amp;$V$2, Mov_Date, "&lt;="&amp;$W$2))</f>
        <v>0</v>
      </c>
      <c r="M1004">
        <f>IF($A1004="","", SUMIFS(-Mov_Qty, Mov_Item, $A1004, Mov_Type, "Consumption", Mov_Date, "&gt;="&amp;$X$2, Mov_Date, "&lt;="&amp;$Y$2))</f>
        <v>0</v>
      </c>
      <c r="N1004">
        <f>IF($A1004="","", SUMIFS(-Mov_Qty, Mov_Item, $A1004, Mov_Type, "Consumption", Mov_Date, "&gt;="&amp;$Z$2, Mov_Date, "&lt;="&amp;$AA$2))</f>
        <v>0</v>
      </c>
      <c r="O1004">
        <f>IFERROR(AVERAGE(L1004:N1004),"")</f>
        <v>0</v>
      </c>
      <c r="P1004">
        <f>IF(O1004&gt;=Cfg_HiMove, "Yes", "")</f>
        <v>0</v>
      </c>
      <c r="Q1004">
        <f>IF($A1004="","", $I1004 + IFERROR(O1004/30*$H1004,0))</f>
        <v>0</v>
      </c>
      <c r="R1004">
        <f>IF($A1004="","", IF(J1004&lt;=$F1004, "Yes", ""))</f>
        <v>0</v>
      </c>
      <c r="S1004">
        <f>IF(R1004="Yes", CEILING(MAX($G1004, Q1004-J1004), $G1004), 0)</f>
        <v>0</v>
      </c>
      <c r="T1004">
        <f>IFERROR(J1004/(O1004/30),"")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9" width="18.7109375" customWidth="1"/>
  </cols>
  <sheetData>
    <row r="1" spans="1:8">
      <c r="A1" s="1" t="s">
        <v>23</v>
      </c>
      <c r="B1" s="1" t="s">
        <v>0</v>
      </c>
      <c r="C1" s="1" t="s">
        <v>24</v>
      </c>
      <c r="D1" s="1" t="s">
        <v>25</v>
      </c>
      <c r="E1" s="1" t="s">
        <v>26</v>
      </c>
      <c r="F1" s="1" t="s">
        <v>27</v>
      </c>
      <c r="G1" t="s">
        <v>85</v>
      </c>
      <c r="H1" t="s">
        <v>127</v>
      </c>
    </row>
    <row r="2" spans="1:8">
      <c r="A2" s="2">
        <v>45847</v>
      </c>
      <c r="B2" t="s">
        <v>12</v>
      </c>
      <c r="C2">
        <v>-461</v>
      </c>
      <c r="D2" t="s">
        <v>28</v>
      </c>
      <c r="E2" t="s">
        <v>30</v>
      </c>
      <c r="G2">
        <f>IF($D2="", "", IF($D2="Receipt", $C2*VLOOKUP($B2, Items!$A:$E, 5, FALSE), IF($D2="Consumption", -$C2*VLOOKUP($B2, Items!$A:$E, 5, FALSE), "")))</f>
        <v>0</v>
      </c>
      <c r="H2">
        <f>IF($D2="Consumption", -$C2*VLOOKUP($B2, Items!$A:$E, 5, FALSE), 0)</f>
        <v>0</v>
      </c>
    </row>
    <row r="3" spans="1:8">
      <c r="A3" s="2">
        <v>45848</v>
      </c>
      <c r="B3" t="s">
        <v>9</v>
      </c>
      <c r="C3">
        <v>274</v>
      </c>
      <c r="D3" t="s">
        <v>29</v>
      </c>
      <c r="E3" t="s">
        <v>31</v>
      </c>
      <c r="G3">
        <f>IF($D3="", "", IF($D3="Receipt", $C3*VLOOKUP($B3, Items!$A:$E, 5, FALSE), IF($D3="Consumption", -$C3*VLOOKUP($B3, Items!$A:$E, 5, FALSE), "")))</f>
        <v>0</v>
      </c>
      <c r="H3">
        <f>IF($D3="Consumption", -$C3*VLOOKUP($B3, Items!$A:$E, 5, FALSE), 0)</f>
        <v>0</v>
      </c>
    </row>
    <row r="4" spans="1:8">
      <c r="A4" s="2">
        <v>45848</v>
      </c>
      <c r="B4" t="s">
        <v>11</v>
      </c>
      <c r="C4">
        <v>31</v>
      </c>
      <c r="D4" t="s">
        <v>29</v>
      </c>
      <c r="E4" t="s">
        <v>32</v>
      </c>
      <c r="G4">
        <f>IF($D4="", "", IF($D4="Receipt", $C4*VLOOKUP($B4, Items!$A:$E, 5, FALSE), IF($D4="Consumption", -$C4*VLOOKUP($B4, Items!$A:$E, 5, FALSE), "")))</f>
        <v>0</v>
      </c>
      <c r="H4">
        <f>IF($D4="Consumption", -$C4*VLOOKUP($B4, Items!$A:$E, 5, FALSE), 0)</f>
        <v>0</v>
      </c>
    </row>
    <row r="5" spans="1:8">
      <c r="A5" s="2">
        <v>45849</v>
      </c>
      <c r="B5" t="s">
        <v>9</v>
      </c>
      <c r="C5">
        <v>-884</v>
      </c>
      <c r="D5" t="s">
        <v>28</v>
      </c>
      <c r="E5" t="s">
        <v>33</v>
      </c>
      <c r="G5">
        <f>IF($D5="", "", IF($D5="Receipt", $C5*VLOOKUP($B5, Items!$A:$E, 5, FALSE), IF($D5="Consumption", -$C5*VLOOKUP($B5, Items!$A:$E, 5, FALSE), "")))</f>
        <v>0</v>
      </c>
      <c r="H5">
        <f>IF($D5="Consumption", -$C5*VLOOKUP($B5, Items!$A:$E, 5, FALSE), 0)</f>
        <v>0</v>
      </c>
    </row>
    <row r="6" spans="1:8">
      <c r="A6" s="2">
        <v>45851</v>
      </c>
      <c r="B6" t="s">
        <v>11</v>
      </c>
      <c r="C6">
        <v>-468</v>
      </c>
      <c r="D6" t="s">
        <v>28</v>
      </c>
      <c r="E6" t="s">
        <v>34</v>
      </c>
      <c r="G6">
        <f>IF($D6="", "", IF($D6="Receipt", $C6*VLOOKUP($B6, Items!$A:$E, 5, FALSE), IF($D6="Consumption", -$C6*VLOOKUP($B6, Items!$A:$E, 5, FALSE), "")))</f>
        <v>0</v>
      </c>
      <c r="H6">
        <f>IF($D6="Consumption", -$C6*VLOOKUP($B6, Items!$A:$E, 5, FALSE), 0)</f>
        <v>0</v>
      </c>
    </row>
    <row r="7" spans="1:8">
      <c r="A7" s="2">
        <v>45859</v>
      </c>
      <c r="B7" t="s">
        <v>10</v>
      </c>
      <c r="C7">
        <v>-746</v>
      </c>
      <c r="D7" t="s">
        <v>28</v>
      </c>
      <c r="E7" t="s">
        <v>35</v>
      </c>
      <c r="G7">
        <f>IF($D7="", "", IF($D7="Receipt", $C7*VLOOKUP($B7, Items!$A:$E, 5, FALSE), IF($D7="Consumption", -$C7*VLOOKUP($B7, Items!$A:$E, 5, FALSE), "")))</f>
        <v>0</v>
      </c>
      <c r="H7">
        <f>IF($D7="Consumption", -$C7*VLOOKUP($B7, Items!$A:$E, 5, FALSE), 0)</f>
        <v>0</v>
      </c>
    </row>
    <row r="8" spans="1:8">
      <c r="A8" s="2">
        <v>45859</v>
      </c>
      <c r="B8" t="s">
        <v>12</v>
      </c>
      <c r="C8">
        <v>730</v>
      </c>
      <c r="D8" t="s">
        <v>29</v>
      </c>
      <c r="E8" t="s">
        <v>36</v>
      </c>
      <c r="G8">
        <f>IF($D8="", "", IF($D8="Receipt", $C8*VLOOKUP($B8, Items!$A:$E, 5, FALSE), IF($D8="Consumption", -$C8*VLOOKUP($B8, Items!$A:$E, 5, FALSE), "")))</f>
        <v>0</v>
      </c>
      <c r="H8">
        <f>IF($D8="Consumption", -$C8*VLOOKUP($B8, Items!$A:$E, 5, FALSE), 0)</f>
        <v>0</v>
      </c>
    </row>
    <row r="9" spans="1:8">
      <c r="A9" s="2">
        <v>45861</v>
      </c>
      <c r="B9" t="s">
        <v>9</v>
      </c>
      <c r="C9">
        <v>-150</v>
      </c>
      <c r="D9" t="s">
        <v>28</v>
      </c>
      <c r="E9" t="s">
        <v>37</v>
      </c>
      <c r="G9">
        <f>IF($D9="", "", IF($D9="Receipt", $C9*VLOOKUP($B9, Items!$A:$E, 5, FALSE), IF($D9="Consumption", -$C9*VLOOKUP($B9, Items!$A:$E, 5, FALSE), "")))</f>
        <v>0</v>
      </c>
      <c r="H9">
        <f>IF($D9="Consumption", -$C9*VLOOKUP($B9, Items!$A:$E, 5, FALSE), 0)</f>
        <v>0</v>
      </c>
    </row>
    <row r="10" spans="1:8">
      <c r="A10" s="2">
        <v>45862</v>
      </c>
      <c r="B10" t="s">
        <v>11</v>
      </c>
      <c r="C10">
        <v>-800</v>
      </c>
      <c r="D10" t="s">
        <v>28</v>
      </c>
      <c r="E10" t="s">
        <v>38</v>
      </c>
      <c r="G10">
        <f>IF($D10="", "", IF($D10="Receipt", $C10*VLOOKUP($B10, Items!$A:$E, 5, FALSE), IF($D10="Consumption", -$C10*VLOOKUP($B10, Items!$A:$E, 5, FALSE), "")))</f>
        <v>0</v>
      </c>
      <c r="H10">
        <f>IF($D10="Consumption", -$C10*VLOOKUP($B10, Items!$A:$E, 5, FALSE), 0)</f>
        <v>0</v>
      </c>
    </row>
    <row r="11" spans="1:8">
      <c r="A11" s="2">
        <v>45865</v>
      </c>
      <c r="B11" t="s">
        <v>10</v>
      </c>
      <c r="C11">
        <v>737</v>
      </c>
      <c r="D11" t="s">
        <v>29</v>
      </c>
      <c r="E11" t="s">
        <v>39</v>
      </c>
      <c r="G11">
        <f>IF($D11="", "", IF($D11="Receipt", $C11*VLOOKUP($B11, Items!$A:$E, 5, FALSE), IF($D11="Consumption", -$C11*VLOOKUP($B11, Items!$A:$E, 5, FALSE), "")))</f>
        <v>0</v>
      </c>
      <c r="H11">
        <f>IF($D11="Consumption", -$C11*VLOOKUP($B11, Items!$A:$E, 5, FALSE), 0)</f>
        <v>0</v>
      </c>
    </row>
    <row r="12" spans="1:8">
      <c r="A12" s="2">
        <v>45865</v>
      </c>
      <c r="B12" t="s">
        <v>10</v>
      </c>
      <c r="C12">
        <v>698</v>
      </c>
      <c r="D12" t="s">
        <v>29</v>
      </c>
      <c r="E12" t="s">
        <v>40</v>
      </c>
      <c r="G12">
        <f>IF($D12="", "", IF($D12="Receipt", $C12*VLOOKUP($B12, Items!$A:$E, 5, FALSE), IF($D12="Consumption", -$C12*VLOOKUP($B12, Items!$A:$E, 5, FALSE), "")))</f>
        <v>0</v>
      </c>
      <c r="H12">
        <f>IF($D12="Consumption", -$C12*VLOOKUP($B12, Items!$A:$E, 5, FALSE), 0)</f>
        <v>0</v>
      </c>
    </row>
    <row r="13" spans="1:8">
      <c r="A13" s="2">
        <v>45869</v>
      </c>
      <c r="B13" t="s">
        <v>12</v>
      </c>
      <c r="C13">
        <v>-153</v>
      </c>
      <c r="D13" t="s">
        <v>28</v>
      </c>
      <c r="E13" t="s">
        <v>41</v>
      </c>
      <c r="G13">
        <f>IF($D13="", "", IF($D13="Receipt", $C13*VLOOKUP($B13, Items!$A:$E, 5, FALSE), IF($D13="Consumption", -$C13*VLOOKUP($B13, Items!$A:$E, 5, FALSE), "")))</f>
        <v>0</v>
      </c>
      <c r="H13">
        <f>IF($D13="Consumption", -$C13*VLOOKUP($B13, Items!$A:$E, 5, FALSE), 0)</f>
        <v>0</v>
      </c>
    </row>
    <row r="14" spans="1:8">
      <c r="A14" s="2">
        <v>45873</v>
      </c>
      <c r="B14" t="s">
        <v>10</v>
      </c>
      <c r="C14">
        <v>-731</v>
      </c>
      <c r="D14" t="s">
        <v>28</v>
      </c>
      <c r="E14" t="s">
        <v>42</v>
      </c>
      <c r="G14">
        <f>IF($D14="", "", IF($D14="Receipt", $C14*VLOOKUP($B14, Items!$A:$E, 5, FALSE), IF($D14="Consumption", -$C14*VLOOKUP($B14, Items!$A:$E, 5, FALSE), "")))</f>
        <v>0</v>
      </c>
      <c r="H14">
        <f>IF($D14="Consumption", -$C14*VLOOKUP($B14, Items!$A:$E, 5, FALSE), 0)</f>
        <v>0</v>
      </c>
    </row>
    <row r="15" spans="1:8">
      <c r="A15" s="2">
        <v>45876</v>
      </c>
      <c r="B15" t="s">
        <v>12</v>
      </c>
      <c r="C15">
        <v>428</v>
      </c>
      <c r="D15" t="s">
        <v>29</v>
      </c>
      <c r="E15" t="s">
        <v>43</v>
      </c>
      <c r="G15">
        <f>IF($D15="", "", IF($D15="Receipt", $C15*VLOOKUP($B15, Items!$A:$E, 5, FALSE), IF($D15="Consumption", -$C15*VLOOKUP($B15, Items!$A:$E, 5, FALSE), "")))</f>
        <v>0</v>
      </c>
      <c r="H15">
        <f>IF($D15="Consumption", -$C15*VLOOKUP($B15, Items!$A:$E, 5, FALSE), 0)</f>
        <v>0</v>
      </c>
    </row>
    <row r="16" spans="1:8">
      <c r="A16" s="2">
        <v>45876</v>
      </c>
      <c r="B16" t="s">
        <v>9</v>
      </c>
      <c r="C16">
        <v>-566</v>
      </c>
      <c r="D16" t="s">
        <v>28</v>
      </c>
      <c r="E16" t="s">
        <v>44</v>
      </c>
      <c r="G16">
        <f>IF($D16="", "", IF($D16="Receipt", $C16*VLOOKUP($B16, Items!$A:$E, 5, FALSE), IF($D16="Consumption", -$C16*VLOOKUP($B16, Items!$A:$E, 5, FALSE), "")))</f>
        <v>0</v>
      </c>
      <c r="H16">
        <f>IF($D16="Consumption", -$C16*VLOOKUP($B16, Items!$A:$E, 5, FALSE), 0)</f>
        <v>0</v>
      </c>
    </row>
    <row r="17" spans="1:8">
      <c r="A17" s="2">
        <v>45881</v>
      </c>
      <c r="B17" t="s">
        <v>9</v>
      </c>
      <c r="C17">
        <v>-168</v>
      </c>
      <c r="D17" t="s">
        <v>28</v>
      </c>
      <c r="E17" t="s">
        <v>45</v>
      </c>
      <c r="G17">
        <f>IF($D17="", "", IF($D17="Receipt", $C17*VLOOKUP($B17, Items!$A:$E, 5, FALSE), IF($D17="Consumption", -$C17*VLOOKUP($B17, Items!$A:$E, 5, FALSE), "")))</f>
        <v>0</v>
      </c>
      <c r="H17">
        <f>IF($D17="Consumption", -$C17*VLOOKUP($B17, Items!$A:$E, 5, FALSE), 0)</f>
        <v>0</v>
      </c>
    </row>
    <row r="18" spans="1:8">
      <c r="A18" s="2">
        <v>45881</v>
      </c>
      <c r="B18" t="s">
        <v>10</v>
      </c>
      <c r="C18">
        <v>823</v>
      </c>
      <c r="D18" t="s">
        <v>29</v>
      </c>
      <c r="E18" t="s">
        <v>46</v>
      </c>
      <c r="G18">
        <f>IF($D18="", "", IF($D18="Receipt", $C18*VLOOKUP($B18, Items!$A:$E, 5, FALSE), IF($D18="Consumption", -$C18*VLOOKUP($B18, Items!$A:$E, 5, FALSE), "")))</f>
        <v>0</v>
      </c>
      <c r="H18">
        <f>IF($D18="Consumption", -$C18*VLOOKUP($B18, Items!$A:$E, 5, FALSE), 0)</f>
        <v>0</v>
      </c>
    </row>
    <row r="19" spans="1:8">
      <c r="A19" s="2">
        <v>45884</v>
      </c>
      <c r="B19" t="s">
        <v>11</v>
      </c>
      <c r="C19">
        <v>-789</v>
      </c>
      <c r="D19" t="s">
        <v>28</v>
      </c>
      <c r="E19" t="s">
        <v>47</v>
      </c>
      <c r="G19">
        <f>IF($D19="", "", IF($D19="Receipt", $C19*VLOOKUP($B19, Items!$A:$E, 5, FALSE), IF($D19="Consumption", -$C19*VLOOKUP($B19, Items!$A:$E, 5, FALSE), "")))</f>
        <v>0</v>
      </c>
      <c r="H19">
        <f>IF($D19="Consumption", -$C19*VLOOKUP($B19, Items!$A:$E, 5, FALSE), 0)</f>
        <v>0</v>
      </c>
    </row>
    <row r="20" spans="1:8">
      <c r="A20" s="2">
        <v>45888</v>
      </c>
      <c r="B20" t="s">
        <v>9</v>
      </c>
      <c r="C20">
        <v>832</v>
      </c>
      <c r="D20" t="s">
        <v>29</v>
      </c>
      <c r="E20" t="s">
        <v>48</v>
      </c>
      <c r="G20">
        <f>IF($D20="", "", IF($D20="Receipt", $C20*VLOOKUP($B20, Items!$A:$E, 5, FALSE), IF($D20="Consumption", -$C20*VLOOKUP($B20, Items!$A:$E, 5, FALSE), "")))</f>
        <v>0</v>
      </c>
      <c r="H20">
        <f>IF($D20="Consumption", -$C20*VLOOKUP($B20, Items!$A:$E, 5, FALSE), 0)</f>
        <v>0</v>
      </c>
    </row>
    <row r="21" spans="1:8">
      <c r="A21" s="2">
        <v>45890</v>
      </c>
      <c r="B21" t="s">
        <v>10</v>
      </c>
      <c r="C21">
        <v>-853</v>
      </c>
      <c r="D21" t="s">
        <v>28</v>
      </c>
      <c r="E21" t="s">
        <v>49</v>
      </c>
      <c r="G21">
        <f>IF($D21="", "", IF($D21="Receipt", $C21*VLOOKUP($B21, Items!$A:$E, 5, FALSE), IF($D21="Consumption", -$C21*VLOOKUP($B21, Items!$A:$E, 5, FALSE), "")))</f>
        <v>0</v>
      </c>
      <c r="H21">
        <f>IF($D21="Consumption", -$C21*VLOOKUP($B21, Items!$A:$E, 5, FALSE), 0)</f>
        <v>0</v>
      </c>
    </row>
    <row r="22" spans="1:8">
      <c r="A22" s="2">
        <v>45892</v>
      </c>
      <c r="B22" t="s">
        <v>12</v>
      </c>
      <c r="C22">
        <v>-355</v>
      </c>
      <c r="D22" t="s">
        <v>28</v>
      </c>
      <c r="E22" t="s">
        <v>50</v>
      </c>
      <c r="G22">
        <f>IF($D22="", "", IF($D22="Receipt", $C22*VLOOKUP($B22, Items!$A:$E, 5, FALSE), IF($D22="Consumption", -$C22*VLOOKUP($B22, Items!$A:$E, 5, FALSE), "")))</f>
        <v>0</v>
      </c>
      <c r="H22">
        <f>IF($D22="Consumption", -$C22*VLOOKUP($B22, Items!$A:$E, 5, FALSE), 0)</f>
        <v>0</v>
      </c>
    </row>
    <row r="23" spans="1:8">
      <c r="A23" s="2">
        <v>45892</v>
      </c>
      <c r="B23" t="s">
        <v>11</v>
      </c>
      <c r="C23">
        <v>312</v>
      </c>
      <c r="D23" t="s">
        <v>29</v>
      </c>
      <c r="E23" t="s">
        <v>51</v>
      </c>
      <c r="G23">
        <f>IF($D23="", "", IF($D23="Receipt", $C23*VLOOKUP($B23, Items!$A:$E, 5, FALSE), IF($D23="Consumption", -$C23*VLOOKUP($B23, Items!$A:$E, 5, FALSE), "")))</f>
        <v>0</v>
      </c>
      <c r="H23">
        <f>IF($D23="Consumption", -$C23*VLOOKUP($B23, Items!$A:$E, 5, FALSE), 0)</f>
        <v>0</v>
      </c>
    </row>
    <row r="24" spans="1:8">
      <c r="A24" s="2">
        <v>45894</v>
      </c>
      <c r="B24" t="s">
        <v>12</v>
      </c>
      <c r="C24">
        <v>-333</v>
      </c>
      <c r="D24" t="s">
        <v>28</v>
      </c>
      <c r="E24" t="s">
        <v>52</v>
      </c>
      <c r="G24">
        <f>IF($D24="", "", IF($D24="Receipt", $C24*VLOOKUP($B24, Items!$A:$E, 5, FALSE), IF($D24="Consumption", -$C24*VLOOKUP($B24, Items!$A:$E, 5, FALSE), "")))</f>
        <v>0</v>
      </c>
      <c r="H24">
        <f>IF($D24="Consumption", -$C24*VLOOKUP($B24, Items!$A:$E, 5, FALSE), 0)</f>
        <v>0</v>
      </c>
    </row>
    <row r="25" spans="1:8">
      <c r="A25" s="2">
        <v>45897</v>
      </c>
      <c r="B25" t="s">
        <v>11</v>
      </c>
      <c r="C25">
        <v>-630</v>
      </c>
      <c r="D25" t="s">
        <v>28</v>
      </c>
      <c r="E25" t="s">
        <v>53</v>
      </c>
      <c r="G25">
        <f>IF($D25="", "", IF($D25="Receipt", $C25*VLOOKUP($B25, Items!$A:$E, 5, FALSE), IF($D25="Consumption", -$C25*VLOOKUP($B25, Items!$A:$E, 5, FALSE), "")))</f>
        <v>0</v>
      </c>
      <c r="H25">
        <f>IF($D25="Consumption", -$C25*VLOOKUP($B25, Items!$A:$E, 5, FALSE), 0)</f>
        <v>0</v>
      </c>
    </row>
    <row r="26" spans="1:8">
      <c r="A26" s="2">
        <v>45898</v>
      </c>
      <c r="B26" t="s">
        <v>10</v>
      </c>
      <c r="C26">
        <v>487</v>
      </c>
      <c r="D26" t="s">
        <v>29</v>
      </c>
      <c r="E26" t="s">
        <v>54</v>
      </c>
      <c r="G26">
        <f>IF($D26="", "", IF($D26="Receipt", $C26*VLOOKUP($B26, Items!$A:$E, 5, FALSE), IF($D26="Consumption", -$C26*VLOOKUP($B26, Items!$A:$E, 5, FALSE), "")))</f>
        <v>0</v>
      </c>
      <c r="H26">
        <f>IF($D26="Consumption", -$C26*VLOOKUP($B26, Items!$A:$E, 5, FALSE), 0)</f>
        <v>0</v>
      </c>
    </row>
    <row r="27" spans="1:8">
      <c r="A27" s="2">
        <v>45898</v>
      </c>
      <c r="B27" t="s">
        <v>9</v>
      </c>
      <c r="C27">
        <v>-259</v>
      </c>
      <c r="D27" t="s">
        <v>28</v>
      </c>
      <c r="E27" t="s">
        <v>55</v>
      </c>
      <c r="G27">
        <f>IF($D27="", "", IF($D27="Receipt", $C27*VLOOKUP($B27, Items!$A:$E, 5, FALSE), IF($D27="Consumption", -$C27*VLOOKUP($B27, Items!$A:$E, 5, FALSE), "")))</f>
        <v>0</v>
      </c>
      <c r="H27">
        <f>IF($D27="Consumption", -$C27*VLOOKUP($B27, Items!$A:$E, 5, FALSE), 0)</f>
        <v>0</v>
      </c>
    </row>
    <row r="28" spans="1:8">
      <c r="A28" s="2">
        <v>45903</v>
      </c>
      <c r="B28" t="s">
        <v>10</v>
      </c>
      <c r="C28">
        <v>764</v>
      </c>
      <c r="D28" t="s">
        <v>29</v>
      </c>
      <c r="E28" t="s">
        <v>56</v>
      </c>
      <c r="G28">
        <f>IF($D28="", "", IF($D28="Receipt", $C28*VLOOKUP($B28, Items!$A:$E, 5, FALSE), IF($D28="Consumption", -$C28*VLOOKUP($B28, Items!$A:$E, 5, FALSE), "")))</f>
        <v>0</v>
      </c>
      <c r="H28">
        <f>IF($D28="Consumption", -$C28*VLOOKUP($B28, Items!$A:$E, 5, FALSE), 0)</f>
        <v>0</v>
      </c>
    </row>
    <row r="29" spans="1:8">
      <c r="A29" s="2">
        <v>45904</v>
      </c>
      <c r="B29" t="s">
        <v>12</v>
      </c>
      <c r="C29">
        <v>-883</v>
      </c>
      <c r="D29" t="s">
        <v>28</v>
      </c>
      <c r="E29" t="s">
        <v>57</v>
      </c>
      <c r="G29">
        <f>IF($D29="", "", IF($D29="Receipt", $C29*VLOOKUP($B29, Items!$A:$E, 5, FALSE), IF($D29="Consumption", -$C29*VLOOKUP($B29, Items!$A:$E, 5, FALSE), "")))</f>
        <v>0</v>
      </c>
      <c r="H29">
        <f>IF($D29="Consumption", -$C29*VLOOKUP($B29, Items!$A:$E, 5, FALSE), 0)</f>
        <v>0</v>
      </c>
    </row>
    <row r="30" spans="1:8">
      <c r="A30" s="2">
        <v>45906</v>
      </c>
      <c r="B30" t="s">
        <v>11</v>
      </c>
      <c r="C30">
        <v>-893</v>
      </c>
      <c r="D30" t="s">
        <v>28</v>
      </c>
      <c r="E30" t="s">
        <v>58</v>
      </c>
      <c r="G30">
        <f>IF($D30="", "", IF($D30="Receipt", $C30*VLOOKUP($B30, Items!$A:$E, 5, FALSE), IF($D30="Consumption", -$C30*VLOOKUP($B30, Items!$A:$E, 5, FALSE), "")))</f>
        <v>0</v>
      </c>
      <c r="H30">
        <f>IF($D30="Consumption", -$C30*VLOOKUP($B30, Items!$A:$E, 5, FALSE), 0)</f>
        <v>0</v>
      </c>
    </row>
    <row r="31" spans="1:8">
      <c r="A31" s="2">
        <v>45908</v>
      </c>
      <c r="B31" t="s">
        <v>12</v>
      </c>
      <c r="C31">
        <v>-726</v>
      </c>
      <c r="D31" t="s">
        <v>28</v>
      </c>
      <c r="E31" t="s">
        <v>59</v>
      </c>
      <c r="G31">
        <f>IF($D31="", "", IF($D31="Receipt", $C31*VLOOKUP($B31, Items!$A:$E, 5, FALSE), IF($D31="Consumption", -$C31*VLOOKUP($B31, Items!$A:$E, 5, FALSE), "")))</f>
        <v>0</v>
      </c>
      <c r="H31">
        <f>IF($D31="Consumption", -$C31*VLOOKUP($B31, Items!$A:$E, 5, FALSE), 0)</f>
        <v>0</v>
      </c>
    </row>
    <row r="32" spans="1:8">
      <c r="A32" s="2">
        <v>45910</v>
      </c>
      <c r="B32" t="s">
        <v>11</v>
      </c>
      <c r="C32">
        <v>239</v>
      </c>
      <c r="D32" t="s">
        <v>29</v>
      </c>
      <c r="E32" t="s">
        <v>60</v>
      </c>
      <c r="G32">
        <f>IF($D32="", "", IF($D32="Receipt", $C32*VLOOKUP($B32, Items!$A:$E, 5, FALSE), IF($D32="Consumption", -$C32*VLOOKUP($B32, Items!$A:$E, 5, FALSE), "")))</f>
        <v>0</v>
      </c>
      <c r="H32">
        <f>IF($D32="Consumption", -$C32*VLOOKUP($B32, Items!$A:$E, 5, FALSE), 0)</f>
        <v>0</v>
      </c>
    </row>
    <row r="33" spans="1:8">
      <c r="A33" s="2">
        <v>45911</v>
      </c>
      <c r="B33" t="s">
        <v>12</v>
      </c>
      <c r="C33">
        <v>243</v>
      </c>
      <c r="D33" t="s">
        <v>29</v>
      </c>
      <c r="E33" t="s">
        <v>61</v>
      </c>
      <c r="G33">
        <f>IF($D33="", "", IF($D33="Receipt", $C33*VLOOKUP($B33, Items!$A:$E, 5, FALSE), IF($D33="Consumption", -$C33*VLOOKUP($B33, Items!$A:$E, 5, FALSE), "")))</f>
        <v>0</v>
      </c>
      <c r="H33">
        <f>IF($D33="Consumption", -$C33*VLOOKUP($B33, Items!$A:$E, 5, FALSE), 0)</f>
        <v>0</v>
      </c>
    </row>
    <row r="34" spans="1:8">
      <c r="A34" s="2">
        <v>45912</v>
      </c>
      <c r="B34" t="s">
        <v>9</v>
      </c>
      <c r="C34">
        <v>-179</v>
      </c>
      <c r="D34" t="s">
        <v>28</v>
      </c>
      <c r="E34" t="s">
        <v>62</v>
      </c>
      <c r="G34">
        <f>IF($D34="", "", IF($D34="Receipt", $C34*VLOOKUP($B34, Items!$A:$E, 5, FALSE), IF($D34="Consumption", -$C34*VLOOKUP($B34, Items!$A:$E, 5, FALSE), "")))</f>
        <v>0</v>
      </c>
      <c r="H34">
        <f>IF($D34="Consumption", -$C34*VLOOKUP($B34, Items!$A:$E, 5, FALSE), 0)</f>
        <v>0</v>
      </c>
    </row>
    <row r="35" spans="1:8">
      <c r="A35" s="2">
        <v>45914</v>
      </c>
      <c r="B35" t="s">
        <v>10</v>
      </c>
      <c r="C35">
        <v>833</v>
      </c>
      <c r="D35" t="s">
        <v>29</v>
      </c>
      <c r="E35" t="s">
        <v>63</v>
      </c>
      <c r="G35">
        <f>IF($D35="", "", IF($D35="Receipt", $C35*VLOOKUP($B35, Items!$A:$E, 5, FALSE), IF($D35="Consumption", -$C35*VLOOKUP($B35, Items!$A:$E, 5, FALSE), "")))</f>
        <v>0</v>
      </c>
      <c r="H35">
        <f>IF($D35="Consumption", -$C35*VLOOKUP($B35, Items!$A:$E, 5, FALSE), 0)</f>
        <v>0</v>
      </c>
    </row>
    <row r="36" spans="1:8">
      <c r="A36" s="2">
        <v>45916</v>
      </c>
      <c r="B36" t="s">
        <v>9</v>
      </c>
      <c r="C36">
        <v>772</v>
      </c>
      <c r="D36" t="s">
        <v>29</v>
      </c>
      <c r="E36" t="s">
        <v>64</v>
      </c>
      <c r="G36">
        <f>IF($D36="", "", IF($D36="Receipt", $C36*VLOOKUP($B36, Items!$A:$E, 5, FALSE), IF($D36="Consumption", -$C36*VLOOKUP($B36, Items!$A:$E, 5, FALSE), "")))</f>
        <v>0</v>
      </c>
      <c r="H36">
        <f>IF($D36="Consumption", -$C36*VLOOKUP($B36, Items!$A:$E, 5, FALSE), 0)</f>
        <v>0</v>
      </c>
    </row>
    <row r="37" spans="1:8">
      <c r="A37" s="2">
        <v>45916</v>
      </c>
      <c r="B37" t="s">
        <v>10</v>
      </c>
      <c r="C37">
        <v>220</v>
      </c>
      <c r="D37" t="s">
        <v>29</v>
      </c>
      <c r="E37" t="s">
        <v>65</v>
      </c>
      <c r="G37">
        <f>IF($D37="", "", IF($D37="Receipt", $C37*VLOOKUP($B37, Items!$A:$E, 5, FALSE), IF($D37="Consumption", -$C37*VLOOKUP($B37, Items!$A:$E, 5, FALSE), "")))</f>
        <v>0</v>
      </c>
      <c r="H37">
        <f>IF($D37="Consumption", -$C37*VLOOKUP($B37, Items!$A:$E, 5, FALSE), 0)</f>
        <v>0</v>
      </c>
    </row>
    <row r="38" spans="1:8">
      <c r="A38" s="2">
        <v>45917</v>
      </c>
      <c r="B38" t="s">
        <v>12</v>
      </c>
      <c r="C38">
        <v>464</v>
      </c>
      <c r="D38" t="s">
        <v>29</v>
      </c>
      <c r="E38" t="s">
        <v>66</v>
      </c>
      <c r="G38">
        <f>IF($D38="", "", IF($D38="Receipt", $C38*VLOOKUP($B38, Items!$A:$E, 5, FALSE), IF($D38="Consumption", -$C38*VLOOKUP($B38, Items!$A:$E, 5, FALSE), "")))</f>
        <v>0</v>
      </c>
      <c r="H38">
        <f>IF($D38="Consumption", -$C38*VLOOKUP($B38, Items!$A:$E, 5, FALSE), 0)</f>
        <v>0</v>
      </c>
    </row>
    <row r="39" spans="1:8">
      <c r="A39" s="2">
        <v>45917</v>
      </c>
      <c r="B39" t="s">
        <v>10</v>
      </c>
      <c r="C39">
        <v>839</v>
      </c>
      <c r="D39" t="s">
        <v>29</v>
      </c>
      <c r="E39" t="s">
        <v>67</v>
      </c>
      <c r="G39">
        <f>IF($D39="", "", IF($D39="Receipt", $C39*VLOOKUP($B39, Items!$A:$E, 5, FALSE), IF($D39="Consumption", -$C39*VLOOKUP($B39, Items!$A:$E, 5, FALSE), "")))</f>
        <v>0</v>
      </c>
      <c r="H39">
        <f>IF($D39="Consumption", -$C39*VLOOKUP($B39, Items!$A:$E, 5, FALSE), 0)</f>
        <v>0</v>
      </c>
    </row>
    <row r="40" spans="1:8">
      <c r="A40" s="2">
        <v>45919</v>
      </c>
      <c r="B40" t="s">
        <v>11</v>
      </c>
      <c r="C40">
        <v>867</v>
      </c>
      <c r="D40" t="s">
        <v>29</v>
      </c>
      <c r="E40" t="s">
        <v>68</v>
      </c>
      <c r="G40">
        <f>IF($D40="", "", IF($D40="Receipt", $C40*VLOOKUP($B40, Items!$A:$E, 5, FALSE), IF($D40="Consumption", -$C40*VLOOKUP($B40, Items!$A:$E, 5, FALSE), "")))</f>
        <v>0</v>
      </c>
      <c r="H40">
        <f>IF($D40="Consumption", -$C40*VLOOKUP($B40, Items!$A:$E, 5, FALSE), 0)</f>
        <v>0</v>
      </c>
    </row>
    <row r="41" spans="1:8">
      <c r="A41" s="2">
        <v>45919</v>
      </c>
      <c r="B41" t="s">
        <v>11</v>
      </c>
      <c r="C41">
        <v>-848</v>
      </c>
      <c r="D41" t="s">
        <v>28</v>
      </c>
      <c r="E41" t="s">
        <v>69</v>
      </c>
      <c r="G41">
        <f>IF($D41="", "", IF($D41="Receipt", $C41*VLOOKUP($B41, Items!$A:$E, 5, FALSE), IF($D41="Consumption", -$C41*VLOOKUP($B41, Items!$A:$E, 5, FALSE), "")))</f>
        <v>0</v>
      </c>
      <c r="H41">
        <f>IF($D41="Consumption", -$C41*VLOOKUP($B41, Items!$A:$E, 5, FALSE), 0)</f>
        <v>0</v>
      </c>
    </row>
    <row r="42" spans="1:8">
      <c r="A42" s="2">
        <v>45924</v>
      </c>
      <c r="B42" t="s">
        <v>12</v>
      </c>
      <c r="C42">
        <v>-758</v>
      </c>
      <c r="D42" t="s">
        <v>28</v>
      </c>
      <c r="E42" t="s">
        <v>70</v>
      </c>
      <c r="G42">
        <f>IF($D42="", "", IF($D42="Receipt", $C42*VLOOKUP($B42, Items!$A:$E, 5, FALSE), IF($D42="Consumption", -$C42*VLOOKUP($B42, Items!$A:$E, 5, FALSE), "")))</f>
        <v>0</v>
      </c>
      <c r="H42">
        <f>IF($D42="Consumption", -$C42*VLOOKUP($B42, Items!$A:$E, 5, FALSE), 0)</f>
        <v>0</v>
      </c>
    </row>
    <row r="43" spans="1:8">
      <c r="A43" s="2">
        <v>45925</v>
      </c>
      <c r="B43" t="s">
        <v>12</v>
      </c>
      <c r="C43">
        <v>-233</v>
      </c>
      <c r="D43" t="s">
        <v>28</v>
      </c>
      <c r="E43" t="s">
        <v>71</v>
      </c>
      <c r="G43">
        <f>IF($D43="", "", IF($D43="Receipt", $C43*VLOOKUP($B43, Items!$A:$E, 5, FALSE), IF($D43="Consumption", -$C43*VLOOKUP($B43, Items!$A:$E, 5, FALSE), "")))</f>
        <v>0</v>
      </c>
      <c r="H43">
        <f>IF($D43="Consumption", -$C43*VLOOKUP($B43, Items!$A:$E, 5, FALSE), 0)</f>
        <v>0</v>
      </c>
    </row>
    <row r="44" spans="1:8">
      <c r="A44" s="2">
        <v>45927</v>
      </c>
      <c r="B44" t="s">
        <v>10</v>
      </c>
      <c r="C44">
        <v>419</v>
      </c>
      <c r="D44" t="s">
        <v>29</v>
      </c>
      <c r="E44" t="s">
        <v>72</v>
      </c>
      <c r="G44">
        <f>IF($D44="", "", IF($D44="Receipt", $C44*VLOOKUP($B44, Items!$A:$E, 5, FALSE), IF($D44="Consumption", -$C44*VLOOKUP($B44, Items!$A:$E, 5, FALSE), "")))</f>
        <v>0</v>
      </c>
      <c r="H44">
        <f>IF($D44="Consumption", -$C44*VLOOKUP($B44, Items!$A:$E, 5, FALSE), 0)</f>
        <v>0</v>
      </c>
    </row>
    <row r="45" spans="1:8">
      <c r="A45" s="2">
        <v>45932</v>
      </c>
      <c r="B45" t="s">
        <v>12</v>
      </c>
      <c r="C45">
        <v>495</v>
      </c>
      <c r="D45" t="s">
        <v>29</v>
      </c>
      <c r="E45" t="s">
        <v>73</v>
      </c>
      <c r="G45">
        <f>IF($D45="", "", IF($D45="Receipt", $C45*VLOOKUP($B45, Items!$A:$E, 5, FALSE), IF($D45="Consumption", -$C45*VLOOKUP($B45, Items!$A:$E, 5, FALSE), "")))</f>
        <v>0</v>
      </c>
      <c r="H45">
        <f>IF($D45="Consumption", -$C45*VLOOKUP($B45, Items!$A:$E, 5, FALSE), 0)</f>
        <v>0</v>
      </c>
    </row>
    <row r="46" spans="1:8">
      <c r="A46" s="2">
        <v>45935</v>
      </c>
      <c r="B46" t="s">
        <v>10</v>
      </c>
      <c r="C46">
        <v>208</v>
      </c>
      <c r="D46" t="s">
        <v>29</v>
      </c>
      <c r="E46" t="s">
        <v>74</v>
      </c>
      <c r="G46">
        <f>IF($D46="", "", IF($D46="Receipt", $C46*VLOOKUP($B46, Items!$A:$E, 5, FALSE), IF($D46="Consumption", -$C46*VLOOKUP($B46, Items!$A:$E, 5, FALSE), "")))</f>
        <v>0</v>
      </c>
      <c r="H46">
        <f>IF($D46="Consumption", -$C46*VLOOKUP($B46, Items!$A:$E, 5, FALSE), 0)</f>
        <v>0</v>
      </c>
    </row>
    <row r="47" spans="1:8">
      <c r="A47" s="2">
        <v>45936</v>
      </c>
      <c r="B47" t="s">
        <v>10</v>
      </c>
      <c r="C47">
        <v>532</v>
      </c>
      <c r="D47" t="s">
        <v>29</v>
      </c>
      <c r="E47" t="s">
        <v>75</v>
      </c>
      <c r="G47">
        <f>IF($D47="", "", IF($D47="Receipt", $C47*VLOOKUP($B47, Items!$A:$E, 5, FALSE), IF($D47="Consumption", -$C47*VLOOKUP($B47, Items!$A:$E, 5, FALSE), "")))</f>
        <v>0</v>
      </c>
      <c r="H47">
        <f>IF($D47="Consumption", -$C47*VLOOKUP($B47, Items!$A:$E, 5, FALSE), 0)</f>
        <v>0</v>
      </c>
    </row>
    <row r="48" spans="1:8">
      <c r="A48" s="2">
        <v>45938</v>
      </c>
      <c r="B48" t="s">
        <v>10</v>
      </c>
      <c r="C48">
        <v>-269</v>
      </c>
      <c r="D48" t="s">
        <v>28</v>
      </c>
      <c r="E48" t="s">
        <v>76</v>
      </c>
      <c r="G48">
        <f>IF($D48="", "", IF($D48="Receipt", $C48*VLOOKUP($B48, Items!$A:$E, 5, FALSE), IF($D48="Consumption", -$C48*VLOOKUP($B48, Items!$A:$E, 5, FALSE), "")))</f>
        <v>0</v>
      </c>
      <c r="H48">
        <f>IF($D48="Consumption", -$C48*VLOOKUP($B48, Items!$A:$E, 5, FALSE), 0)</f>
        <v>0</v>
      </c>
    </row>
    <row r="49" spans="1:8">
      <c r="A49" s="2">
        <v>45939</v>
      </c>
      <c r="B49" t="s">
        <v>10</v>
      </c>
      <c r="C49">
        <v>-686</v>
      </c>
      <c r="D49" t="s">
        <v>28</v>
      </c>
      <c r="E49" t="s">
        <v>77</v>
      </c>
      <c r="G49">
        <f>IF($D49="", "", IF($D49="Receipt", $C49*VLOOKUP($B49, Items!$A:$E, 5, FALSE), IF($D49="Consumption", -$C49*VLOOKUP($B49, Items!$A:$E, 5, FALSE), "")))</f>
        <v>0</v>
      </c>
      <c r="H49">
        <f>IF($D49="Consumption", -$C49*VLOOKUP($B49, Items!$A:$E, 5, FALSE), 0)</f>
        <v>0</v>
      </c>
    </row>
    <row r="50" spans="1:8">
      <c r="A50" s="2">
        <v>45942</v>
      </c>
      <c r="B50" t="s">
        <v>12</v>
      </c>
      <c r="C50">
        <v>-68</v>
      </c>
      <c r="D50" t="s">
        <v>28</v>
      </c>
      <c r="E50" t="s">
        <v>78</v>
      </c>
      <c r="G50">
        <f>IF($D50="", "", IF($D50="Receipt", $C50*VLOOKUP($B50, Items!$A:$E, 5, FALSE), IF($D50="Consumption", -$C50*VLOOKUP($B50, Items!$A:$E, 5, FALSE), "")))</f>
        <v>0</v>
      </c>
      <c r="H50">
        <f>IF($D50="Consumption", -$C50*VLOOKUP($B50, Items!$A:$E, 5, FALSE), 0)</f>
        <v>0</v>
      </c>
    </row>
    <row r="51" spans="1:8">
      <c r="A51" s="2">
        <v>45946</v>
      </c>
      <c r="B51" t="s">
        <v>9</v>
      </c>
      <c r="C51">
        <v>41</v>
      </c>
      <c r="D51" t="s">
        <v>29</v>
      </c>
      <c r="E51" t="s">
        <v>79</v>
      </c>
      <c r="G51">
        <f>IF($D51="", "", IF($D51="Receipt", $C51*VLOOKUP($B51, Items!$A:$E, 5, FALSE), IF($D51="Consumption", -$C51*VLOOKUP($B51, Items!$A:$E, 5, FALSE), "")))</f>
        <v>0</v>
      </c>
      <c r="H51">
        <f>IF($D51="Consumption", -$C51*VLOOKUP($B51, Items!$A:$E, 5, FALSE), 0)</f>
        <v>0</v>
      </c>
    </row>
    <row r="52" spans="1:8">
      <c r="A52" s="2">
        <v>45953</v>
      </c>
      <c r="B52" t="s">
        <v>9</v>
      </c>
      <c r="C52">
        <v>-105</v>
      </c>
      <c r="D52" t="s">
        <v>28</v>
      </c>
      <c r="E52" t="s">
        <v>80</v>
      </c>
      <c r="G52">
        <f>IF($D52="", "", IF($D52="Receipt", $C52*VLOOKUP($B52, Items!$A:$E, 5, FALSE), IF($D52="Consumption", -$C52*VLOOKUP($B52, Items!$A:$E, 5, FALSE), "")))</f>
        <v>0</v>
      </c>
      <c r="H52">
        <f>IF($D52="Consumption", -$C52*VLOOKUP($B52, Items!$A:$E, 5, FALSE), 0)</f>
        <v>0</v>
      </c>
    </row>
    <row r="53" spans="1:8">
      <c r="A53" s="2">
        <v>45957</v>
      </c>
      <c r="B53" t="s">
        <v>9</v>
      </c>
      <c r="C53">
        <v>-665</v>
      </c>
      <c r="D53" t="s">
        <v>28</v>
      </c>
      <c r="E53" t="s">
        <v>81</v>
      </c>
      <c r="G53">
        <f>IF($D53="", "", IF($D53="Receipt", $C53*VLOOKUP($B53, Items!$A:$E, 5, FALSE), IF($D53="Consumption", -$C53*VLOOKUP($B53, Items!$A:$E, 5, FALSE), "")))</f>
        <v>0</v>
      </c>
      <c r="H53">
        <f>IF($D53="Consumption", -$C53*VLOOKUP($B53, Items!$A:$E, 5, FALSE), 0)</f>
        <v>0</v>
      </c>
    </row>
    <row r="54" spans="1:8">
      <c r="G54">
        <f>IF($D54="", "", IF($D54="Receipt", $C54*VLOOKUP($B54, Items!$A:$E, 5, FALSE), IF($D54="Consumption", -$C54*VLOOKUP($B54, Items!$A:$E, 5, FALSE), "")))</f>
        <v>0</v>
      </c>
      <c r="H54">
        <f>IF($D54="Consumption", -$C54*VLOOKUP($B54, Items!$A:$E, 5, FALSE), 0)</f>
        <v>0</v>
      </c>
    </row>
    <row r="55" spans="1:8">
      <c r="G55">
        <f>IF($D55="", "", IF($D55="Receipt", $C55*VLOOKUP($B55, Items!$A:$E, 5, FALSE), IF($D55="Consumption", -$C55*VLOOKUP($B55, Items!$A:$E, 5, FALSE), "")))</f>
        <v>0</v>
      </c>
      <c r="H55">
        <f>IF($D55="Consumption", -$C55*VLOOKUP($B55, Items!$A:$E, 5, FALSE), 0)</f>
        <v>0</v>
      </c>
    </row>
    <row r="56" spans="1:8">
      <c r="G56">
        <f>IF($D56="", "", IF($D56="Receipt", $C56*VLOOKUP($B56, Items!$A:$E, 5, FALSE), IF($D56="Consumption", -$C56*VLOOKUP($B56, Items!$A:$E, 5, FALSE), "")))</f>
        <v>0</v>
      </c>
      <c r="H56">
        <f>IF($D56="Consumption", -$C56*VLOOKUP($B56, Items!$A:$E, 5, FALSE), 0)</f>
        <v>0</v>
      </c>
    </row>
    <row r="57" spans="1:8">
      <c r="G57">
        <f>IF($D57="", "", IF($D57="Receipt", $C57*VLOOKUP($B57, Items!$A:$E, 5, FALSE), IF($D57="Consumption", -$C57*VLOOKUP($B57, Items!$A:$E, 5, FALSE), "")))</f>
        <v>0</v>
      </c>
      <c r="H57">
        <f>IF($D57="Consumption", -$C57*VLOOKUP($B57, Items!$A:$E, 5, FALSE), 0)</f>
        <v>0</v>
      </c>
    </row>
    <row r="58" spans="1:8">
      <c r="G58">
        <f>IF($D58="", "", IF($D58="Receipt", $C58*VLOOKUP($B58, Items!$A:$E, 5, FALSE), IF($D58="Consumption", -$C58*VLOOKUP($B58, Items!$A:$E, 5, FALSE), "")))</f>
        <v>0</v>
      </c>
      <c r="H58">
        <f>IF($D58="Consumption", -$C58*VLOOKUP($B58, Items!$A:$E, 5, FALSE), 0)</f>
        <v>0</v>
      </c>
    </row>
    <row r="59" spans="1:8">
      <c r="G59">
        <f>IF($D59="", "", IF($D59="Receipt", $C59*VLOOKUP($B59, Items!$A:$E, 5, FALSE), IF($D59="Consumption", -$C59*VLOOKUP($B59, Items!$A:$E, 5, FALSE), "")))</f>
        <v>0</v>
      </c>
      <c r="H59">
        <f>IF($D59="Consumption", -$C59*VLOOKUP($B59, Items!$A:$E, 5, FALSE), 0)</f>
        <v>0</v>
      </c>
    </row>
    <row r="60" spans="1:8">
      <c r="G60">
        <f>IF($D60="", "", IF($D60="Receipt", $C60*VLOOKUP($B60, Items!$A:$E, 5, FALSE), IF($D60="Consumption", -$C60*VLOOKUP($B60, Items!$A:$E, 5, FALSE), "")))</f>
        <v>0</v>
      </c>
      <c r="H60">
        <f>IF($D60="Consumption", -$C60*VLOOKUP($B60, Items!$A:$E, 5, FALSE), 0)</f>
        <v>0</v>
      </c>
    </row>
    <row r="61" spans="1:8">
      <c r="G61">
        <f>IF($D61="", "", IF($D61="Receipt", $C61*VLOOKUP($B61, Items!$A:$E, 5, FALSE), IF($D61="Consumption", -$C61*VLOOKUP($B61, Items!$A:$E, 5, FALSE), "")))</f>
        <v>0</v>
      </c>
      <c r="H61">
        <f>IF($D61="Consumption", -$C61*VLOOKUP($B61, Items!$A:$E, 5, FALSE), 0)</f>
        <v>0</v>
      </c>
    </row>
    <row r="62" spans="1:8">
      <c r="G62">
        <f>IF($D62="", "", IF($D62="Receipt", $C62*VLOOKUP($B62, Items!$A:$E, 5, FALSE), IF($D62="Consumption", -$C62*VLOOKUP($B62, Items!$A:$E, 5, FALSE), "")))</f>
        <v>0</v>
      </c>
      <c r="H62">
        <f>IF($D62="Consumption", -$C62*VLOOKUP($B62, Items!$A:$E, 5, FALSE), 0)</f>
        <v>0</v>
      </c>
    </row>
    <row r="63" spans="1:8">
      <c r="G63">
        <f>IF($D63="", "", IF($D63="Receipt", $C63*VLOOKUP($B63, Items!$A:$E, 5, FALSE), IF($D63="Consumption", -$C63*VLOOKUP($B63, Items!$A:$E, 5, FALSE), "")))</f>
        <v>0</v>
      </c>
      <c r="H63">
        <f>IF($D63="Consumption", -$C63*VLOOKUP($B63, Items!$A:$E, 5, FALSE), 0)</f>
        <v>0</v>
      </c>
    </row>
    <row r="64" spans="1:8">
      <c r="G64">
        <f>IF($D64="", "", IF($D64="Receipt", $C64*VLOOKUP($B64, Items!$A:$E, 5, FALSE), IF($D64="Consumption", -$C64*VLOOKUP($B64, Items!$A:$E, 5, FALSE), "")))</f>
        <v>0</v>
      </c>
      <c r="H64">
        <f>IF($D64="Consumption", -$C64*VLOOKUP($B64, Items!$A:$E, 5, FALSE), 0)</f>
        <v>0</v>
      </c>
    </row>
    <row r="65" spans="7:8">
      <c r="G65">
        <f>IF($D65="", "", IF($D65="Receipt", $C65*VLOOKUP($B65, Items!$A:$E, 5, FALSE), IF($D65="Consumption", -$C65*VLOOKUP($B65, Items!$A:$E, 5, FALSE), "")))</f>
        <v>0</v>
      </c>
      <c r="H65">
        <f>IF($D65="Consumption", -$C65*VLOOKUP($B65, Items!$A:$E, 5, FALSE), 0)</f>
        <v>0</v>
      </c>
    </row>
    <row r="66" spans="7:8">
      <c r="G66">
        <f>IF($D66="", "", IF($D66="Receipt", $C66*VLOOKUP($B66, Items!$A:$E, 5, FALSE), IF($D66="Consumption", -$C66*VLOOKUP($B66, Items!$A:$E, 5, FALSE), "")))</f>
        <v>0</v>
      </c>
      <c r="H66">
        <f>IF($D66="Consumption", -$C66*VLOOKUP($B66, Items!$A:$E, 5, FALSE), 0)</f>
        <v>0</v>
      </c>
    </row>
    <row r="67" spans="7:8">
      <c r="G67">
        <f>IF($D67="", "", IF($D67="Receipt", $C67*VLOOKUP($B67, Items!$A:$E, 5, FALSE), IF($D67="Consumption", -$C67*VLOOKUP($B67, Items!$A:$E, 5, FALSE), "")))</f>
        <v>0</v>
      </c>
      <c r="H67">
        <f>IF($D67="Consumption", -$C67*VLOOKUP($B67, Items!$A:$E, 5, FALSE), 0)</f>
        <v>0</v>
      </c>
    </row>
    <row r="68" spans="7:8">
      <c r="G68">
        <f>IF($D68="", "", IF($D68="Receipt", $C68*VLOOKUP($B68, Items!$A:$E, 5, FALSE), IF($D68="Consumption", -$C68*VLOOKUP($B68, Items!$A:$E, 5, FALSE), "")))</f>
        <v>0</v>
      </c>
      <c r="H68">
        <f>IF($D68="Consumption", -$C68*VLOOKUP($B68, Items!$A:$E, 5, FALSE), 0)</f>
        <v>0</v>
      </c>
    </row>
    <row r="69" spans="7:8">
      <c r="G69">
        <f>IF($D69="", "", IF($D69="Receipt", $C69*VLOOKUP($B69, Items!$A:$E, 5, FALSE), IF($D69="Consumption", -$C69*VLOOKUP($B69, Items!$A:$E, 5, FALSE), "")))</f>
        <v>0</v>
      </c>
      <c r="H69">
        <f>IF($D69="Consumption", -$C69*VLOOKUP($B69, Items!$A:$E, 5, FALSE), 0)</f>
        <v>0</v>
      </c>
    </row>
    <row r="70" spans="7:8">
      <c r="G70">
        <f>IF($D70="", "", IF($D70="Receipt", $C70*VLOOKUP($B70, Items!$A:$E, 5, FALSE), IF($D70="Consumption", -$C70*VLOOKUP($B70, Items!$A:$E, 5, FALSE), "")))</f>
        <v>0</v>
      </c>
      <c r="H70">
        <f>IF($D70="Consumption", -$C70*VLOOKUP($B70, Items!$A:$E, 5, FALSE), 0)</f>
        <v>0</v>
      </c>
    </row>
    <row r="71" spans="7:8">
      <c r="G71">
        <f>IF($D71="", "", IF($D71="Receipt", $C71*VLOOKUP($B71, Items!$A:$E, 5, FALSE), IF($D71="Consumption", -$C71*VLOOKUP($B71, Items!$A:$E, 5, FALSE), "")))</f>
        <v>0</v>
      </c>
      <c r="H71">
        <f>IF($D71="Consumption", -$C71*VLOOKUP($B71, Items!$A:$E, 5, FALSE), 0)</f>
        <v>0</v>
      </c>
    </row>
    <row r="72" spans="7:8">
      <c r="G72">
        <f>IF($D72="", "", IF($D72="Receipt", $C72*VLOOKUP($B72, Items!$A:$E, 5, FALSE), IF($D72="Consumption", -$C72*VLOOKUP($B72, Items!$A:$E, 5, FALSE), "")))</f>
        <v>0</v>
      </c>
      <c r="H72">
        <f>IF($D72="Consumption", -$C72*VLOOKUP($B72, Items!$A:$E, 5, FALSE), 0)</f>
        <v>0</v>
      </c>
    </row>
    <row r="73" spans="7:8">
      <c r="G73">
        <f>IF($D73="", "", IF($D73="Receipt", $C73*VLOOKUP($B73, Items!$A:$E, 5, FALSE), IF($D73="Consumption", -$C73*VLOOKUP($B73, Items!$A:$E, 5, FALSE), "")))</f>
        <v>0</v>
      </c>
      <c r="H73">
        <f>IF($D73="Consumption", -$C73*VLOOKUP($B73, Items!$A:$E, 5, FALSE), 0)</f>
        <v>0</v>
      </c>
    </row>
    <row r="74" spans="7:8">
      <c r="G74">
        <f>IF($D74="", "", IF($D74="Receipt", $C74*VLOOKUP($B74, Items!$A:$E, 5, FALSE), IF($D74="Consumption", -$C74*VLOOKUP($B74, Items!$A:$E, 5, FALSE), "")))</f>
        <v>0</v>
      </c>
      <c r="H74">
        <f>IF($D74="Consumption", -$C74*VLOOKUP($B74, Items!$A:$E, 5, FALSE), 0)</f>
        <v>0</v>
      </c>
    </row>
    <row r="75" spans="7:8">
      <c r="G75">
        <f>IF($D75="", "", IF($D75="Receipt", $C75*VLOOKUP($B75, Items!$A:$E, 5, FALSE), IF($D75="Consumption", -$C75*VLOOKUP($B75, Items!$A:$E, 5, FALSE), "")))</f>
        <v>0</v>
      </c>
      <c r="H75">
        <f>IF($D75="Consumption", -$C75*VLOOKUP($B75, Items!$A:$E, 5, FALSE), 0)</f>
        <v>0</v>
      </c>
    </row>
    <row r="76" spans="7:8">
      <c r="G76">
        <f>IF($D76="", "", IF($D76="Receipt", $C76*VLOOKUP($B76, Items!$A:$E, 5, FALSE), IF($D76="Consumption", -$C76*VLOOKUP($B76, Items!$A:$E, 5, FALSE), "")))</f>
        <v>0</v>
      </c>
      <c r="H76">
        <f>IF($D76="Consumption", -$C76*VLOOKUP($B76, Items!$A:$E, 5, FALSE), 0)</f>
        <v>0</v>
      </c>
    </row>
    <row r="77" spans="7:8">
      <c r="G77">
        <f>IF($D77="", "", IF($D77="Receipt", $C77*VLOOKUP($B77, Items!$A:$E, 5, FALSE), IF($D77="Consumption", -$C77*VLOOKUP($B77, Items!$A:$E, 5, FALSE), "")))</f>
        <v>0</v>
      </c>
      <c r="H77">
        <f>IF($D77="Consumption", -$C77*VLOOKUP($B77, Items!$A:$E, 5, FALSE), 0)</f>
        <v>0</v>
      </c>
    </row>
    <row r="78" spans="7:8">
      <c r="G78">
        <f>IF($D78="", "", IF($D78="Receipt", $C78*VLOOKUP($B78, Items!$A:$E, 5, FALSE), IF($D78="Consumption", -$C78*VLOOKUP($B78, Items!$A:$E, 5, FALSE), "")))</f>
        <v>0</v>
      </c>
      <c r="H78">
        <f>IF($D78="Consumption", -$C78*VLOOKUP($B78, Items!$A:$E, 5, FALSE), 0)</f>
        <v>0</v>
      </c>
    </row>
    <row r="79" spans="7:8">
      <c r="G79">
        <f>IF($D79="", "", IF($D79="Receipt", $C79*VLOOKUP($B79, Items!$A:$E, 5, FALSE), IF($D79="Consumption", -$C79*VLOOKUP($B79, Items!$A:$E, 5, FALSE), "")))</f>
        <v>0</v>
      </c>
      <c r="H79">
        <f>IF($D79="Consumption", -$C79*VLOOKUP($B79, Items!$A:$E, 5, FALSE), 0)</f>
        <v>0</v>
      </c>
    </row>
    <row r="80" spans="7:8">
      <c r="G80">
        <f>IF($D80="", "", IF($D80="Receipt", $C80*VLOOKUP($B80, Items!$A:$E, 5, FALSE), IF($D80="Consumption", -$C80*VLOOKUP($B80, Items!$A:$E, 5, FALSE), "")))</f>
        <v>0</v>
      </c>
      <c r="H80">
        <f>IF($D80="Consumption", -$C80*VLOOKUP($B80, Items!$A:$E, 5, FALSE), 0)</f>
        <v>0</v>
      </c>
    </row>
    <row r="81" spans="7:8">
      <c r="G81">
        <f>IF($D81="", "", IF($D81="Receipt", $C81*VLOOKUP($B81, Items!$A:$E, 5, FALSE), IF($D81="Consumption", -$C81*VLOOKUP($B81, Items!$A:$E, 5, FALSE), "")))</f>
        <v>0</v>
      </c>
      <c r="H81">
        <f>IF($D81="Consumption", -$C81*VLOOKUP($B81, Items!$A:$E, 5, FALSE), 0)</f>
        <v>0</v>
      </c>
    </row>
    <row r="82" spans="7:8">
      <c r="G82">
        <f>IF($D82="", "", IF($D82="Receipt", $C82*VLOOKUP($B82, Items!$A:$E, 5, FALSE), IF($D82="Consumption", -$C82*VLOOKUP($B82, Items!$A:$E, 5, FALSE), "")))</f>
        <v>0</v>
      </c>
      <c r="H82">
        <f>IF($D82="Consumption", -$C82*VLOOKUP($B82, Items!$A:$E, 5, FALSE), 0)</f>
        <v>0</v>
      </c>
    </row>
    <row r="83" spans="7:8">
      <c r="G83">
        <f>IF($D83="", "", IF($D83="Receipt", $C83*VLOOKUP($B83, Items!$A:$E, 5, FALSE), IF($D83="Consumption", -$C83*VLOOKUP($B83, Items!$A:$E, 5, FALSE), "")))</f>
        <v>0</v>
      </c>
      <c r="H83">
        <f>IF($D83="Consumption", -$C83*VLOOKUP($B83, Items!$A:$E, 5, FALSE), 0)</f>
        <v>0</v>
      </c>
    </row>
    <row r="84" spans="7:8">
      <c r="G84">
        <f>IF($D84="", "", IF($D84="Receipt", $C84*VLOOKUP($B84, Items!$A:$E, 5, FALSE), IF($D84="Consumption", -$C84*VLOOKUP($B84, Items!$A:$E, 5, FALSE), "")))</f>
        <v>0</v>
      </c>
      <c r="H84">
        <f>IF($D84="Consumption", -$C84*VLOOKUP($B84, Items!$A:$E, 5, FALSE), 0)</f>
        <v>0</v>
      </c>
    </row>
    <row r="85" spans="7:8">
      <c r="G85">
        <f>IF($D85="", "", IF($D85="Receipt", $C85*VLOOKUP($B85, Items!$A:$E, 5, FALSE), IF($D85="Consumption", -$C85*VLOOKUP($B85, Items!$A:$E, 5, FALSE), "")))</f>
        <v>0</v>
      </c>
      <c r="H85">
        <f>IF($D85="Consumption", -$C85*VLOOKUP($B85, Items!$A:$E, 5, FALSE), 0)</f>
        <v>0</v>
      </c>
    </row>
    <row r="86" spans="7:8">
      <c r="G86">
        <f>IF($D86="", "", IF($D86="Receipt", $C86*VLOOKUP($B86, Items!$A:$E, 5, FALSE), IF($D86="Consumption", -$C86*VLOOKUP($B86, Items!$A:$E, 5, FALSE), "")))</f>
        <v>0</v>
      </c>
      <c r="H86">
        <f>IF($D86="Consumption", -$C86*VLOOKUP($B86, Items!$A:$E, 5, FALSE), 0)</f>
        <v>0</v>
      </c>
    </row>
    <row r="87" spans="7:8">
      <c r="G87">
        <f>IF($D87="", "", IF($D87="Receipt", $C87*VLOOKUP($B87, Items!$A:$E, 5, FALSE), IF($D87="Consumption", -$C87*VLOOKUP($B87, Items!$A:$E, 5, FALSE), "")))</f>
        <v>0</v>
      </c>
      <c r="H87">
        <f>IF($D87="Consumption", -$C87*VLOOKUP($B87, Items!$A:$E, 5, FALSE), 0)</f>
        <v>0</v>
      </c>
    </row>
    <row r="88" spans="7:8">
      <c r="G88">
        <f>IF($D88="", "", IF($D88="Receipt", $C88*VLOOKUP($B88, Items!$A:$E, 5, FALSE), IF($D88="Consumption", -$C88*VLOOKUP($B88, Items!$A:$E, 5, FALSE), "")))</f>
        <v>0</v>
      </c>
      <c r="H88">
        <f>IF($D88="Consumption", -$C88*VLOOKUP($B88, Items!$A:$E, 5, FALSE), 0)</f>
        <v>0</v>
      </c>
    </row>
    <row r="89" spans="7:8">
      <c r="G89">
        <f>IF($D89="", "", IF($D89="Receipt", $C89*VLOOKUP($B89, Items!$A:$E, 5, FALSE), IF($D89="Consumption", -$C89*VLOOKUP($B89, Items!$A:$E, 5, FALSE), "")))</f>
        <v>0</v>
      </c>
      <c r="H89">
        <f>IF($D89="Consumption", -$C89*VLOOKUP($B89, Items!$A:$E, 5, FALSE), 0)</f>
        <v>0</v>
      </c>
    </row>
    <row r="90" spans="7:8">
      <c r="G90">
        <f>IF($D90="", "", IF($D90="Receipt", $C90*VLOOKUP($B90, Items!$A:$E, 5, FALSE), IF($D90="Consumption", -$C90*VLOOKUP($B90, Items!$A:$E, 5, FALSE), "")))</f>
        <v>0</v>
      </c>
      <c r="H90">
        <f>IF($D90="Consumption", -$C90*VLOOKUP($B90, Items!$A:$E, 5, FALSE), 0)</f>
        <v>0</v>
      </c>
    </row>
    <row r="91" spans="7:8">
      <c r="G91">
        <f>IF($D91="", "", IF($D91="Receipt", $C91*VLOOKUP($B91, Items!$A:$E, 5, FALSE), IF($D91="Consumption", -$C91*VLOOKUP($B91, Items!$A:$E, 5, FALSE), "")))</f>
        <v>0</v>
      </c>
      <c r="H91">
        <f>IF($D91="Consumption", -$C91*VLOOKUP($B91, Items!$A:$E, 5, FALSE), 0)</f>
        <v>0</v>
      </c>
    </row>
    <row r="92" spans="7:8">
      <c r="G92">
        <f>IF($D92="", "", IF($D92="Receipt", $C92*VLOOKUP($B92, Items!$A:$E, 5, FALSE), IF($D92="Consumption", -$C92*VLOOKUP($B92, Items!$A:$E, 5, FALSE), "")))</f>
        <v>0</v>
      </c>
      <c r="H92">
        <f>IF($D92="Consumption", -$C92*VLOOKUP($B92, Items!$A:$E, 5, FALSE), 0)</f>
        <v>0</v>
      </c>
    </row>
    <row r="93" spans="7:8">
      <c r="G93">
        <f>IF($D93="", "", IF($D93="Receipt", $C93*VLOOKUP($B93, Items!$A:$E, 5, FALSE), IF($D93="Consumption", -$C93*VLOOKUP($B93, Items!$A:$E, 5, FALSE), "")))</f>
        <v>0</v>
      </c>
      <c r="H93">
        <f>IF($D93="Consumption", -$C93*VLOOKUP($B93, Items!$A:$E, 5, FALSE), 0)</f>
        <v>0</v>
      </c>
    </row>
    <row r="94" spans="7:8">
      <c r="G94">
        <f>IF($D94="", "", IF($D94="Receipt", $C94*VLOOKUP($B94, Items!$A:$E, 5, FALSE), IF($D94="Consumption", -$C94*VLOOKUP($B94, Items!$A:$E, 5, FALSE), "")))</f>
        <v>0</v>
      </c>
      <c r="H94">
        <f>IF($D94="Consumption", -$C94*VLOOKUP($B94, Items!$A:$E, 5, FALSE), 0)</f>
        <v>0</v>
      </c>
    </row>
    <row r="95" spans="7:8">
      <c r="G95">
        <f>IF($D95="", "", IF($D95="Receipt", $C95*VLOOKUP($B95, Items!$A:$E, 5, FALSE), IF($D95="Consumption", -$C95*VLOOKUP($B95, Items!$A:$E, 5, FALSE), "")))</f>
        <v>0</v>
      </c>
      <c r="H95">
        <f>IF($D95="Consumption", -$C95*VLOOKUP($B95, Items!$A:$E, 5, FALSE), 0)</f>
        <v>0</v>
      </c>
    </row>
    <row r="96" spans="7:8">
      <c r="G96">
        <f>IF($D96="", "", IF($D96="Receipt", $C96*VLOOKUP($B96, Items!$A:$E, 5, FALSE), IF($D96="Consumption", -$C96*VLOOKUP($B96, Items!$A:$E, 5, FALSE), "")))</f>
        <v>0</v>
      </c>
      <c r="H96">
        <f>IF($D96="Consumption", -$C96*VLOOKUP($B96, Items!$A:$E, 5, FALSE), 0)</f>
        <v>0</v>
      </c>
    </row>
    <row r="97" spans="7:8">
      <c r="G97">
        <f>IF($D97="", "", IF($D97="Receipt", $C97*VLOOKUP($B97, Items!$A:$E, 5, FALSE), IF($D97="Consumption", -$C97*VLOOKUP($B97, Items!$A:$E, 5, FALSE), "")))</f>
        <v>0</v>
      </c>
      <c r="H97">
        <f>IF($D97="Consumption", -$C97*VLOOKUP($B97, Items!$A:$E, 5, FALSE), 0)</f>
        <v>0</v>
      </c>
    </row>
    <row r="98" spans="7:8">
      <c r="G98">
        <f>IF($D98="", "", IF($D98="Receipt", $C98*VLOOKUP($B98, Items!$A:$E, 5, FALSE), IF($D98="Consumption", -$C98*VLOOKUP($B98, Items!$A:$E, 5, FALSE), "")))</f>
        <v>0</v>
      </c>
      <c r="H98">
        <f>IF($D98="Consumption", -$C98*VLOOKUP($B98, Items!$A:$E, 5, FALSE), 0)</f>
        <v>0</v>
      </c>
    </row>
    <row r="99" spans="7:8">
      <c r="G99">
        <f>IF($D99="", "", IF($D99="Receipt", $C99*VLOOKUP($B99, Items!$A:$E, 5, FALSE), IF($D99="Consumption", -$C99*VLOOKUP($B99, Items!$A:$E, 5, FALSE), "")))</f>
        <v>0</v>
      </c>
      <c r="H99">
        <f>IF($D99="Consumption", -$C99*VLOOKUP($B99, Items!$A:$E, 5, FALSE), 0)</f>
        <v>0</v>
      </c>
    </row>
    <row r="100" spans="7:8">
      <c r="G100">
        <f>IF($D100="", "", IF($D100="Receipt", $C100*VLOOKUP($B100, Items!$A:$E, 5, FALSE), IF($D100="Consumption", -$C100*VLOOKUP($B100, Items!$A:$E, 5, FALSE), "")))</f>
        <v>0</v>
      </c>
      <c r="H100">
        <f>IF($D100="Consumption", -$C100*VLOOKUP($B100, Items!$A:$E, 5, FALSE), 0)</f>
        <v>0</v>
      </c>
    </row>
    <row r="101" spans="7:8">
      <c r="G101">
        <f>IF($D101="", "", IF($D101="Receipt", $C101*VLOOKUP($B101, Items!$A:$E, 5, FALSE), IF($D101="Consumption", -$C101*VLOOKUP($B101, Items!$A:$E, 5, FALSE), "")))</f>
        <v>0</v>
      </c>
      <c r="H101">
        <f>IF($D101="Consumption", -$C101*VLOOKUP($B101, Items!$A:$E, 5, FALSE), 0)</f>
        <v>0</v>
      </c>
    </row>
    <row r="102" spans="7:8">
      <c r="G102">
        <f>IF($D102="", "", IF($D102="Receipt", $C102*VLOOKUP($B102, Items!$A:$E, 5, FALSE), IF($D102="Consumption", -$C102*VLOOKUP($B102, Items!$A:$E, 5, FALSE), "")))</f>
        <v>0</v>
      </c>
      <c r="H102">
        <f>IF($D102="Consumption", -$C102*VLOOKUP($B102, Items!$A:$E, 5, FALSE), 0)</f>
        <v>0</v>
      </c>
    </row>
    <row r="103" spans="7:8">
      <c r="G103">
        <f>IF($D103="", "", IF($D103="Receipt", $C103*VLOOKUP($B103, Items!$A:$E, 5, FALSE), IF($D103="Consumption", -$C103*VLOOKUP($B103, Items!$A:$E, 5, FALSE), "")))</f>
        <v>0</v>
      </c>
      <c r="H103">
        <f>IF($D103="Consumption", -$C103*VLOOKUP($B103, Items!$A:$E, 5, FALSE), 0)</f>
        <v>0</v>
      </c>
    </row>
    <row r="104" spans="7:8">
      <c r="G104">
        <f>IF($D104="", "", IF($D104="Receipt", $C104*VLOOKUP($B104, Items!$A:$E, 5, FALSE), IF($D104="Consumption", -$C104*VLOOKUP($B104, Items!$A:$E, 5, FALSE), "")))</f>
        <v>0</v>
      </c>
      <c r="H104">
        <f>IF($D104="Consumption", -$C104*VLOOKUP($B104, Items!$A:$E, 5, FALSE), 0)</f>
        <v>0</v>
      </c>
    </row>
    <row r="105" spans="7:8">
      <c r="G105">
        <f>IF($D105="", "", IF($D105="Receipt", $C105*VLOOKUP($B105, Items!$A:$E, 5, FALSE), IF($D105="Consumption", -$C105*VLOOKUP($B105, Items!$A:$E, 5, FALSE), "")))</f>
        <v>0</v>
      </c>
      <c r="H105">
        <f>IF($D105="Consumption", -$C105*VLOOKUP($B105, Items!$A:$E, 5, FALSE), 0)</f>
        <v>0</v>
      </c>
    </row>
    <row r="106" spans="7:8">
      <c r="G106">
        <f>IF($D106="", "", IF($D106="Receipt", $C106*VLOOKUP($B106, Items!$A:$E, 5, FALSE), IF($D106="Consumption", -$C106*VLOOKUP($B106, Items!$A:$E, 5, FALSE), "")))</f>
        <v>0</v>
      </c>
      <c r="H106">
        <f>IF($D106="Consumption", -$C106*VLOOKUP($B106, Items!$A:$E, 5, FALSE), 0)</f>
        <v>0</v>
      </c>
    </row>
    <row r="107" spans="7:8">
      <c r="G107">
        <f>IF($D107="", "", IF($D107="Receipt", $C107*VLOOKUP($B107, Items!$A:$E, 5, FALSE), IF($D107="Consumption", -$C107*VLOOKUP($B107, Items!$A:$E, 5, FALSE), "")))</f>
        <v>0</v>
      </c>
      <c r="H107">
        <f>IF($D107="Consumption", -$C107*VLOOKUP($B107, Items!$A:$E, 5, FALSE), 0)</f>
        <v>0</v>
      </c>
    </row>
    <row r="108" spans="7:8">
      <c r="G108">
        <f>IF($D108="", "", IF($D108="Receipt", $C108*VLOOKUP($B108, Items!$A:$E, 5, FALSE), IF($D108="Consumption", -$C108*VLOOKUP($B108, Items!$A:$E, 5, FALSE), "")))</f>
        <v>0</v>
      </c>
      <c r="H108">
        <f>IF($D108="Consumption", -$C108*VLOOKUP($B108, Items!$A:$E, 5, FALSE), 0)</f>
        <v>0</v>
      </c>
    </row>
    <row r="109" spans="7:8">
      <c r="G109">
        <f>IF($D109="", "", IF($D109="Receipt", $C109*VLOOKUP($B109, Items!$A:$E, 5, FALSE), IF($D109="Consumption", -$C109*VLOOKUP($B109, Items!$A:$E, 5, FALSE), "")))</f>
        <v>0</v>
      </c>
      <c r="H109">
        <f>IF($D109="Consumption", -$C109*VLOOKUP($B109, Items!$A:$E, 5, FALSE), 0)</f>
        <v>0</v>
      </c>
    </row>
    <row r="110" spans="7:8">
      <c r="G110">
        <f>IF($D110="", "", IF($D110="Receipt", $C110*VLOOKUP($B110, Items!$A:$E, 5, FALSE), IF($D110="Consumption", -$C110*VLOOKUP($B110, Items!$A:$E, 5, FALSE), "")))</f>
        <v>0</v>
      </c>
      <c r="H110">
        <f>IF($D110="Consumption", -$C110*VLOOKUP($B110, Items!$A:$E, 5, FALSE), 0)</f>
        <v>0</v>
      </c>
    </row>
    <row r="111" spans="7:8">
      <c r="G111">
        <f>IF($D111="", "", IF($D111="Receipt", $C111*VLOOKUP($B111, Items!$A:$E, 5, FALSE), IF($D111="Consumption", -$C111*VLOOKUP($B111, Items!$A:$E, 5, FALSE), "")))</f>
        <v>0</v>
      </c>
      <c r="H111">
        <f>IF($D111="Consumption", -$C111*VLOOKUP($B111, Items!$A:$E, 5, FALSE), 0)</f>
        <v>0</v>
      </c>
    </row>
    <row r="112" spans="7:8">
      <c r="G112">
        <f>IF($D112="", "", IF($D112="Receipt", $C112*VLOOKUP($B112, Items!$A:$E, 5, FALSE), IF($D112="Consumption", -$C112*VLOOKUP($B112, Items!$A:$E, 5, FALSE), "")))</f>
        <v>0</v>
      </c>
      <c r="H112">
        <f>IF($D112="Consumption", -$C112*VLOOKUP($B112, Items!$A:$E, 5, FALSE), 0)</f>
        <v>0</v>
      </c>
    </row>
    <row r="113" spans="7:8">
      <c r="G113">
        <f>IF($D113="", "", IF($D113="Receipt", $C113*VLOOKUP($B113, Items!$A:$E, 5, FALSE), IF($D113="Consumption", -$C113*VLOOKUP($B113, Items!$A:$E, 5, FALSE), "")))</f>
        <v>0</v>
      </c>
      <c r="H113">
        <f>IF($D113="Consumption", -$C113*VLOOKUP($B113, Items!$A:$E, 5, FALSE), 0)</f>
        <v>0</v>
      </c>
    </row>
    <row r="114" spans="7:8">
      <c r="G114">
        <f>IF($D114="", "", IF($D114="Receipt", $C114*VLOOKUP($B114, Items!$A:$E, 5, FALSE), IF($D114="Consumption", -$C114*VLOOKUP($B114, Items!$A:$E, 5, FALSE), "")))</f>
        <v>0</v>
      </c>
      <c r="H114">
        <f>IF($D114="Consumption", -$C114*VLOOKUP($B114, Items!$A:$E, 5, FALSE), 0)</f>
        <v>0</v>
      </c>
    </row>
    <row r="115" spans="7:8">
      <c r="G115">
        <f>IF($D115="", "", IF($D115="Receipt", $C115*VLOOKUP($B115, Items!$A:$E, 5, FALSE), IF($D115="Consumption", -$C115*VLOOKUP($B115, Items!$A:$E, 5, FALSE), "")))</f>
        <v>0</v>
      </c>
      <c r="H115">
        <f>IF($D115="Consumption", -$C115*VLOOKUP($B115, Items!$A:$E, 5, FALSE), 0)</f>
        <v>0</v>
      </c>
    </row>
    <row r="116" spans="7:8">
      <c r="G116">
        <f>IF($D116="", "", IF($D116="Receipt", $C116*VLOOKUP($B116, Items!$A:$E, 5, FALSE), IF($D116="Consumption", -$C116*VLOOKUP($B116, Items!$A:$E, 5, FALSE), "")))</f>
        <v>0</v>
      </c>
      <c r="H116">
        <f>IF($D116="Consumption", -$C116*VLOOKUP($B116, Items!$A:$E, 5, FALSE), 0)</f>
        <v>0</v>
      </c>
    </row>
    <row r="117" spans="7:8">
      <c r="G117">
        <f>IF($D117="", "", IF($D117="Receipt", $C117*VLOOKUP($B117, Items!$A:$E, 5, FALSE), IF($D117="Consumption", -$C117*VLOOKUP($B117, Items!$A:$E, 5, FALSE), "")))</f>
        <v>0</v>
      </c>
      <c r="H117">
        <f>IF($D117="Consumption", -$C117*VLOOKUP($B117, Items!$A:$E, 5, FALSE), 0)</f>
        <v>0</v>
      </c>
    </row>
    <row r="118" spans="7:8">
      <c r="G118">
        <f>IF($D118="", "", IF($D118="Receipt", $C118*VLOOKUP($B118, Items!$A:$E, 5, FALSE), IF($D118="Consumption", -$C118*VLOOKUP($B118, Items!$A:$E, 5, FALSE), "")))</f>
        <v>0</v>
      </c>
      <c r="H118">
        <f>IF($D118="Consumption", -$C118*VLOOKUP($B118, Items!$A:$E, 5, FALSE), 0)</f>
        <v>0</v>
      </c>
    </row>
    <row r="119" spans="7:8">
      <c r="G119">
        <f>IF($D119="", "", IF($D119="Receipt", $C119*VLOOKUP($B119, Items!$A:$E, 5, FALSE), IF($D119="Consumption", -$C119*VLOOKUP($B119, Items!$A:$E, 5, FALSE), "")))</f>
        <v>0</v>
      </c>
      <c r="H119">
        <f>IF($D119="Consumption", -$C119*VLOOKUP($B119, Items!$A:$E, 5, FALSE), 0)</f>
        <v>0</v>
      </c>
    </row>
    <row r="120" spans="7:8">
      <c r="G120">
        <f>IF($D120="", "", IF($D120="Receipt", $C120*VLOOKUP($B120, Items!$A:$E, 5, FALSE), IF($D120="Consumption", -$C120*VLOOKUP($B120, Items!$A:$E, 5, FALSE), "")))</f>
        <v>0</v>
      </c>
      <c r="H120">
        <f>IF($D120="Consumption", -$C120*VLOOKUP($B120, Items!$A:$E, 5, FALSE), 0)</f>
        <v>0</v>
      </c>
    </row>
    <row r="121" spans="7:8">
      <c r="G121">
        <f>IF($D121="", "", IF($D121="Receipt", $C121*VLOOKUP($B121, Items!$A:$E, 5, FALSE), IF($D121="Consumption", -$C121*VLOOKUP($B121, Items!$A:$E, 5, FALSE), "")))</f>
        <v>0</v>
      </c>
      <c r="H121">
        <f>IF($D121="Consumption", -$C121*VLOOKUP($B121, Items!$A:$E, 5, FALSE), 0)</f>
        <v>0</v>
      </c>
    </row>
    <row r="122" spans="7:8">
      <c r="G122">
        <f>IF($D122="", "", IF($D122="Receipt", $C122*VLOOKUP($B122, Items!$A:$E, 5, FALSE), IF($D122="Consumption", -$C122*VLOOKUP($B122, Items!$A:$E, 5, FALSE), "")))</f>
        <v>0</v>
      </c>
      <c r="H122">
        <f>IF($D122="Consumption", -$C122*VLOOKUP($B122, Items!$A:$E, 5, FALSE), 0)</f>
        <v>0</v>
      </c>
    </row>
    <row r="123" spans="7:8">
      <c r="G123">
        <f>IF($D123="", "", IF($D123="Receipt", $C123*VLOOKUP($B123, Items!$A:$E, 5, FALSE), IF($D123="Consumption", -$C123*VLOOKUP($B123, Items!$A:$E, 5, FALSE), "")))</f>
        <v>0</v>
      </c>
      <c r="H123">
        <f>IF($D123="Consumption", -$C123*VLOOKUP($B123, Items!$A:$E, 5, FALSE), 0)</f>
        <v>0</v>
      </c>
    </row>
    <row r="124" spans="7:8">
      <c r="G124">
        <f>IF($D124="", "", IF($D124="Receipt", $C124*VLOOKUP($B124, Items!$A:$E, 5, FALSE), IF($D124="Consumption", -$C124*VLOOKUP($B124, Items!$A:$E, 5, FALSE), "")))</f>
        <v>0</v>
      </c>
      <c r="H124">
        <f>IF($D124="Consumption", -$C124*VLOOKUP($B124, Items!$A:$E, 5, FALSE), 0)</f>
        <v>0</v>
      </c>
    </row>
    <row r="125" spans="7:8">
      <c r="G125">
        <f>IF($D125="", "", IF($D125="Receipt", $C125*VLOOKUP($B125, Items!$A:$E, 5, FALSE), IF($D125="Consumption", -$C125*VLOOKUP($B125, Items!$A:$E, 5, FALSE), "")))</f>
        <v>0</v>
      </c>
      <c r="H125">
        <f>IF($D125="Consumption", -$C125*VLOOKUP($B125, Items!$A:$E, 5, FALSE), 0)</f>
        <v>0</v>
      </c>
    </row>
    <row r="126" spans="7:8">
      <c r="G126">
        <f>IF($D126="", "", IF($D126="Receipt", $C126*VLOOKUP($B126, Items!$A:$E, 5, FALSE), IF($D126="Consumption", -$C126*VLOOKUP($B126, Items!$A:$E, 5, FALSE), "")))</f>
        <v>0</v>
      </c>
      <c r="H126">
        <f>IF($D126="Consumption", -$C126*VLOOKUP($B126, Items!$A:$E, 5, FALSE), 0)</f>
        <v>0</v>
      </c>
    </row>
    <row r="127" spans="7:8">
      <c r="G127">
        <f>IF($D127="", "", IF($D127="Receipt", $C127*VLOOKUP($B127, Items!$A:$E, 5, FALSE), IF($D127="Consumption", -$C127*VLOOKUP($B127, Items!$A:$E, 5, FALSE), "")))</f>
        <v>0</v>
      </c>
      <c r="H127">
        <f>IF($D127="Consumption", -$C127*VLOOKUP($B127, Items!$A:$E, 5, FALSE), 0)</f>
        <v>0</v>
      </c>
    </row>
    <row r="128" spans="7:8">
      <c r="G128">
        <f>IF($D128="", "", IF($D128="Receipt", $C128*VLOOKUP($B128, Items!$A:$E, 5, FALSE), IF($D128="Consumption", -$C128*VLOOKUP($B128, Items!$A:$E, 5, FALSE), "")))</f>
        <v>0</v>
      </c>
      <c r="H128">
        <f>IF($D128="Consumption", -$C128*VLOOKUP($B128, Items!$A:$E, 5, FALSE), 0)</f>
        <v>0</v>
      </c>
    </row>
    <row r="129" spans="7:8">
      <c r="G129">
        <f>IF($D129="", "", IF($D129="Receipt", $C129*VLOOKUP($B129, Items!$A:$E, 5, FALSE), IF($D129="Consumption", -$C129*VLOOKUP($B129, Items!$A:$E, 5, FALSE), "")))</f>
        <v>0</v>
      </c>
      <c r="H129">
        <f>IF($D129="Consumption", -$C129*VLOOKUP($B129, Items!$A:$E, 5, FALSE), 0)</f>
        <v>0</v>
      </c>
    </row>
    <row r="130" spans="7:8">
      <c r="G130">
        <f>IF($D130="", "", IF($D130="Receipt", $C130*VLOOKUP($B130, Items!$A:$E, 5, FALSE), IF($D130="Consumption", -$C130*VLOOKUP($B130, Items!$A:$E, 5, FALSE), "")))</f>
        <v>0</v>
      </c>
      <c r="H130">
        <f>IF($D130="Consumption", -$C130*VLOOKUP($B130, Items!$A:$E, 5, FALSE), 0)</f>
        <v>0</v>
      </c>
    </row>
    <row r="131" spans="7:8">
      <c r="G131">
        <f>IF($D131="", "", IF($D131="Receipt", $C131*VLOOKUP($B131, Items!$A:$E, 5, FALSE), IF($D131="Consumption", -$C131*VLOOKUP($B131, Items!$A:$E, 5, FALSE), "")))</f>
        <v>0</v>
      </c>
      <c r="H131">
        <f>IF($D131="Consumption", -$C131*VLOOKUP($B131, Items!$A:$E, 5, FALSE), 0)</f>
        <v>0</v>
      </c>
    </row>
    <row r="132" spans="7:8">
      <c r="G132">
        <f>IF($D132="", "", IF($D132="Receipt", $C132*VLOOKUP($B132, Items!$A:$E, 5, FALSE), IF($D132="Consumption", -$C132*VLOOKUP($B132, Items!$A:$E, 5, FALSE), "")))</f>
        <v>0</v>
      </c>
      <c r="H132">
        <f>IF($D132="Consumption", -$C132*VLOOKUP($B132, Items!$A:$E, 5, FALSE), 0)</f>
        <v>0</v>
      </c>
    </row>
    <row r="133" spans="7:8">
      <c r="G133">
        <f>IF($D133="", "", IF($D133="Receipt", $C133*VLOOKUP($B133, Items!$A:$E, 5, FALSE), IF($D133="Consumption", -$C133*VLOOKUP($B133, Items!$A:$E, 5, FALSE), "")))</f>
        <v>0</v>
      </c>
      <c r="H133">
        <f>IF($D133="Consumption", -$C133*VLOOKUP($B133, Items!$A:$E, 5, FALSE), 0)</f>
        <v>0</v>
      </c>
    </row>
    <row r="134" spans="7:8">
      <c r="G134">
        <f>IF($D134="", "", IF($D134="Receipt", $C134*VLOOKUP($B134, Items!$A:$E, 5, FALSE), IF($D134="Consumption", -$C134*VLOOKUP($B134, Items!$A:$E, 5, FALSE), "")))</f>
        <v>0</v>
      </c>
      <c r="H134">
        <f>IF($D134="Consumption", -$C134*VLOOKUP($B134, Items!$A:$E, 5, FALSE), 0)</f>
        <v>0</v>
      </c>
    </row>
    <row r="135" spans="7:8">
      <c r="G135">
        <f>IF($D135="", "", IF($D135="Receipt", $C135*VLOOKUP($B135, Items!$A:$E, 5, FALSE), IF($D135="Consumption", -$C135*VLOOKUP($B135, Items!$A:$E, 5, FALSE), "")))</f>
        <v>0</v>
      </c>
      <c r="H135">
        <f>IF($D135="Consumption", -$C135*VLOOKUP($B135, Items!$A:$E, 5, FALSE), 0)</f>
        <v>0</v>
      </c>
    </row>
    <row r="136" spans="7:8">
      <c r="G136">
        <f>IF($D136="", "", IF($D136="Receipt", $C136*VLOOKUP($B136, Items!$A:$E, 5, FALSE), IF($D136="Consumption", -$C136*VLOOKUP($B136, Items!$A:$E, 5, FALSE), "")))</f>
        <v>0</v>
      </c>
      <c r="H136">
        <f>IF($D136="Consumption", -$C136*VLOOKUP($B136, Items!$A:$E, 5, FALSE), 0)</f>
        <v>0</v>
      </c>
    </row>
    <row r="137" spans="7:8">
      <c r="G137">
        <f>IF($D137="", "", IF($D137="Receipt", $C137*VLOOKUP($B137, Items!$A:$E, 5, FALSE), IF($D137="Consumption", -$C137*VLOOKUP($B137, Items!$A:$E, 5, FALSE), "")))</f>
        <v>0</v>
      </c>
      <c r="H137">
        <f>IF($D137="Consumption", -$C137*VLOOKUP($B137, Items!$A:$E, 5, FALSE), 0)</f>
        <v>0</v>
      </c>
    </row>
    <row r="138" spans="7:8">
      <c r="G138">
        <f>IF($D138="", "", IF($D138="Receipt", $C138*VLOOKUP($B138, Items!$A:$E, 5, FALSE), IF($D138="Consumption", -$C138*VLOOKUP($B138, Items!$A:$E, 5, FALSE), "")))</f>
        <v>0</v>
      </c>
      <c r="H138">
        <f>IF($D138="Consumption", -$C138*VLOOKUP($B138, Items!$A:$E, 5, FALSE), 0)</f>
        <v>0</v>
      </c>
    </row>
    <row r="139" spans="7:8">
      <c r="G139">
        <f>IF($D139="", "", IF($D139="Receipt", $C139*VLOOKUP($B139, Items!$A:$E, 5, FALSE), IF($D139="Consumption", -$C139*VLOOKUP($B139, Items!$A:$E, 5, FALSE), "")))</f>
        <v>0</v>
      </c>
      <c r="H139">
        <f>IF($D139="Consumption", -$C139*VLOOKUP($B139, Items!$A:$E, 5, FALSE), 0)</f>
        <v>0</v>
      </c>
    </row>
    <row r="140" spans="7:8">
      <c r="G140">
        <f>IF($D140="", "", IF($D140="Receipt", $C140*VLOOKUP($B140, Items!$A:$E, 5, FALSE), IF($D140="Consumption", -$C140*VLOOKUP($B140, Items!$A:$E, 5, FALSE), "")))</f>
        <v>0</v>
      </c>
      <c r="H140">
        <f>IF($D140="Consumption", -$C140*VLOOKUP($B140, Items!$A:$E, 5, FALSE), 0)</f>
        <v>0</v>
      </c>
    </row>
    <row r="141" spans="7:8">
      <c r="G141">
        <f>IF($D141="", "", IF($D141="Receipt", $C141*VLOOKUP($B141, Items!$A:$E, 5, FALSE), IF($D141="Consumption", -$C141*VLOOKUP($B141, Items!$A:$E, 5, FALSE), "")))</f>
        <v>0</v>
      </c>
      <c r="H141">
        <f>IF($D141="Consumption", -$C141*VLOOKUP($B141, Items!$A:$E, 5, FALSE), 0)</f>
        <v>0</v>
      </c>
    </row>
    <row r="142" spans="7:8">
      <c r="G142">
        <f>IF($D142="", "", IF($D142="Receipt", $C142*VLOOKUP($B142, Items!$A:$E, 5, FALSE), IF($D142="Consumption", -$C142*VLOOKUP($B142, Items!$A:$E, 5, FALSE), "")))</f>
        <v>0</v>
      </c>
      <c r="H142">
        <f>IF($D142="Consumption", -$C142*VLOOKUP($B142, Items!$A:$E, 5, FALSE), 0)</f>
        <v>0</v>
      </c>
    </row>
    <row r="143" spans="7:8">
      <c r="G143">
        <f>IF($D143="", "", IF($D143="Receipt", $C143*VLOOKUP($B143, Items!$A:$E, 5, FALSE), IF($D143="Consumption", -$C143*VLOOKUP($B143, Items!$A:$E, 5, FALSE), "")))</f>
        <v>0</v>
      </c>
      <c r="H143">
        <f>IF($D143="Consumption", -$C143*VLOOKUP($B143, Items!$A:$E, 5, FALSE), 0)</f>
        <v>0</v>
      </c>
    </row>
    <row r="144" spans="7:8">
      <c r="G144">
        <f>IF($D144="", "", IF($D144="Receipt", $C144*VLOOKUP($B144, Items!$A:$E, 5, FALSE), IF($D144="Consumption", -$C144*VLOOKUP($B144, Items!$A:$E, 5, FALSE), "")))</f>
        <v>0</v>
      </c>
      <c r="H144">
        <f>IF($D144="Consumption", -$C144*VLOOKUP($B144, Items!$A:$E, 5, FALSE), 0)</f>
        <v>0</v>
      </c>
    </row>
    <row r="145" spans="7:8">
      <c r="G145">
        <f>IF($D145="", "", IF($D145="Receipt", $C145*VLOOKUP($B145, Items!$A:$E, 5, FALSE), IF($D145="Consumption", -$C145*VLOOKUP($B145, Items!$A:$E, 5, FALSE), "")))</f>
        <v>0</v>
      </c>
      <c r="H145">
        <f>IF($D145="Consumption", -$C145*VLOOKUP($B145, Items!$A:$E, 5, FALSE), 0)</f>
        <v>0</v>
      </c>
    </row>
    <row r="146" spans="7:8">
      <c r="G146">
        <f>IF($D146="", "", IF($D146="Receipt", $C146*VLOOKUP($B146, Items!$A:$E, 5, FALSE), IF($D146="Consumption", -$C146*VLOOKUP($B146, Items!$A:$E, 5, FALSE), "")))</f>
        <v>0</v>
      </c>
      <c r="H146">
        <f>IF($D146="Consumption", -$C146*VLOOKUP($B146, Items!$A:$E, 5, FALSE), 0)</f>
        <v>0</v>
      </c>
    </row>
    <row r="147" spans="7:8">
      <c r="G147">
        <f>IF($D147="", "", IF($D147="Receipt", $C147*VLOOKUP($B147, Items!$A:$E, 5, FALSE), IF($D147="Consumption", -$C147*VLOOKUP($B147, Items!$A:$E, 5, FALSE), "")))</f>
        <v>0</v>
      </c>
      <c r="H147">
        <f>IF($D147="Consumption", -$C147*VLOOKUP($B147, Items!$A:$E, 5, FALSE), 0)</f>
        <v>0</v>
      </c>
    </row>
    <row r="148" spans="7:8">
      <c r="G148">
        <f>IF($D148="", "", IF($D148="Receipt", $C148*VLOOKUP($B148, Items!$A:$E, 5, FALSE), IF($D148="Consumption", -$C148*VLOOKUP($B148, Items!$A:$E, 5, FALSE), "")))</f>
        <v>0</v>
      </c>
      <c r="H148">
        <f>IF($D148="Consumption", -$C148*VLOOKUP($B148, Items!$A:$E, 5, FALSE), 0)</f>
        <v>0</v>
      </c>
    </row>
    <row r="149" spans="7:8">
      <c r="G149">
        <f>IF($D149="", "", IF($D149="Receipt", $C149*VLOOKUP($B149, Items!$A:$E, 5, FALSE), IF($D149="Consumption", -$C149*VLOOKUP($B149, Items!$A:$E, 5, FALSE), "")))</f>
        <v>0</v>
      </c>
      <c r="H149">
        <f>IF($D149="Consumption", -$C149*VLOOKUP($B149, Items!$A:$E, 5, FALSE), 0)</f>
        <v>0</v>
      </c>
    </row>
    <row r="150" spans="7:8">
      <c r="G150">
        <f>IF($D150="", "", IF($D150="Receipt", $C150*VLOOKUP($B150, Items!$A:$E, 5, FALSE), IF($D150="Consumption", -$C150*VLOOKUP($B150, Items!$A:$E, 5, FALSE), "")))</f>
        <v>0</v>
      </c>
      <c r="H150">
        <f>IF($D150="Consumption", -$C150*VLOOKUP($B150, Items!$A:$E, 5, FALSE), 0)</f>
        <v>0</v>
      </c>
    </row>
    <row r="151" spans="7:8">
      <c r="G151">
        <f>IF($D151="", "", IF($D151="Receipt", $C151*VLOOKUP($B151, Items!$A:$E, 5, FALSE), IF($D151="Consumption", -$C151*VLOOKUP($B151, Items!$A:$E, 5, FALSE), "")))</f>
        <v>0</v>
      </c>
      <c r="H151">
        <f>IF($D151="Consumption", -$C151*VLOOKUP($B151, Items!$A:$E, 5, FALSE), 0)</f>
        <v>0</v>
      </c>
    </row>
    <row r="152" spans="7:8">
      <c r="G152">
        <f>IF($D152="", "", IF($D152="Receipt", $C152*VLOOKUP($B152, Items!$A:$E, 5, FALSE), IF($D152="Consumption", -$C152*VLOOKUP($B152, Items!$A:$E, 5, FALSE), "")))</f>
        <v>0</v>
      </c>
      <c r="H152">
        <f>IF($D152="Consumption", -$C152*VLOOKUP($B152, Items!$A:$E, 5, FALSE), 0)</f>
        <v>0</v>
      </c>
    </row>
    <row r="153" spans="7:8">
      <c r="G153">
        <f>IF($D153="", "", IF($D153="Receipt", $C153*VLOOKUP($B153, Items!$A:$E, 5, FALSE), IF($D153="Consumption", -$C153*VLOOKUP($B153, Items!$A:$E, 5, FALSE), "")))</f>
        <v>0</v>
      </c>
      <c r="H153">
        <f>IF($D153="Consumption", -$C153*VLOOKUP($B153, Items!$A:$E, 5, FALSE), 0)</f>
        <v>0</v>
      </c>
    </row>
    <row r="154" spans="7:8">
      <c r="G154">
        <f>IF($D154="", "", IF($D154="Receipt", $C154*VLOOKUP($B154, Items!$A:$E, 5, FALSE), IF($D154="Consumption", -$C154*VLOOKUP($B154, Items!$A:$E, 5, FALSE), "")))</f>
        <v>0</v>
      </c>
      <c r="H154">
        <f>IF($D154="Consumption", -$C154*VLOOKUP($B154, Items!$A:$E, 5, FALSE), 0)</f>
        <v>0</v>
      </c>
    </row>
    <row r="155" spans="7:8">
      <c r="G155">
        <f>IF($D155="", "", IF($D155="Receipt", $C155*VLOOKUP($B155, Items!$A:$E, 5, FALSE), IF($D155="Consumption", -$C155*VLOOKUP($B155, Items!$A:$E, 5, FALSE), "")))</f>
        <v>0</v>
      </c>
      <c r="H155">
        <f>IF($D155="Consumption", -$C155*VLOOKUP($B155, Items!$A:$E, 5, FALSE), 0)</f>
        <v>0</v>
      </c>
    </row>
    <row r="156" spans="7:8">
      <c r="G156">
        <f>IF($D156="", "", IF($D156="Receipt", $C156*VLOOKUP($B156, Items!$A:$E, 5, FALSE), IF($D156="Consumption", -$C156*VLOOKUP($B156, Items!$A:$E, 5, FALSE), "")))</f>
        <v>0</v>
      </c>
      <c r="H156">
        <f>IF($D156="Consumption", -$C156*VLOOKUP($B156, Items!$A:$E, 5, FALSE), 0)</f>
        <v>0</v>
      </c>
    </row>
    <row r="157" spans="7:8">
      <c r="G157">
        <f>IF($D157="", "", IF($D157="Receipt", $C157*VLOOKUP($B157, Items!$A:$E, 5, FALSE), IF($D157="Consumption", -$C157*VLOOKUP($B157, Items!$A:$E, 5, FALSE), "")))</f>
        <v>0</v>
      </c>
      <c r="H157">
        <f>IF($D157="Consumption", -$C157*VLOOKUP($B157, Items!$A:$E, 5, FALSE), 0)</f>
        <v>0</v>
      </c>
    </row>
    <row r="158" spans="7:8">
      <c r="G158">
        <f>IF($D158="", "", IF($D158="Receipt", $C158*VLOOKUP($B158, Items!$A:$E, 5, FALSE), IF($D158="Consumption", -$C158*VLOOKUP($B158, Items!$A:$E, 5, FALSE), "")))</f>
        <v>0</v>
      </c>
      <c r="H158">
        <f>IF($D158="Consumption", -$C158*VLOOKUP($B158, Items!$A:$E, 5, FALSE), 0)</f>
        <v>0</v>
      </c>
    </row>
    <row r="159" spans="7:8">
      <c r="G159">
        <f>IF($D159="", "", IF($D159="Receipt", $C159*VLOOKUP($B159, Items!$A:$E, 5, FALSE), IF($D159="Consumption", -$C159*VLOOKUP($B159, Items!$A:$E, 5, FALSE), "")))</f>
        <v>0</v>
      </c>
      <c r="H159">
        <f>IF($D159="Consumption", -$C159*VLOOKUP($B159, Items!$A:$E, 5, FALSE), 0)</f>
        <v>0</v>
      </c>
    </row>
    <row r="160" spans="7:8">
      <c r="G160">
        <f>IF($D160="", "", IF($D160="Receipt", $C160*VLOOKUP($B160, Items!$A:$E, 5, FALSE), IF($D160="Consumption", -$C160*VLOOKUP($B160, Items!$A:$E, 5, FALSE), "")))</f>
        <v>0</v>
      </c>
      <c r="H160">
        <f>IF($D160="Consumption", -$C160*VLOOKUP($B160, Items!$A:$E, 5, FALSE), 0)</f>
        <v>0</v>
      </c>
    </row>
    <row r="161" spans="7:8">
      <c r="G161">
        <f>IF($D161="", "", IF($D161="Receipt", $C161*VLOOKUP($B161, Items!$A:$E, 5, FALSE), IF($D161="Consumption", -$C161*VLOOKUP($B161, Items!$A:$E, 5, FALSE), "")))</f>
        <v>0</v>
      </c>
      <c r="H161">
        <f>IF($D161="Consumption", -$C161*VLOOKUP($B161, Items!$A:$E, 5, FALSE), 0)</f>
        <v>0</v>
      </c>
    </row>
    <row r="162" spans="7:8">
      <c r="G162">
        <f>IF($D162="", "", IF($D162="Receipt", $C162*VLOOKUP($B162, Items!$A:$E, 5, FALSE), IF($D162="Consumption", -$C162*VLOOKUP($B162, Items!$A:$E, 5, FALSE), "")))</f>
        <v>0</v>
      </c>
      <c r="H162">
        <f>IF($D162="Consumption", -$C162*VLOOKUP($B162, Items!$A:$E, 5, FALSE), 0)</f>
        <v>0</v>
      </c>
    </row>
    <row r="163" spans="7:8">
      <c r="G163">
        <f>IF($D163="", "", IF($D163="Receipt", $C163*VLOOKUP($B163, Items!$A:$E, 5, FALSE), IF($D163="Consumption", -$C163*VLOOKUP($B163, Items!$A:$E, 5, FALSE), "")))</f>
        <v>0</v>
      </c>
      <c r="H163">
        <f>IF($D163="Consumption", -$C163*VLOOKUP($B163, Items!$A:$E, 5, FALSE), 0)</f>
        <v>0</v>
      </c>
    </row>
    <row r="164" spans="7:8">
      <c r="G164">
        <f>IF($D164="", "", IF($D164="Receipt", $C164*VLOOKUP($B164, Items!$A:$E, 5, FALSE), IF($D164="Consumption", -$C164*VLOOKUP($B164, Items!$A:$E, 5, FALSE), "")))</f>
        <v>0</v>
      </c>
      <c r="H164">
        <f>IF($D164="Consumption", -$C164*VLOOKUP($B164, Items!$A:$E, 5, FALSE), 0)</f>
        <v>0</v>
      </c>
    </row>
    <row r="165" spans="7:8">
      <c r="G165">
        <f>IF($D165="", "", IF($D165="Receipt", $C165*VLOOKUP($B165, Items!$A:$E, 5, FALSE), IF($D165="Consumption", -$C165*VLOOKUP($B165, Items!$A:$E, 5, FALSE), "")))</f>
        <v>0</v>
      </c>
      <c r="H165">
        <f>IF($D165="Consumption", -$C165*VLOOKUP($B165, Items!$A:$E, 5, FALSE), 0)</f>
        <v>0</v>
      </c>
    </row>
    <row r="166" spans="7:8">
      <c r="G166">
        <f>IF($D166="", "", IF($D166="Receipt", $C166*VLOOKUP($B166, Items!$A:$E, 5, FALSE), IF($D166="Consumption", -$C166*VLOOKUP($B166, Items!$A:$E, 5, FALSE), "")))</f>
        <v>0</v>
      </c>
      <c r="H166">
        <f>IF($D166="Consumption", -$C166*VLOOKUP($B166, Items!$A:$E, 5, FALSE), 0)</f>
        <v>0</v>
      </c>
    </row>
    <row r="167" spans="7:8">
      <c r="G167">
        <f>IF($D167="", "", IF($D167="Receipt", $C167*VLOOKUP($B167, Items!$A:$E, 5, FALSE), IF($D167="Consumption", -$C167*VLOOKUP($B167, Items!$A:$E, 5, FALSE), "")))</f>
        <v>0</v>
      </c>
      <c r="H167">
        <f>IF($D167="Consumption", -$C167*VLOOKUP($B167, Items!$A:$E, 5, FALSE), 0)</f>
        <v>0</v>
      </c>
    </row>
    <row r="168" spans="7:8">
      <c r="G168">
        <f>IF($D168="", "", IF($D168="Receipt", $C168*VLOOKUP($B168, Items!$A:$E, 5, FALSE), IF($D168="Consumption", -$C168*VLOOKUP($B168, Items!$A:$E, 5, FALSE), "")))</f>
        <v>0</v>
      </c>
      <c r="H168">
        <f>IF($D168="Consumption", -$C168*VLOOKUP($B168, Items!$A:$E, 5, FALSE), 0)</f>
        <v>0</v>
      </c>
    </row>
    <row r="169" spans="7:8">
      <c r="G169">
        <f>IF($D169="", "", IF($D169="Receipt", $C169*VLOOKUP($B169, Items!$A:$E, 5, FALSE), IF($D169="Consumption", -$C169*VLOOKUP($B169, Items!$A:$E, 5, FALSE), "")))</f>
        <v>0</v>
      </c>
      <c r="H169">
        <f>IF($D169="Consumption", -$C169*VLOOKUP($B169, Items!$A:$E, 5, FALSE), 0)</f>
        <v>0</v>
      </c>
    </row>
    <row r="170" spans="7:8">
      <c r="G170">
        <f>IF($D170="", "", IF($D170="Receipt", $C170*VLOOKUP($B170, Items!$A:$E, 5, FALSE), IF($D170="Consumption", -$C170*VLOOKUP($B170, Items!$A:$E, 5, FALSE), "")))</f>
        <v>0</v>
      </c>
      <c r="H170">
        <f>IF($D170="Consumption", -$C170*VLOOKUP($B170, Items!$A:$E, 5, FALSE), 0)</f>
        <v>0</v>
      </c>
    </row>
    <row r="171" spans="7:8">
      <c r="G171">
        <f>IF($D171="", "", IF($D171="Receipt", $C171*VLOOKUP($B171, Items!$A:$E, 5, FALSE), IF($D171="Consumption", -$C171*VLOOKUP($B171, Items!$A:$E, 5, FALSE), "")))</f>
        <v>0</v>
      </c>
      <c r="H171">
        <f>IF($D171="Consumption", -$C171*VLOOKUP($B171, Items!$A:$E, 5, FALSE), 0)</f>
        <v>0</v>
      </c>
    </row>
    <row r="172" spans="7:8">
      <c r="G172">
        <f>IF($D172="", "", IF($D172="Receipt", $C172*VLOOKUP($B172, Items!$A:$E, 5, FALSE), IF($D172="Consumption", -$C172*VLOOKUP($B172, Items!$A:$E, 5, FALSE), "")))</f>
        <v>0</v>
      </c>
      <c r="H172">
        <f>IF($D172="Consumption", -$C172*VLOOKUP($B172, Items!$A:$E, 5, FALSE), 0)</f>
        <v>0</v>
      </c>
    </row>
    <row r="173" spans="7:8">
      <c r="G173">
        <f>IF($D173="", "", IF($D173="Receipt", $C173*VLOOKUP($B173, Items!$A:$E, 5, FALSE), IF($D173="Consumption", -$C173*VLOOKUP($B173, Items!$A:$E, 5, FALSE), "")))</f>
        <v>0</v>
      </c>
      <c r="H173">
        <f>IF($D173="Consumption", -$C173*VLOOKUP($B173, Items!$A:$E, 5, FALSE), 0)</f>
        <v>0</v>
      </c>
    </row>
    <row r="174" spans="7:8">
      <c r="G174">
        <f>IF($D174="", "", IF($D174="Receipt", $C174*VLOOKUP($B174, Items!$A:$E, 5, FALSE), IF($D174="Consumption", -$C174*VLOOKUP($B174, Items!$A:$E, 5, FALSE), "")))</f>
        <v>0</v>
      </c>
      <c r="H174">
        <f>IF($D174="Consumption", -$C174*VLOOKUP($B174, Items!$A:$E, 5, FALSE), 0)</f>
        <v>0</v>
      </c>
    </row>
    <row r="175" spans="7:8">
      <c r="G175">
        <f>IF($D175="", "", IF($D175="Receipt", $C175*VLOOKUP($B175, Items!$A:$E, 5, FALSE), IF($D175="Consumption", -$C175*VLOOKUP($B175, Items!$A:$E, 5, FALSE), "")))</f>
        <v>0</v>
      </c>
      <c r="H175">
        <f>IF($D175="Consumption", -$C175*VLOOKUP($B175, Items!$A:$E, 5, FALSE), 0)</f>
        <v>0</v>
      </c>
    </row>
    <row r="176" spans="7:8">
      <c r="G176">
        <f>IF($D176="", "", IF($D176="Receipt", $C176*VLOOKUP($B176, Items!$A:$E, 5, FALSE), IF($D176="Consumption", -$C176*VLOOKUP($B176, Items!$A:$E, 5, FALSE), "")))</f>
        <v>0</v>
      </c>
      <c r="H176">
        <f>IF($D176="Consumption", -$C176*VLOOKUP($B176, Items!$A:$E, 5, FALSE), 0)</f>
        <v>0</v>
      </c>
    </row>
    <row r="177" spans="7:8">
      <c r="G177">
        <f>IF($D177="", "", IF($D177="Receipt", $C177*VLOOKUP($B177, Items!$A:$E, 5, FALSE), IF($D177="Consumption", -$C177*VLOOKUP($B177, Items!$A:$E, 5, FALSE), "")))</f>
        <v>0</v>
      </c>
      <c r="H177">
        <f>IF($D177="Consumption", -$C177*VLOOKUP($B177, Items!$A:$E, 5, FALSE), 0)</f>
        <v>0</v>
      </c>
    </row>
    <row r="178" spans="7:8">
      <c r="G178">
        <f>IF($D178="", "", IF($D178="Receipt", $C178*VLOOKUP($B178, Items!$A:$E, 5, FALSE), IF($D178="Consumption", -$C178*VLOOKUP($B178, Items!$A:$E, 5, FALSE), "")))</f>
        <v>0</v>
      </c>
      <c r="H178">
        <f>IF($D178="Consumption", -$C178*VLOOKUP($B178, Items!$A:$E, 5, FALSE), 0)</f>
        <v>0</v>
      </c>
    </row>
    <row r="179" spans="7:8">
      <c r="G179">
        <f>IF($D179="", "", IF($D179="Receipt", $C179*VLOOKUP($B179, Items!$A:$E, 5, FALSE), IF($D179="Consumption", -$C179*VLOOKUP($B179, Items!$A:$E, 5, FALSE), "")))</f>
        <v>0</v>
      </c>
      <c r="H179">
        <f>IF($D179="Consumption", -$C179*VLOOKUP($B179, Items!$A:$E, 5, FALSE), 0)</f>
        <v>0</v>
      </c>
    </row>
    <row r="180" spans="7:8">
      <c r="G180">
        <f>IF($D180="", "", IF($D180="Receipt", $C180*VLOOKUP($B180, Items!$A:$E, 5, FALSE), IF($D180="Consumption", -$C180*VLOOKUP($B180, Items!$A:$E, 5, FALSE), "")))</f>
        <v>0</v>
      </c>
      <c r="H180">
        <f>IF($D180="Consumption", -$C180*VLOOKUP($B180, Items!$A:$E, 5, FALSE), 0)</f>
        <v>0</v>
      </c>
    </row>
    <row r="181" spans="7:8">
      <c r="G181">
        <f>IF($D181="", "", IF($D181="Receipt", $C181*VLOOKUP($B181, Items!$A:$E, 5, FALSE), IF($D181="Consumption", -$C181*VLOOKUP($B181, Items!$A:$E, 5, FALSE), "")))</f>
        <v>0</v>
      </c>
      <c r="H181">
        <f>IF($D181="Consumption", -$C181*VLOOKUP($B181, Items!$A:$E, 5, FALSE), 0)</f>
        <v>0</v>
      </c>
    </row>
    <row r="182" spans="7:8">
      <c r="G182">
        <f>IF($D182="", "", IF($D182="Receipt", $C182*VLOOKUP($B182, Items!$A:$E, 5, FALSE), IF($D182="Consumption", -$C182*VLOOKUP($B182, Items!$A:$E, 5, FALSE), "")))</f>
        <v>0</v>
      </c>
      <c r="H182">
        <f>IF($D182="Consumption", -$C182*VLOOKUP($B182, Items!$A:$E, 5, FALSE), 0)</f>
        <v>0</v>
      </c>
    </row>
    <row r="183" spans="7:8">
      <c r="G183">
        <f>IF($D183="", "", IF($D183="Receipt", $C183*VLOOKUP($B183, Items!$A:$E, 5, FALSE), IF($D183="Consumption", -$C183*VLOOKUP($B183, Items!$A:$E, 5, FALSE), "")))</f>
        <v>0</v>
      </c>
      <c r="H183">
        <f>IF($D183="Consumption", -$C183*VLOOKUP($B183, Items!$A:$E, 5, FALSE), 0)</f>
        <v>0</v>
      </c>
    </row>
    <row r="184" spans="7:8">
      <c r="G184">
        <f>IF($D184="", "", IF($D184="Receipt", $C184*VLOOKUP($B184, Items!$A:$E, 5, FALSE), IF($D184="Consumption", -$C184*VLOOKUP($B184, Items!$A:$E, 5, FALSE), "")))</f>
        <v>0</v>
      </c>
      <c r="H184">
        <f>IF($D184="Consumption", -$C184*VLOOKUP($B184, Items!$A:$E, 5, FALSE), 0)</f>
        <v>0</v>
      </c>
    </row>
    <row r="185" spans="7:8">
      <c r="G185">
        <f>IF($D185="", "", IF($D185="Receipt", $C185*VLOOKUP($B185, Items!$A:$E, 5, FALSE), IF($D185="Consumption", -$C185*VLOOKUP($B185, Items!$A:$E, 5, FALSE), "")))</f>
        <v>0</v>
      </c>
      <c r="H185">
        <f>IF($D185="Consumption", -$C185*VLOOKUP($B185, Items!$A:$E, 5, FALSE), 0)</f>
        <v>0</v>
      </c>
    </row>
    <row r="186" spans="7:8">
      <c r="G186">
        <f>IF($D186="", "", IF($D186="Receipt", $C186*VLOOKUP($B186, Items!$A:$E, 5, FALSE), IF($D186="Consumption", -$C186*VLOOKUP($B186, Items!$A:$E, 5, FALSE), "")))</f>
        <v>0</v>
      </c>
      <c r="H186">
        <f>IF($D186="Consumption", -$C186*VLOOKUP($B186, Items!$A:$E, 5, FALSE), 0)</f>
        <v>0</v>
      </c>
    </row>
    <row r="187" spans="7:8">
      <c r="G187">
        <f>IF($D187="", "", IF($D187="Receipt", $C187*VLOOKUP($B187, Items!$A:$E, 5, FALSE), IF($D187="Consumption", -$C187*VLOOKUP($B187, Items!$A:$E, 5, FALSE), "")))</f>
        <v>0</v>
      </c>
      <c r="H187">
        <f>IF($D187="Consumption", -$C187*VLOOKUP($B187, Items!$A:$E, 5, FALSE), 0)</f>
        <v>0</v>
      </c>
    </row>
    <row r="188" spans="7:8">
      <c r="G188">
        <f>IF($D188="", "", IF($D188="Receipt", $C188*VLOOKUP($B188, Items!$A:$E, 5, FALSE), IF($D188="Consumption", -$C188*VLOOKUP($B188, Items!$A:$E, 5, FALSE), "")))</f>
        <v>0</v>
      </c>
      <c r="H188">
        <f>IF($D188="Consumption", -$C188*VLOOKUP($B188, Items!$A:$E, 5, FALSE), 0)</f>
        <v>0</v>
      </c>
    </row>
    <row r="189" spans="7:8">
      <c r="G189">
        <f>IF($D189="", "", IF($D189="Receipt", $C189*VLOOKUP($B189, Items!$A:$E, 5, FALSE), IF($D189="Consumption", -$C189*VLOOKUP($B189, Items!$A:$E, 5, FALSE), "")))</f>
        <v>0</v>
      </c>
      <c r="H189">
        <f>IF($D189="Consumption", -$C189*VLOOKUP($B189, Items!$A:$E, 5, FALSE), 0)</f>
        <v>0</v>
      </c>
    </row>
    <row r="190" spans="7:8">
      <c r="G190">
        <f>IF($D190="", "", IF($D190="Receipt", $C190*VLOOKUP($B190, Items!$A:$E, 5, FALSE), IF($D190="Consumption", -$C190*VLOOKUP($B190, Items!$A:$E, 5, FALSE), "")))</f>
        <v>0</v>
      </c>
      <c r="H190">
        <f>IF($D190="Consumption", -$C190*VLOOKUP($B190, Items!$A:$E, 5, FALSE), 0)</f>
        <v>0</v>
      </c>
    </row>
    <row r="191" spans="7:8">
      <c r="G191">
        <f>IF($D191="", "", IF($D191="Receipt", $C191*VLOOKUP($B191, Items!$A:$E, 5, FALSE), IF($D191="Consumption", -$C191*VLOOKUP($B191, Items!$A:$E, 5, FALSE), "")))</f>
        <v>0</v>
      </c>
      <c r="H191">
        <f>IF($D191="Consumption", -$C191*VLOOKUP($B191, Items!$A:$E, 5, FALSE), 0)</f>
        <v>0</v>
      </c>
    </row>
    <row r="192" spans="7:8">
      <c r="G192">
        <f>IF($D192="", "", IF($D192="Receipt", $C192*VLOOKUP($B192, Items!$A:$E, 5, FALSE), IF($D192="Consumption", -$C192*VLOOKUP($B192, Items!$A:$E, 5, FALSE), "")))</f>
        <v>0</v>
      </c>
      <c r="H192">
        <f>IF($D192="Consumption", -$C192*VLOOKUP($B192, Items!$A:$E, 5, FALSE), 0)</f>
        <v>0</v>
      </c>
    </row>
    <row r="193" spans="7:8">
      <c r="G193">
        <f>IF($D193="", "", IF($D193="Receipt", $C193*VLOOKUP($B193, Items!$A:$E, 5, FALSE), IF($D193="Consumption", -$C193*VLOOKUP($B193, Items!$A:$E, 5, FALSE), "")))</f>
        <v>0</v>
      </c>
      <c r="H193">
        <f>IF($D193="Consumption", -$C193*VLOOKUP($B193, Items!$A:$E, 5, FALSE), 0)</f>
        <v>0</v>
      </c>
    </row>
    <row r="194" spans="7:8">
      <c r="G194">
        <f>IF($D194="", "", IF($D194="Receipt", $C194*VLOOKUP($B194, Items!$A:$E, 5, FALSE), IF($D194="Consumption", -$C194*VLOOKUP($B194, Items!$A:$E, 5, FALSE), "")))</f>
        <v>0</v>
      </c>
      <c r="H194">
        <f>IF($D194="Consumption", -$C194*VLOOKUP($B194, Items!$A:$E, 5, FALSE), 0)</f>
        <v>0</v>
      </c>
    </row>
    <row r="195" spans="7:8">
      <c r="G195">
        <f>IF($D195="", "", IF($D195="Receipt", $C195*VLOOKUP($B195, Items!$A:$E, 5, FALSE), IF($D195="Consumption", -$C195*VLOOKUP($B195, Items!$A:$E, 5, FALSE), "")))</f>
        <v>0</v>
      </c>
      <c r="H195">
        <f>IF($D195="Consumption", -$C195*VLOOKUP($B195, Items!$A:$E, 5, FALSE), 0)</f>
        <v>0</v>
      </c>
    </row>
    <row r="196" spans="7:8">
      <c r="G196">
        <f>IF($D196="", "", IF($D196="Receipt", $C196*VLOOKUP($B196, Items!$A:$E, 5, FALSE), IF($D196="Consumption", -$C196*VLOOKUP($B196, Items!$A:$E, 5, FALSE), "")))</f>
        <v>0</v>
      </c>
      <c r="H196">
        <f>IF($D196="Consumption", -$C196*VLOOKUP($B196, Items!$A:$E, 5, FALSE), 0)</f>
        <v>0</v>
      </c>
    </row>
    <row r="197" spans="7:8">
      <c r="G197">
        <f>IF($D197="", "", IF($D197="Receipt", $C197*VLOOKUP($B197, Items!$A:$E, 5, FALSE), IF($D197="Consumption", -$C197*VLOOKUP($B197, Items!$A:$E, 5, FALSE), "")))</f>
        <v>0</v>
      </c>
      <c r="H197">
        <f>IF($D197="Consumption", -$C197*VLOOKUP($B197, Items!$A:$E, 5, FALSE), 0)</f>
        <v>0</v>
      </c>
    </row>
    <row r="198" spans="7:8">
      <c r="G198">
        <f>IF($D198="", "", IF($D198="Receipt", $C198*VLOOKUP($B198, Items!$A:$E, 5, FALSE), IF($D198="Consumption", -$C198*VLOOKUP($B198, Items!$A:$E, 5, FALSE), "")))</f>
        <v>0</v>
      </c>
      <c r="H198">
        <f>IF($D198="Consumption", -$C198*VLOOKUP($B198, Items!$A:$E, 5, FALSE), 0)</f>
        <v>0</v>
      </c>
    </row>
    <row r="199" spans="7:8">
      <c r="G199">
        <f>IF($D199="", "", IF($D199="Receipt", $C199*VLOOKUP($B199, Items!$A:$E, 5, FALSE), IF($D199="Consumption", -$C199*VLOOKUP($B199, Items!$A:$E, 5, FALSE), "")))</f>
        <v>0</v>
      </c>
      <c r="H199">
        <f>IF($D199="Consumption", -$C199*VLOOKUP($B199, Items!$A:$E, 5, FALSE), 0)</f>
        <v>0</v>
      </c>
    </row>
    <row r="200" spans="7:8">
      <c r="G200">
        <f>IF($D200="", "", IF($D200="Receipt", $C200*VLOOKUP($B200, Items!$A:$E, 5, FALSE), IF($D200="Consumption", -$C200*VLOOKUP($B200, Items!$A:$E, 5, FALSE), "")))</f>
        <v>0</v>
      </c>
      <c r="H200">
        <f>IF($D200="Consumption", -$C200*VLOOKUP($B200, Items!$A:$E, 5, FALSE), 0)</f>
        <v>0</v>
      </c>
    </row>
    <row r="201" spans="7:8">
      <c r="G201">
        <f>IF($D201="", "", IF($D201="Receipt", $C201*VLOOKUP($B201, Items!$A:$E, 5, FALSE), IF($D201="Consumption", -$C201*VLOOKUP($B201, Items!$A:$E, 5, FALSE), "")))</f>
        <v>0</v>
      </c>
      <c r="H201">
        <f>IF($D201="Consumption", -$C201*VLOOKUP($B201, Items!$A:$E, 5, FALSE), 0)</f>
        <v>0</v>
      </c>
    </row>
    <row r="202" spans="7:8">
      <c r="G202">
        <f>IF($D202="", "", IF($D202="Receipt", $C202*VLOOKUP($B202, Items!$A:$E, 5, FALSE), IF($D202="Consumption", -$C202*VLOOKUP($B202, Items!$A:$E, 5, FALSE), "")))</f>
        <v>0</v>
      </c>
      <c r="H202">
        <f>IF($D202="Consumption", -$C202*VLOOKUP($B202, Items!$A:$E, 5, FALSE), 0)</f>
        <v>0</v>
      </c>
    </row>
    <row r="203" spans="7:8">
      <c r="G203">
        <f>IF($D203="", "", IF($D203="Receipt", $C203*VLOOKUP($B203, Items!$A:$E, 5, FALSE), IF($D203="Consumption", -$C203*VLOOKUP($B203, Items!$A:$E, 5, FALSE), "")))</f>
        <v>0</v>
      </c>
      <c r="H203">
        <f>IF($D203="Consumption", -$C203*VLOOKUP($B203, Items!$A:$E, 5, FALSE), 0)</f>
        <v>0</v>
      </c>
    </row>
    <row r="204" spans="7:8">
      <c r="G204">
        <f>IF($D204="", "", IF($D204="Receipt", $C204*VLOOKUP($B204, Items!$A:$E, 5, FALSE), IF($D204="Consumption", -$C204*VLOOKUP($B204, Items!$A:$E, 5, FALSE), "")))</f>
        <v>0</v>
      </c>
      <c r="H204">
        <f>IF($D204="Consumption", -$C204*VLOOKUP($B204, Items!$A:$E, 5, FALSE), 0)</f>
        <v>0</v>
      </c>
    </row>
    <row r="205" spans="7:8">
      <c r="G205">
        <f>IF($D205="", "", IF($D205="Receipt", $C205*VLOOKUP($B205, Items!$A:$E, 5, FALSE), IF($D205="Consumption", -$C205*VLOOKUP($B205, Items!$A:$E, 5, FALSE), "")))</f>
        <v>0</v>
      </c>
      <c r="H205">
        <f>IF($D205="Consumption", -$C205*VLOOKUP($B205, Items!$A:$E, 5, FALSE), 0)</f>
        <v>0</v>
      </c>
    </row>
    <row r="206" spans="7:8">
      <c r="G206">
        <f>IF($D206="", "", IF($D206="Receipt", $C206*VLOOKUP($B206, Items!$A:$E, 5, FALSE), IF($D206="Consumption", -$C206*VLOOKUP($B206, Items!$A:$E, 5, FALSE), "")))</f>
        <v>0</v>
      </c>
      <c r="H206">
        <f>IF($D206="Consumption", -$C206*VLOOKUP($B206, Items!$A:$E, 5, FALSE), 0)</f>
        <v>0</v>
      </c>
    </row>
    <row r="207" spans="7:8">
      <c r="G207">
        <f>IF($D207="", "", IF($D207="Receipt", $C207*VLOOKUP($B207, Items!$A:$E, 5, FALSE), IF($D207="Consumption", -$C207*VLOOKUP($B207, Items!$A:$E, 5, FALSE), "")))</f>
        <v>0</v>
      </c>
      <c r="H207">
        <f>IF($D207="Consumption", -$C207*VLOOKUP($B207, Items!$A:$E, 5, FALSE), 0)</f>
        <v>0</v>
      </c>
    </row>
    <row r="208" spans="7:8">
      <c r="G208">
        <f>IF($D208="", "", IF($D208="Receipt", $C208*VLOOKUP($B208, Items!$A:$E, 5, FALSE), IF($D208="Consumption", -$C208*VLOOKUP($B208, Items!$A:$E, 5, FALSE), "")))</f>
        <v>0</v>
      </c>
      <c r="H208">
        <f>IF($D208="Consumption", -$C208*VLOOKUP($B208, Items!$A:$E, 5, FALSE), 0)</f>
        <v>0</v>
      </c>
    </row>
    <row r="209" spans="7:8">
      <c r="G209">
        <f>IF($D209="", "", IF($D209="Receipt", $C209*VLOOKUP($B209, Items!$A:$E, 5, FALSE), IF($D209="Consumption", -$C209*VLOOKUP($B209, Items!$A:$E, 5, FALSE), "")))</f>
        <v>0</v>
      </c>
      <c r="H209">
        <f>IF($D209="Consumption", -$C209*VLOOKUP($B209, Items!$A:$E, 5, FALSE), 0)</f>
        <v>0</v>
      </c>
    </row>
    <row r="210" spans="7:8">
      <c r="G210">
        <f>IF($D210="", "", IF($D210="Receipt", $C210*VLOOKUP($B210, Items!$A:$E, 5, FALSE), IF($D210="Consumption", -$C210*VLOOKUP($B210, Items!$A:$E, 5, FALSE), "")))</f>
        <v>0</v>
      </c>
      <c r="H210">
        <f>IF($D210="Consumption", -$C210*VLOOKUP($B210, Items!$A:$E, 5, FALSE), 0)</f>
        <v>0</v>
      </c>
    </row>
    <row r="211" spans="7:8">
      <c r="G211">
        <f>IF($D211="", "", IF($D211="Receipt", $C211*VLOOKUP($B211, Items!$A:$E, 5, FALSE), IF($D211="Consumption", -$C211*VLOOKUP($B211, Items!$A:$E, 5, FALSE), "")))</f>
        <v>0</v>
      </c>
      <c r="H211">
        <f>IF($D211="Consumption", -$C211*VLOOKUP($B211, Items!$A:$E, 5, FALSE), 0)</f>
        <v>0</v>
      </c>
    </row>
    <row r="212" spans="7:8">
      <c r="G212">
        <f>IF($D212="", "", IF($D212="Receipt", $C212*VLOOKUP($B212, Items!$A:$E, 5, FALSE), IF($D212="Consumption", -$C212*VLOOKUP($B212, Items!$A:$E, 5, FALSE), "")))</f>
        <v>0</v>
      </c>
      <c r="H212">
        <f>IF($D212="Consumption", -$C212*VLOOKUP($B212, Items!$A:$E, 5, FALSE), 0)</f>
        <v>0</v>
      </c>
    </row>
    <row r="213" spans="7:8">
      <c r="G213">
        <f>IF($D213="", "", IF($D213="Receipt", $C213*VLOOKUP($B213, Items!$A:$E, 5, FALSE), IF($D213="Consumption", -$C213*VLOOKUP($B213, Items!$A:$E, 5, FALSE), "")))</f>
        <v>0</v>
      </c>
      <c r="H213">
        <f>IF($D213="Consumption", -$C213*VLOOKUP($B213, Items!$A:$E, 5, FALSE), 0)</f>
        <v>0</v>
      </c>
    </row>
    <row r="214" spans="7:8">
      <c r="G214">
        <f>IF($D214="", "", IF($D214="Receipt", $C214*VLOOKUP($B214, Items!$A:$E, 5, FALSE), IF($D214="Consumption", -$C214*VLOOKUP($B214, Items!$A:$E, 5, FALSE), "")))</f>
        <v>0</v>
      </c>
      <c r="H214">
        <f>IF($D214="Consumption", -$C214*VLOOKUP($B214, Items!$A:$E, 5, FALSE), 0)</f>
        <v>0</v>
      </c>
    </row>
    <row r="215" spans="7:8">
      <c r="G215">
        <f>IF($D215="", "", IF($D215="Receipt", $C215*VLOOKUP($B215, Items!$A:$E, 5, FALSE), IF($D215="Consumption", -$C215*VLOOKUP($B215, Items!$A:$E, 5, FALSE), "")))</f>
        <v>0</v>
      </c>
      <c r="H215">
        <f>IF($D215="Consumption", -$C215*VLOOKUP($B215, Items!$A:$E, 5, FALSE), 0)</f>
        <v>0</v>
      </c>
    </row>
    <row r="216" spans="7:8">
      <c r="G216">
        <f>IF($D216="", "", IF($D216="Receipt", $C216*VLOOKUP($B216, Items!$A:$E, 5, FALSE), IF($D216="Consumption", -$C216*VLOOKUP($B216, Items!$A:$E, 5, FALSE), "")))</f>
        <v>0</v>
      </c>
      <c r="H216">
        <f>IF($D216="Consumption", -$C216*VLOOKUP($B216, Items!$A:$E, 5, FALSE), 0)</f>
        <v>0</v>
      </c>
    </row>
    <row r="217" spans="7:8">
      <c r="G217">
        <f>IF($D217="", "", IF($D217="Receipt", $C217*VLOOKUP($B217, Items!$A:$E, 5, FALSE), IF($D217="Consumption", -$C217*VLOOKUP($B217, Items!$A:$E, 5, FALSE), "")))</f>
        <v>0</v>
      </c>
      <c r="H217">
        <f>IF($D217="Consumption", -$C217*VLOOKUP($B217, Items!$A:$E, 5, FALSE), 0)</f>
        <v>0</v>
      </c>
    </row>
    <row r="218" spans="7:8">
      <c r="G218">
        <f>IF($D218="", "", IF($D218="Receipt", $C218*VLOOKUP($B218, Items!$A:$E, 5, FALSE), IF($D218="Consumption", -$C218*VLOOKUP($B218, Items!$A:$E, 5, FALSE), "")))</f>
        <v>0</v>
      </c>
      <c r="H218">
        <f>IF($D218="Consumption", -$C218*VLOOKUP($B218, Items!$A:$E, 5, FALSE), 0)</f>
        <v>0</v>
      </c>
    </row>
    <row r="219" spans="7:8">
      <c r="G219">
        <f>IF($D219="", "", IF($D219="Receipt", $C219*VLOOKUP($B219, Items!$A:$E, 5, FALSE), IF($D219="Consumption", -$C219*VLOOKUP($B219, Items!$A:$E, 5, FALSE), "")))</f>
        <v>0</v>
      </c>
      <c r="H219">
        <f>IF($D219="Consumption", -$C219*VLOOKUP($B219, Items!$A:$E, 5, FALSE), 0)</f>
        <v>0</v>
      </c>
    </row>
    <row r="220" spans="7:8">
      <c r="G220">
        <f>IF($D220="", "", IF($D220="Receipt", $C220*VLOOKUP($B220, Items!$A:$E, 5, FALSE), IF($D220="Consumption", -$C220*VLOOKUP($B220, Items!$A:$E, 5, FALSE), "")))</f>
        <v>0</v>
      </c>
      <c r="H220">
        <f>IF($D220="Consumption", -$C220*VLOOKUP($B220, Items!$A:$E, 5, FALSE), 0)</f>
        <v>0</v>
      </c>
    </row>
    <row r="221" spans="7:8">
      <c r="G221">
        <f>IF($D221="", "", IF($D221="Receipt", $C221*VLOOKUP($B221, Items!$A:$E, 5, FALSE), IF($D221="Consumption", -$C221*VLOOKUP($B221, Items!$A:$E, 5, FALSE), "")))</f>
        <v>0</v>
      </c>
      <c r="H221">
        <f>IF($D221="Consumption", -$C221*VLOOKUP($B221, Items!$A:$E, 5, FALSE), 0)</f>
        <v>0</v>
      </c>
    </row>
    <row r="222" spans="7:8">
      <c r="G222">
        <f>IF($D222="", "", IF($D222="Receipt", $C222*VLOOKUP($B222, Items!$A:$E, 5, FALSE), IF($D222="Consumption", -$C222*VLOOKUP($B222, Items!$A:$E, 5, FALSE), "")))</f>
        <v>0</v>
      </c>
      <c r="H222">
        <f>IF($D222="Consumption", -$C222*VLOOKUP($B222, Items!$A:$E, 5, FALSE), 0)</f>
        <v>0</v>
      </c>
    </row>
    <row r="223" spans="7:8">
      <c r="G223">
        <f>IF($D223="", "", IF($D223="Receipt", $C223*VLOOKUP($B223, Items!$A:$E, 5, FALSE), IF($D223="Consumption", -$C223*VLOOKUP($B223, Items!$A:$E, 5, FALSE), "")))</f>
        <v>0</v>
      </c>
      <c r="H223">
        <f>IF($D223="Consumption", -$C223*VLOOKUP($B223, Items!$A:$E, 5, FALSE), 0)</f>
        <v>0</v>
      </c>
    </row>
    <row r="224" spans="7:8">
      <c r="G224">
        <f>IF($D224="", "", IF($D224="Receipt", $C224*VLOOKUP($B224, Items!$A:$E, 5, FALSE), IF($D224="Consumption", -$C224*VLOOKUP($B224, Items!$A:$E, 5, FALSE), "")))</f>
        <v>0</v>
      </c>
      <c r="H224">
        <f>IF($D224="Consumption", -$C224*VLOOKUP($B224, Items!$A:$E, 5, FALSE), 0)</f>
        <v>0</v>
      </c>
    </row>
    <row r="225" spans="7:8">
      <c r="G225">
        <f>IF($D225="", "", IF($D225="Receipt", $C225*VLOOKUP($B225, Items!$A:$E, 5, FALSE), IF($D225="Consumption", -$C225*VLOOKUP($B225, Items!$A:$E, 5, FALSE), "")))</f>
        <v>0</v>
      </c>
      <c r="H225">
        <f>IF($D225="Consumption", -$C225*VLOOKUP($B225, Items!$A:$E, 5, FALSE), 0)</f>
        <v>0</v>
      </c>
    </row>
    <row r="226" spans="7:8">
      <c r="G226">
        <f>IF($D226="", "", IF($D226="Receipt", $C226*VLOOKUP($B226, Items!$A:$E, 5, FALSE), IF($D226="Consumption", -$C226*VLOOKUP($B226, Items!$A:$E, 5, FALSE), "")))</f>
        <v>0</v>
      </c>
      <c r="H226">
        <f>IF($D226="Consumption", -$C226*VLOOKUP($B226, Items!$A:$E, 5, FALSE), 0)</f>
        <v>0</v>
      </c>
    </row>
    <row r="227" spans="7:8">
      <c r="G227">
        <f>IF($D227="", "", IF($D227="Receipt", $C227*VLOOKUP($B227, Items!$A:$E, 5, FALSE), IF($D227="Consumption", -$C227*VLOOKUP($B227, Items!$A:$E, 5, FALSE), "")))</f>
        <v>0</v>
      </c>
      <c r="H227">
        <f>IF($D227="Consumption", -$C227*VLOOKUP($B227, Items!$A:$E, 5, FALSE), 0)</f>
        <v>0</v>
      </c>
    </row>
    <row r="228" spans="7:8">
      <c r="G228">
        <f>IF($D228="", "", IF($D228="Receipt", $C228*VLOOKUP($B228, Items!$A:$E, 5, FALSE), IF($D228="Consumption", -$C228*VLOOKUP($B228, Items!$A:$E, 5, FALSE), "")))</f>
        <v>0</v>
      </c>
      <c r="H228">
        <f>IF($D228="Consumption", -$C228*VLOOKUP($B228, Items!$A:$E, 5, FALSE), 0)</f>
        <v>0</v>
      </c>
    </row>
    <row r="229" spans="7:8">
      <c r="G229">
        <f>IF($D229="", "", IF($D229="Receipt", $C229*VLOOKUP($B229, Items!$A:$E, 5, FALSE), IF($D229="Consumption", -$C229*VLOOKUP($B229, Items!$A:$E, 5, FALSE), "")))</f>
        <v>0</v>
      </c>
      <c r="H229">
        <f>IF($D229="Consumption", -$C229*VLOOKUP($B229, Items!$A:$E, 5, FALSE), 0)</f>
        <v>0</v>
      </c>
    </row>
    <row r="230" spans="7:8">
      <c r="G230">
        <f>IF($D230="", "", IF($D230="Receipt", $C230*VLOOKUP($B230, Items!$A:$E, 5, FALSE), IF($D230="Consumption", -$C230*VLOOKUP($B230, Items!$A:$E, 5, FALSE), "")))</f>
        <v>0</v>
      </c>
      <c r="H230">
        <f>IF($D230="Consumption", -$C230*VLOOKUP($B230, Items!$A:$E, 5, FALSE), 0)</f>
        <v>0</v>
      </c>
    </row>
    <row r="231" spans="7:8">
      <c r="G231">
        <f>IF($D231="", "", IF($D231="Receipt", $C231*VLOOKUP($B231, Items!$A:$E, 5, FALSE), IF($D231="Consumption", -$C231*VLOOKUP($B231, Items!$A:$E, 5, FALSE), "")))</f>
        <v>0</v>
      </c>
      <c r="H231">
        <f>IF($D231="Consumption", -$C231*VLOOKUP($B231, Items!$A:$E, 5, FALSE), 0)</f>
        <v>0</v>
      </c>
    </row>
    <row r="232" spans="7:8">
      <c r="G232">
        <f>IF($D232="", "", IF($D232="Receipt", $C232*VLOOKUP($B232, Items!$A:$E, 5, FALSE), IF($D232="Consumption", -$C232*VLOOKUP($B232, Items!$A:$E, 5, FALSE), "")))</f>
        <v>0</v>
      </c>
      <c r="H232">
        <f>IF($D232="Consumption", -$C232*VLOOKUP($B232, Items!$A:$E, 5, FALSE), 0)</f>
        <v>0</v>
      </c>
    </row>
    <row r="233" spans="7:8">
      <c r="G233">
        <f>IF($D233="", "", IF($D233="Receipt", $C233*VLOOKUP($B233, Items!$A:$E, 5, FALSE), IF($D233="Consumption", -$C233*VLOOKUP($B233, Items!$A:$E, 5, FALSE), "")))</f>
        <v>0</v>
      </c>
      <c r="H233">
        <f>IF($D233="Consumption", -$C233*VLOOKUP($B233, Items!$A:$E, 5, FALSE), 0)</f>
        <v>0</v>
      </c>
    </row>
    <row r="234" spans="7:8">
      <c r="G234">
        <f>IF($D234="", "", IF($D234="Receipt", $C234*VLOOKUP($B234, Items!$A:$E, 5, FALSE), IF($D234="Consumption", -$C234*VLOOKUP($B234, Items!$A:$E, 5, FALSE), "")))</f>
        <v>0</v>
      </c>
      <c r="H234">
        <f>IF($D234="Consumption", -$C234*VLOOKUP($B234, Items!$A:$E, 5, FALSE), 0)</f>
        <v>0</v>
      </c>
    </row>
    <row r="235" spans="7:8">
      <c r="G235">
        <f>IF($D235="", "", IF($D235="Receipt", $C235*VLOOKUP($B235, Items!$A:$E, 5, FALSE), IF($D235="Consumption", -$C235*VLOOKUP($B235, Items!$A:$E, 5, FALSE), "")))</f>
        <v>0</v>
      </c>
      <c r="H235">
        <f>IF($D235="Consumption", -$C235*VLOOKUP($B235, Items!$A:$E, 5, FALSE), 0)</f>
        <v>0</v>
      </c>
    </row>
    <row r="236" spans="7:8">
      <c r="G236">
        <f>IF($D236="", "", IF($D236="Receipt", $C236*VLOOKUP($B236, Items!$A:$E, 5, FALSE), IF($D236="Consumption", -$C236*VLOOKUP($B236, Items!$A:$E, 5, FALSE), "")))</f>
        <v>0</v>
      </c>
      <c r="H236">
        <f>IF($D236="Consumption", -$C236*VLOOKUP($B236, Items!$A:$E, 5, FALSE), 0)</f>
        <v>0</v>
      </c>
    </row>
    <row r="237" spans="7:8">
      <c r="G237">
        <f>IF($D237="", "", IF($D237="Receipt", $C237*VLOOKUP($B237, Items!$A:$E, 5, FALSE), IF($D237="Consumption", -$C237*VLOOKUP($B237, Items!$A:$E, 5, FALSE), "")))</f>
        <v>0</v>
      </c>
      <c r="H237">
        <f>IF($D237="Consumption", -$C237*VLOOKUP($B237, Items!$A:$E, 5, FALSE), 0)</f>
        <v>0</v>
      </c>
    </row>
    <row r="238" spans="7:8">
      <c r="G238">
        <f>IF($D238="", "", IF($D238="Receipt", $C238*VLOOKUP($B238, Items!$A:$E, 5, FALSE), IF($D238="Consumption", -$C238*VLOOKUP($B238, Items!$A:$E, 5, FALSE), "")))</f>
        <v>0</v>
      </c>
      <c r="H238">
        <f>IF($D238="Consumption", -$C238*VLOOKUP($B238, Items!$A:$E, 5, FALSE), 0)</f>
        <v>0</v>
      </c>
    </row>
    <row r="239" spans="7:8">
      <c r="G239">
        <f>IF($D239="", "", IF($D239="Receipt", $C239*VLOOKUP($B239, Items!$A:$E, 5, FALSE), IF($D239="Consumption", -$C239*VLOOKUP($B239, Items!$A:$E, 5, FALSE), "")))</f>
        <v>0</v>
      </c>
      <c r="H239">
        <f>IF($D239="Consumption", -$C239*VLOOKUP($B239, Items!$A:$E, 5, FALSE), 0)</f>
        <v>0</v>
      </c>
    </row>
    <row r="240" spans="7:8">
      <c r="G240">
        <f>IF($D240="", "", IF($D240="Receipt", $C240*VLOOKUP($B240, Items!$A:$E, 5, FALSE), IF($D240="Consumption", -$C240*VLOOKUP($B240, Items!$A:$E, 5, FALSE), "")))</f>
        <v>0</v>
      </c>
      <c r="H240">
        <f>IF($D240="Consumption", -$C240*VLOOKUP($B240, Items!$A:$E, 5, FALSE), 0)</f>
        <v>0</v>
      </c>
    </row>
    <row r="241" spans="7:8">
      <c r="G241">
        <f>IF($D241="", "", IF($D241="Receipt", $C241*VLOOKUP($B241, Items!$A:$E, 5, FALSE), IF($D241="Consumption", -$C241*VLOOKUP($B241, Items!$A:$E, 5, FALSE), "")))</f>
        <v>0</v>
      </c>
      <c r="H241">
        <f>IF($D241="Consumption", -$C241*VLOOKUP($B241, Items!$A:$E, 5, FALSE), 0)</f>
        <v>0</v>
      </c>
    </row>
    <row r="242" spans="7:8">
      <c r="G242">
        <f>IF($D242="", "", IF($D242="Receipt", $C242*VLOOKUP($B242, Items!$A:$E, 5, FALSE), IF($D242="Consumption", -$C242*VLOOKUP($B242, Items!$A:$E, 5, FALSE), "")))</f>
        <v>0</v>
      </c>
      <c r="H242">
        <f>IF($D242="Consumption", -$C242*VLOOKUP($B242, Items!$A:$E, 5, FALSE), 0)</f>
        <v>0</v>
      </c>
    </row>
    <row r="243" spans="7:8">
      <c r="G243">
        <f>IF($D243="", "", IF($D243="Receipt", $C243*VLOOKUP($B243, Items!$A:$E, 5, FALSE), IF($D243="Consumption", -$C243*VLOOKUP($B243, Items!$A:$E, 5, FALSE), "")))</f>
        <v>0</v>
      </c>
      <c r="H243">
        <f>IF($D243="Consumption", -$C243*VLOOKUP($B243, Items!$A:$E, 5, FALSE), 0)</f>
        <v>0</v>
      </c>
    </row>
    <row r="244" spans="7:8">
      <c r="G244">
        <f>IF($D244="", "", IF($D244="Receipt", $C244*VLOOKUP($B244, Items!$A:$E, 5, FALSE), IF($D244="Consumption", -$C244*VLOOKUP($B244, Items!$A:$E, 5, FALSE), "")))</f>
        <v>0</v>
      </c>
      <c r="H244">
        <f>IF($D244="Consumption", -$C244*VLOOKUP($B244, Items!$A:$E, 5, FALSE), 0)</f>
        <v>0</v>
      </c>
    </row>
    <row r="245" spans="7:8">
      <c r="G245">
        <f>IF($D245="", "", IF($D245="Receipt", $C245*VLOOKUP($B245, Items!$A:$E, 5, FALSE), IF($D245="Consumption", -$C245*VLOOKUP($B245, Items!$A:$E, 5, FALSE), "")))</f>
        <v>0</v>
      </c>
      <c r="H245">
        <f>IF($D245="Consumption", -$C245*VLOOKUP($B245, Items!$A:$E, 5, FALSE), 0)</f>
        <v>0</v>
      </c>
    </row>
    <row r="246" spans="7:8">
      <c r="G246">
        <f>IF($D246="", "", IF($D246="Receipt", $C246*VLOOKUP($B246, Items!$A:$E, 5, FALSE), IF($D246="Consumption", -$C246*VLOOKUP($B246, Items!$A:$E, 5, FALSE), "")))</f>
        <v>0</v>
      </c>
      <c r="H246">
        <f>IF($D246="Consumption", -$C246*VLOOKUP($B246, Items!$A:$E, 5, FALSE), 0)</f>
        <v>0</v>
      </c>
    </row>
    <row r="247" spans="7:8">
      <c r="G247">
        <f>IF($D247="", "", IF($D247="Receipt", $C247*VLOOKUP($B247, Items!$A:$E, 5, FALSE), IF($D247="Consumption", -$C247*VLOOKUP($B247, Items!$A:$E, 5, FALSE), "")))</f>
        <v>0</v>
      </c>
      <c r="H247">
        <f>IF($D247="Consumption", -$C247*VLOOKUP($B247, Items!$A:$E, 5, FALSE), 0)</f>
        <v>0</v>
      </c>
    </row>
    <row r="248" spans="7:8">
      <c r="G248">
        <f>IF($D248="", "", IF($D248="Receipt", $C248*VLOOKUP($B248, Items!$A:$E, 5, FALSE), IF($D248="Consumption", -$C248*VLOOKUP($B248, Items!$A:$E, 5, FALSE), "")))</f>
        <v>0</v>
      </c>
      <c r="H248">
        <f>IF($D248="Consumption", -$C248*VLOOKUP($B248, Items!$A:$E, 5, FALSE), 0)</f>
        <v>0</v>
      </c>
    </row>
    <row r="249" spans="7:8">
      <c r="G249">
        <f>IF($D249="", "", IF($D249="Receipt", $C249*VLOOKUP($B249, Items!$A:$E, 5, FALSE), IF($D249="Consumption", -$C249*VLOOKUP($B249, Items!$A:$E, 5, FALSE), "")))</f>
        <v>0</v>
      </c>
      <c r="H249">
        <f>IF($D249="Consumption", -$C249*VLOOKUP($B249, Items!$A:$E, 5, FALSE), 0)</f>
        <v>0</v>
      </c>
    </row>
    <row r="250" spans="7:8">
      <c r="G250">
        <f>IF($D250="", "", IF($D250="Receipt", $C250*VLOOKUP($B250, Items!$A:$E, 5, FALSE), IF($D250="Consumption", -$C250*VLOOKUP($B250, Items!$A:$E, 5, FALSE), "")))</f>
        <v>0</v>
      </c>
      <c r="H250">
        <f>IF($D250="Consumption", -$C250*VLOOKUP($B250, Items!$A:$E, 5, FALSE), 0)</f>
        <v>0</v>
      </c>
    </row>
    <row r="251" spans="7:8">
      <c r="G251">
        <f>IF($D251="", "", IF($D251="Receipt", $C251*VLOOKUP($B251, Items!$A:$E, 5, FALSE), IF($D251="Consumption", -$C251*VLOOKUP($B251, Items!$A:$E, 5, FALSE), "")))</f>
        <v>0</v>
      </c>
      <c r="H251">
        <f>IF($D251="Consumption", -$C251*VLOOKUP($B251, Items!$A:$E, 5, FALSE), 0)</f>
        <v>0</v>
      </c>
    </row>
    <row r="252" spans="7:8">
      <c r="G252">
        <f>IF($D252="", "", IF($D252="Receipt", $C252*VLOOKUP($B252, Items!$A:$E, 5, FALSE), IF($D252="Consumption", -$C252*VLOOKUP($B252, Items!$A:$E, 5, FALSE), "")))</f>
        <v>0</v>
      </c>
      <c r="H252">
        <f>IF($D252="Consumption", -$C252*VLOOKUP($B252, Items!$A:$E, 5, FALSE), 0)</f>
        <v>0</v>
      </c>
    </row>
    <row r="253" spans="7:8">
      <c r="G253">
        <f>IF($D253="", "", IF($D253="Receipt", $C253*VLOOKUP($B253, Items!$A:$E, 5, FALSE), IF($D253="Consumption", -$C253*VLOOKUP($B253, Items!$A:$E, 5, FALSE), "")))</f>
        <v>0</v>
      </c>
      <c r="H253">
        <f>IF($D253="Consumption", -$C253*VLOOKUP($B253, Items!$A:$E, 5, FALSE), 0)</f>
        <v>0</v>
      </c>
    </row>
    <row r="254" spans="7:8">
      <c r="G254">
        <f>IF($D254="", "", IF($D254="Receipt", $C254*VLOOKUP($B254, Items!$A:$E, 5, FALSE), IF($D254="Consumption", -$C254*VLOOKUP($B254, Items!$A:$E, 5, FALSE), "")))</f>
        <v>0</v>
      </c>
      <c r="H254">
        <f>IF($D254="Consumption", -$C254*VLOOKUP($B254, Items!$A:$E, 5, FALSE), 0)</f>
        <v>0</v>
      </c>
    </row>
    <row r="255" spans="7:8">
      <c r="G255">
        <f>IF($D255="", "", IF($D255="Receipt", $C255*VLOOKUP($B255, Items!$A:$E, 5, FALSE), IF($D255="Consumption", -$C255*VLOOKUP($B255, Items!$A:$E, 5, FALSE), "")))</f>
        <v>0</v>
      </c>
      <c r="H255">
        <f>IF($D255="Consumption", -$C255*VLOOKUP($B255, Items!$A:$E, 5, FALSE), 0)</f>
        <v>0</v>
      </c>
    </row>
    <row r="256" spans="7:8">
      <c r="G256">
        <f>IF($D256="", "", IF($D256="Receipt", $C256*VLOOKUP($B256, Items!$A:$E, 5, FALSE), IF($D256="Consumption", -$C256*VLOOKUP($B256, Items!$A:$E, 5, FALSE), "")))</f>
        <v>0</v>
      </c>
      <c r="H256">
        <f>IF($D256="Consumption", -$C256*VLOOKUP($B256, Items!$A:$E, 5, FALSE), 0)</f>
        <v>0</v>
      </c>
    </row>
    <row r="257" spans="7:8">
      <c r="G257">
        <f>IF($D257="", "", IF($D257="Receipt", $C257*VLOOKUP($B257, Items!$A:$E, 5, FALSE), IF($D257="Consumption", -$C257*VLOOKUP($B257, Items!$A:$E, 5, FALSE), "")))</f>
        <v>0</v>
      </c>
      <c r="H257">
        <f>IF($D257="Consumption", -$C257*VLOOKUP($B257, Items!$A:$E, 5, FALSE), 0)</f>
        <v>0</v>
      </c>
    </row>
    <row r="258" spans="7:8">
      <c r="G258">
        <f>IF($D258="", "", IF($D258="Receipt", $C258*VLOOKUP($B258, Items!$A:$E, 5, FALSE), IF($D258="Consumption", -$C258*VLOOKUP($B258, Items!$A:$E, 5, FALSE), "")))</f>
        <v>0</v>
      </c>
      <c r="H258">
        <f>IF($D258="Consumption", -$C258*VLOOKUP($B258, Items!$A:$E, 5, FALSE), 0)</f>
        <v>0</v>
      </c>
    </row>
    <row r="259" spans="7:8">
      <c r="G259">
        <f>IF($D259="", "", IF($D259="Receipt", $C259*VLOOKUP($B259, Items!$A:$E, 5, FALSE), IF($D259="Consumption", -$C259*VLOOKUP($B259, Items!$A:$E, 5, FALSE), "")))</f>
        <v>0</v>
      </c>
      <c r="H259">
        <f>IF($D259="Consumption", -$C259*VLOOKUP($B259, Items!$A:$E, 5, FALSE), 0)</f>
        <v>0</v>
      </c>
    </row>
    <row r="260" spans="7:8">
      <c r="G260">
        <f>IF($D260="", "", IF($D260="Receipt", $C260*VLOOKUP($B260, Items!$A:$E, 5, FALSE), IF($D260="Consumption", -$C260*VLOOKUP($B260, Items!$A:$E, 5, FALSE), "")))</f>
        <v>0</v>
      </c>
      <c r="H260">
        <f>IF($D260="Consumption", -$C260*VLOOKUP($B260, Items!$A:$E, 5, FALSE), 0)</f>
        <v>0</v>
      </c>
    </row>
    <row r="261" spans="7:8">
      <c r="G261">
        <f>IF($D261="", "", IF($D261="Receipt", $C261*VLOOKUP($B261, Items!$A:$E, 5, FALSE), IF($D261="Consumption", -$C261*VLOOKUP($B261, Items!$A:$E, 5, FALSE), "")))</f>
        <v>0</v>
      </c>
      <c r="H261">
        <f>IF($D261="Consumption", -$C261*VLOOKUP($B261, Items!$A:$E, 5, FALSE), 0)</f>
        <v>0</v>
      </c>
    </row>
    <row r="262" spans="7:8">
      <c r="G262">
        <f>IF($D262="", "", IF($D262="Receipt", $C262*VLOOKUP($B262, Items!$A:$E, 5, FALSE), IF($D262="Consumption", -$C262*VLOOKUP($B262, Items!$A:$E, 5, FALSE), "")))</f>
        <v>0</v>
      </c>
      <c r="H262">
        <f>IF($D262="Consumption", -$C262*VLOOKUP($B262, Items!$A:$E, 5, FALSE), 0)</f>
        <v>0</v>
      </c>
    </row>
    <row r="263" spans="7:8">
      <c r="G263">
        <f>IF($D263="", "", IF($D263="Receipt", $C263*VLOOKUP($B263, Items!$A:$E, 5, FALSE), IF($D263="Consumption", -$C263*VLOOKUP($B263, Items!$A:$E, 5, FALSE), "")))</f>
        <v>0</v>
      </c>
      <c r="H263">
        <f>IF($D263="Consumption", -$C263*VLOOKUP($B263, Items!$A:$E, 5, FALSE), 0)</f>
        <v>0</v>
      </c>
    </row>
    <row r="264" spans="7:8">
      <c r="G264">
        <f>IF($D264="", "", IF($D264="Receipt", $C264*VLOOKUP($B264, Items!$A:$E, 5, FALSE), IF($D264="Consumption", -$C264*VLOOKUP($B264, Items!$A:$E, 5, FALSE), "")))</f>
        <v>0</v>
      </c>
      <c r="H264">
        <f>IF($D264="Consumption", -$C264*VLOOKUP($B264, Items!$A:$E, 5, FALSE), 0)</f>
        <v>0</v>
      </c>
    </row>
    <row r="265" spans="7:8">
      <c r="G265">
        <f>IF($D265="", "", IF($D265="Receipt", $C265*VLOOKUP($B265, Items!$A:$E, 5, FALSE), IF($D265="Consumption", -$C265*VLOOKUP($B265, Items!$A:$E, 5, FALSE), "")))</f>
        <v>0</v>
      </c>
      <c r="H265">
        <f>IF($D265="Consumption", -$C265*VLOOKUP($B265, Items!$A:$E, 5, FALSE), 0)</f>
        <v>0</v>
      </c>
    </row>
    <row r="266" spans="7:8">
      <c r="G266">
        <f>IF($D266="", "", IF($D266="Receipt", $C266*VLOOKUP($B266, Items!$A:$E, 5, FALSE), IF($D266="Consumption", -$C266*VLOOKUP($B266, Items!$A:$E, 5, FALSE), "")))</f>
        <v>0</v>
      </c>
      <c r="H266">
        <f>IF($D266="Consumption", -$C266*VLOOKUP($B266, Items!$A:$E, 5, FALSE), 0)</f>
        <v>0</v>
      </c>
    </row>
    <row r="267" spans="7:8">
      <c r="G267">
        <f>IF($D267="", "", IF($D267="Receipt", $C267*VLOOKUP($B267, Items!$A:$E, 5, FALSE), IF($D267="Consumption", -$C267*VLOOKUP($B267, Items!$A:$E, 5, FALSE), "")))</f>
        <v>0</v>
      </c>
      <c r="H267">
        <f>IF($D267="Consumption", -$C267*VLOOKUP($B267, Items!$A:$E, 5, FALSE), 0)</f>
        <v>0</v>
      </c>
    </row>
    <row r="268" spans="7:8">
      <c r="G268">
        <f>IF($D268="", "", IF($D268="Receipt", $C268*VLOOKUP($B268, Items!$A:$E, 5, FALSE), IF($D268="Consumption", -$C268*VLOOKUP($B268, Items!$A:$E, 5, FALSE), "")))</f>
        <v>0</v>
      </c>
      <c r="H268">
        <f>IF($D268="Consumption", -$C268*VLOOKUP($B268, Items!$A:$E, 5, FALSE), 0)</f>
        <v>0</v>
      </c>
    </row>
    <row r="269" spans="7:8">
      <c r="G269">
        <f>IF($D269="", "", IF($D269="Receipt", $C269*VLOOKUP($B269, Items!$A:$E, 5, FALSE), IF($D269="Consumption", -$C269*VLOOKUP($B269, Items!$A:$E, 5, FALSE), "")))</f>
        <v>0</v>
      </c>
      <c r="H269">
        <f>IF($D269="Consumption", -$C269*VLOOKUP($B269, Items!$A:$E, 5, FALSE), 0)</f>
        <v>0</v>
      </c>
    </row>
    <row r="270" spans="7:8">
      <c r="G270">
        <f>IF($D270="", "", IF($D270="Receipt", $C270*VLOOKUP($B270, Items!$A:$E, 5, FALSE), IF($D270="Consumption", -$C270*VLOOKUP($B270, Items!$A:$E, 5, FALSE), "")))</f>
        <v>0</v>
      </c>
      <c r="H270">
        <f>IF($D270="Consumption", -$C270*VLOOKUP($B270, Items!$A:$E, 5, FALSE), 0)</f>
        <v>0</v>
      </c>
    </row>
    <row r="271" spans="7:8">
      <c r="G271">
        <f>IF($D271="", "", IF($D271="Receipt", $C271*VLOOKUP($B271, Items!$A:$E, 5, FALSE), IF($D271="Consumption", -$C271*VLOOKUP($B271, Items!$A:$E, 5, FALSE), "")))</f>
        <v>0</v>
      </c>
      <c r="H271">
        <f>IF($D271="Consumption", -$C271*VLOOKUP($B271, Items!$A:$E, 5, FALSE), 0)</f>
        <v>0</v>
      </c>
    </row>
    <row r="272" spans="7:8">
      <c r="G272">
        <f>IF($D272="", "", IF($D272="Receipt", $C272*VLOOKUP($B272, Items!$A:$E, 5, FALSE), IF($D272="Consumption", -$C272*VLOOKUP($B272, Items!$A:$E, 5, FALSE), "")))</f>
        <v>0</v>
      </c>
      <c r="H272">
        <f>IF($D272="Consumption", -$C272*VLOOKUP($B272, Items!$A:$E, 5, FALSE), 0)</f>
        <v>0</v>
      </c>
    </row>
    <row r="273" spans="7:8">
      <c r="G273">
        <f>IF($D273="", "", IF($D273="Receipt", $C273*VLOOKUP($B273, Items!$A:$E, 5, FALSE), IF($D273="Consumption", -$C273*VLOOKUP($B273, Items!$A:$E, 5, FALSE), "")))</f>
        <v>0</v>
      </c>
      <c r="H273">
        <f>IF($D273="Consumption", -$C273*VLOOKUP($B273, Items!$A:$E, 5, FALSE), 0)</f>
        <v>0</v>
      </c>
    </row>
    <row r="274" spans="7:8">
      <c r="G274">
        <f>IF($D274="", "", IF($D274="Receipt", $C274*VLOOKUP($B274, Items!$A:$E, 5, FALSE), IF($D274="Consumption", -$C274*VLOOKUP($B274, Items!$A:$E, 5, FALSE), "")))</f>
        <v>0</v>
      </c>
      <c r="H274">
        <f>IF($D274="Consumption", -$C274*VLOOKUP($B274, Items!$A:$E, 5, FALSE), 0)</f>
        <v>0</v>
      </c>
    </row>
    <row r="275" spans="7:8">
      <c r="G275">
        <f>IF($D275="", "", IF($D275="Receipt", $C275*VLOOKUP($B275, Items!$A:$E, 5, FALSE), IF($D275="Consumption", -$C275*VLOOKUP($B275, Items!$A:$E, 5, FALSE), "")))</f>
        <v>0</v>
      </c>
      <c r="H275">
        <f>IF($D275="Consumption", -$C275*VLOOKUP($B275, Items!$A:$E, 5, FALSE), 0)</f>
        <v>0</v>
      </c>
    </row>
    <row r="276" spans="7:8">
      <c r="G276">
        <f>IF($D276="", "", IF($D276="Receipt", $C276*VLOOKUP($B276, Items!$A:$E, 5, FALSE), IF($D276="Consumption", -$C276*VLOOKUP($B276, Items!$A:$E, 5, FALSE), "")))</f>
        <v>0</v>
      </c>
      <c r="H276">
        <f>IF($D276="Consumption", -$C276*VLOOKUP($B276, Items!$A:$E, 5, FALSE), 0)</f>
        <v>0</v>
      </c>
    </row>
    <row r="277" spans="7:8">
      <c r="G277">
        <f>IF($D277="", "", IF($D277="Receipt", $C277*VLOOKUP($B277, Items!$A:$E, 5, FALSE), IF($D277="Consumption", -$C277*VLOOKUP($B277, Items!$A:$E, 5, FALSE), "")))</f>
        <v>0</v>
      </c>
      <c r="H277">
        <f>IF($D277="Consumption", -$C277*VLOOKUP($B277, Items!$A:$E, 5, FALSE), 0)</f>
        <v>0</v>
      </c>
    </row>
    <row r="278" spans="7:8">
      <c r="G278">
        <f>IF($D278="", "", IF($D278="Receipt", $C278*VLOOKUP($B278, Items!$A:$E, 5, FALSE), IF($D278="Consumption", -$C278*VLOOKUP($B278, Items!$A:$E, 5, FALSE), "")))</f>
        <v>0</v>
      </c>
      <c r="H278">
        <f>IF($D278="Consumption", -$C278*VLOOKUP($B278, Items!$A:$E, 5, FALSE), 0)</f>
        <v>0</v>
      </c>
    </row>
    <row r="279" spans="7:8">
      <c r="G279">
        <f>IF($D279="", "", IF($D279="Receipt", $C279*VLOOKUP($B279, Items!$A:$E, 5, FALSE), IF($D279="Consumption", -$C279*VLOOKUP($B279, Items!$A:$E, 5, FALSE), "")))</f>
        <v>0</v>
      </c>
      <c r="H279">
        <f>IF($D279="Consumption", -$C279*VLOOKUP($B279, Items!$A:$E, 5, FALSE), 0)</f>
        <v>0</v>
      </c>
    </row>
    <row r="280" spans="7:8">
      <c r="G280">
        <f>IF($D280="", "", IF($D280="Receipt", $C280*VLOOKUP($B280, Items!$A:$E, 5, FALSE), IF($D280="Consumption", -$C280*VLOOKUP($B280, Items!$A:$E, 5, FALSE), "")))</f>
        <v>0</v>
      </c>
      <c r="H280">
        <f>IF($D280="Consumption", -$C280*VLOOKUP($B280, Items!$A:$E, 5, FALSE), 0)</f>
        <v>0</v>
      </c>
    </row>
    <row r="281" spans="7:8">
      <c r="G281">
        <f>IF($D281="", "", IF($D281="Receipt", $C281*VLOOKUP($B281, Items!$A:$E, 5, FALSE), IF($D281="Consumption", -$C281*VLOOKUP($B281, Items!$A:$E, 5, FALSE), "")))</f>
        <v>0</v>
      </c>
      <c r="H281">
        <f>IF($D281="Consumption", -$C281*VLOOKUP($B281, Items!$A:$E, 5, FALSE), 0)</f>
        <v>0</v>
      </c>
    </row>
    <row r="282" spans="7:8">
      <c r="G282">
        <f>IF($D282="", "", IF($D282="Receipt", $C282*VLOOKUP($B282, Items!$A:$E, 5, FALSE), IF($D282="Consumption", -$C282*VLOOKUP($B282, Items!$A:$E, 5, FALSE), "")))</f>
        <v>0</v>
      </c>
      <c r="H282">
        <f>IF($D282="Consumption", -$C282*VLOOKUP($B282, Items!$A:$E, 5, FALSE), 0)</f>
        <v>0</v>
      </c>
    </row>
    <row r="283" spans="7:8">
      <c r="G283">
        <f>IF($D283="", "", IF($D283="Receipt", $C283*VLOOKUP($B283, Items!$A:$E, 5, FALSE), IF($D283="Consumption", -$C283*VLOOKUP($B283, Items!$A:$E, 5, FALSE), "")))</f>
        <v>0</v>
      </c>
      <c r="H283">
        <f>IF($D283="Consumption", -$C283*VLOOKUP($B283, Items!$A:$E, 5, FALSE), 0)</f>
        <v>0</v>
      </c>
    </row>
    <row r="284" spans="7:8">
      <c r="G284">
        <f>IF($D284="", "", IF($D284="Receipt", $C284*VLOOKUP($B284, Items!$A:$E, 5, FALSE), IF($D284="Consumption", -$C284*VLOOKUP($B284, Items!$A:$E, 5, FALSE), "")))</f>
        <v>0</v>
      </c>
      <c r="H284">
        <f>IF($D284="Consumption", -$C284*VLOOKUP($B284, Items!$A:$E, 5, FALSE), 0)</f>
        <v>0</v>
      </c>
    </row>
    <row r="285" spans="7:8">
      <c r="G285">
        <f>IF($D285="", "", IF($D285="Receipt", $C285*VLOOKUP($B285, Items!$A:$E, 5, FALSE), IF($D285="Consumption", -$C285*VLOOKUP($B285, Items!$A:$E, 5, FALSE), "")))</f>
        <v>0</v>
      </c>
      <c r="H285">
        <f>IF($D285="Consumption", -$C285*VLOOKUP($B285, Items!$A:$E, 5, FALSE), 0)</f>
        <v>0</v>
      </c>
    </row>
    <row r="286" spans="7:8">
      <c r="G286">
        <f>IF($D286="", "", IF($D286="Receipt", $C286*VLOOKUP($B286, Items!$A:$E, 5, FALSE), IF($D286="Consumption", -$C286*VLOOKUP($B286, Items!$A:$E, 5, FALSE), "")))</f>
        <v>0</v>
      </c>
      <c r="H286">
        <f>IF($D286="Consumption", -$C286*VLOOKUP($B286, Items!$A:$E, 5, FALSE), 0)</f>
        <v>0</v>
      </c>
    </row>
    <row r="287" spans="7:8">
      <c r="G287">
        <f>IF($D287="", "", IF($D287="Receipt", $C287*VLOOKUP($B287, Items!$A:$E, 5, FALSE), IF($D287="Consumption", -$C287*VLOOKUP($B287, Items!$A:$E, 5, FALSE), "")))</f>
        <v>0</v>
      </c>
      <c r="H287">
        <f>IF($D287="Consumption", -$C287*VLOOKUP($B287, Items!$A:$E, 5, FALSE), 0)</f>
        <v>0</v>
      </c>
    </row>
    <row r="288" spans="7:8">
      <c r="G288">
        <f>IF($D288="", "", IF($D288="Receipt", $C288*VLOOKUP($B288, Items!$A:$E, 5, FALSE), IF($D288="Consumption", -$C288*VLOOKUP($B288, Items!$A:$E, 5, FALSE), "")))</f>
        <v>0</v>
      </c>
      <c r="H288">
        <f>IF($D288="Consumption", -$C288*VLOOKUP($B288, Items!$A:$E, 5, FALSE), 0)</f>
        <v>0</v>
      </c>
    </row>
    <row r="289" spans="7:8">
      <c r="G289">
        <f>IF($D289="", "", IF($D289="Receipt", $C289*VLOOKUP($B289, Items!$A:$E, 5, FALSE), IF($D289="Consumption", -$C289*VLOOKUP($B289, Items!$A:$E, 5, FALSE), "")))</f>
        <v>0</v>
      </c>
      <c r="H289">
        <f>IF($D289="Consumption", -$C289*VLOOKUP($B289, Items!$A:$E, 5, FALSE), 0)</f>
        <v>0</v>
      </c>
    </row>
    <row r="290" spans="7:8">
      <c r="G290">
        <f>IF($D290="", "", IF($D290="Receipt", $C290*VLOOKUP($B290, Items!$A:$E, 5, FALSE), IF($D290="Consumption", -$C290*VLOOKUP($B290, Items!$A:$E, 5, FALSE), "")))</f>
        <v>0</v>
      </c>
      <c r="H290">
        <f>IF($D290="Consumption", -$C290*VLOOKUP($B290, Items!$A:$E, 5, FALSE), 0)</f>
        <v>0</v>
      </c>
    </row>
    <row r="291" spans="7:8">
      <c r="G291">
        <f>IF($D291="", "", IF($D291="Receipt", $C291*VLOOKUP($B291, Items!$A:$E, 5, FALSE), IF($D291="Consumption", -$C291*VLOOKUP($B291, Items!$A:$E, 5, FALSE), "")))</f>
        <v>0</v>
      </c>
      <c r="H291">
        <f>IF($D291="Consumption", -$C291*VLOOKUP($B291, Items!$A:$E, 5, FALSE), 0)</f>
        <v>0</v>
      </c>
    </row>
    <row r="292" spans="7:8">
      <c r="G292">
        <f>IF($D292="", "", IF($D292="Receipt", $C292*VLOOKUP($B292, Items!$A:$E, 5, FALSE), IF($D292="Consumption", -$C292*VLOOKUP($B292, Items!$A:$E, 5, FALSE), "")))</f>
        <v>0</v>
      </c>
      <c r="H292">
        <f>IF($D292="Consumption", -$C292*VLOOKUP($B292, Items!$A:$E, 5, FALSE), 0)</f>
        <v>0</v>
      </c>
    </row>
    <row r="293" spans="7:8">
      <c r="G293">
        <f>IF($D293="", "", IF($D293="Receipt", $C293*VLOOKUP($B293, Items!$A:$E, 5, FALSE), IF($D293="Consumption", -$C293*VLOOKUP($B293, Items!$A:$E, 5, FALSE), "")))</f>
        <v>0</v>
      </c>
      <c r="H293">
        <f>IF($D293="Consumption", -$C293*VLOOKUP($B293, Items!$A:$E, 5, FALSE), 0)</f>
        <v>0</v>
      </c>
    </row>
    <row r="294" spans="7:8">
      <c r="G294">
        <f>IF($D294="", "", IF($D294="Receipt", $C294*VLOOKUP($B294, Items!$A:$E, 5, FALSE), IF($D294="Consumption", -$C294*VLOOKUP($B294, Items!$A:$E, 5, FALSE), "")))</f>
        <v>0</v>
      </c>
      <c r="H294">
        <f>IF($D294="Consumption", -$C294*VLOOKUP($B294, Items!$A:$E, 5, FALSE), 0)</f>
        <v>0</v>
      </c>
    </row>
    <row r="295" spans="7:8">
      <c r="G295">
        <f>IF($D295="", "", IF($D295="Receipt", $C295*VLOOKUP($B295, Items!$A:$E, 5, FALSE), IF($D295="Consumption", -$C295*VLOOKUP($B295, Items!$A:$E, 5, FALSE), "")))</f>
        <v>0</v>
      </c>
      <c r="H295">
        <f>IF($D295="Consumption", -$C295*VLOOKUP($B295, Items!$A:$E, 5, FALSE), 0)</f>
        <v>0</v>
      </c>
    </row>
    <row r="296" spans="7:8">
      <c r="G296">
        <f>IF($D296="", "", IF($D296="Receipt", $C296*VLOOKUP($B296, Items!$A:$E, 5, FALSE), IF($D296="Consumption", -$C296*VLOOKUP($B296, Items!$A:$E, 5, FALSE), "")))</f>
        <v>0</v>
      </c>
      <c r="H296">
        <f>IF($D296="Consumption", -$C296*VLOOKUP($B296, Items!$A:$E, 5, FALSE), 0)</f>
        <v>0</v>
      </c>
    </row>
    <row r="297" spans="7:8">
      <c r="G297">
        <f>IF($D297="", "", IF($D297="Receipt", $C297*VLOOKUP($B297, Items!$A:$E, 5, FALSE), IF($D297="Consumption", -$C297*VLOOKUP($B297, Items!$A:$E, 5, FALSE), "")))</f>
        <v>0</v>
      </c>
      <c r="H297">
        <f>IF($D297="Consumption", -$C297*VLOOKUP($B297, Items!$A:$E, 5, FALSE), 0)</f>
        <v>0</v>
      </c>
    </row>
    <row r="298" spans="7:8">
      <c r="G298">
        <f>IF($D298="", "", IF($D298="Receipt", $C298*VLOOKUP($B298, Items!$A:$E, 5, FALSE), IF($D298="Consumption", -$C298*VLOOKUP($B298, Items!$A:$E, 5, FALSE), "")))</f>
        <v>0</v>
      </c>
      <c r="H298">
        <f>IF($D298="Consumption", -$C298*VLOOKUP($B298, Items!$A:$E, 5, FALSE), 0)</f>
        <v>0</v>
      </c>
    </row>
    <row r="299" spans="7:8">
      <c r="G299">
        <f>IF($D299="", "", IF($D299="Receipt", $C299*VLOOKUP($B299, Items!$A:$E, 5, FALSE), IF($D299="Consumption", -$C299*VLOOKUP($B299, Items!$A:$E, 5, FALSE), "")))</f>
        <v>0</v>
      </c>
      <c r="H299">
        <f>IF($D299="Consumption", -$C299*VLOOKUP($B299, Items!$A:$E, 5, FALSE), 0)</f>
        <v>0</v>
      </c>
    </row>
    <row r="300" spans="7:8">
      <c r="G300">
        <f>IF($D300="", "", IF($D300="Receipt", $C300*VLOOKUP($B300, Items!$A:$E, 5, FALSE), IF($D300="Consumption", -$C300*VLOOKUP($B300, Items!$A:$E, 5, FALSE), "")))</f>
        <v>0</v>
      </c>
      <c r="H300">
        <f>IF($D300="Consumption", -$C300*VLOOKUP($B300, Items!$A:$E, 5, FALSE), 0)</f>
        <v>0</v>
      </c>
    </row>
    <row r="301" spans="7:8">
      <c r="G301">
        <f>IF($D301="", "", IF($D301="Receipt", $C301*VLOOKUP($B301, Items!$A:$E, 5, FALSE), IF($D301="Consumption", -$C301*VLOOKUP($B301, Items!$A:$E, 5, FALSE), "")))</f>
        <v>0</v>
      </c>
      <c r="H301">
        <f>IF($D301="Consumption", -$C301*VLOOKUP($B301, Items!$A:$E, 5, FALSE), 0)</f>
        <v>0</v>
      </c>
    </row>
    <row r="302" spans="7:8">
      <c r="G302">
        <f>IF($D302="", "", IF($D302="Receipt", $C302*VLOOKUP($B302, Items!$A:$E, 5, FALSE), IF($D302="Consumption", -$C302*VLOOKUP($B302, Items!$A:$E, 5, FALSE), "")))</f>
        <v>0</v>
      </c>
      <c r="H302">
        <f>IF($D302="Consumption", -$C302*VLOOKUP($B302, Items!$A:$E, 5, FALSE), 0)</f>
        <v>0</v>
      </c>
    </row>
    <row r="303" spans="7:8">
      <c r="G303">
        <f>IF($D303="", "", IF($D303="Receipt", $C303*VLOOKUP($B303, Items!$A:$E, 5, FALSE), IF($D303="Consumption", -$C303*VLOOKUP($B303, Items!$A:$E, 5, FALSE), "")))</f>
        <v>0</v>
      </c>
      <c r="H303">
        <f>IF($D303="Consumption", -$C303*VLOOKUP($B303, Items!$A:$E, 5, FALSE), 0)</f>
        <v>0</v>
      </c>
    </row>
    <row r="304" spans="7:8">
      <c r="G304">
        <f>IF($D304="", "", IF($D304="Receipt", $C304*VLOOKUP($B304, Items!$A:$E, 5, FALSE), IF($D304="Consumption", -$C304*VLOOKUP($B304, Items!$A:$E, 5, FALSE), "")))</f>
        <v>0</v>
      </c>
      <c r="H304">
        <f>IF($D304="Consumption", -$C304*VLOOKUP($B304, Items!$A:$E, 5, FALSE), 0)</f>
        <v>0</v>
      </c>
    </row>
    <row r="305" spans="7:8">
      <c r="G305">
        <f>IF($D305="", "", IF($D305="Receipt", $C305*VLOOKUP($B305, Items!$A:$E, 5, FALSE), IF($D305="Consumption", -$C305*VLOOKUP($B305, Items!$A:$E, 5, FALSE), "")))</f>
        <v>0</v>
      </c>
      <c r="H305">
        <f>IF($D305="Consumption", -$C305*VLOOKUP($B305, Items!$A:$E, 5, FALSE), 0)</f>
        <v>0</v>
      </c>
    </row>
    <row r="306" spans="7:8">
      <c r="G306">
        <f>IF($D306="", "", IF($D306="Receipt", $C306*VLOOKUP($B306, Items!$A:$E, 5, FALSE), IF($D306="Consumption", -$C306*VLOOKUP($B306, Items!$A:$E, 5, FALSE), "")))</f>
        <v>0</v>
      </c>
      <c r="H306">
        <f>IF($D306="Consumption", -$C306*VLOOKUP($B306, Items!$A:$E, 5, FALSE), 0)</f>
        <v>0</v>
      </c>
    </row>
    <row r="307" spans="7:8">
      <c r="G307">
        <f>IF($D307="", "", IF($D307="Receipt", $C307*VLOOKUP($B307, Items!$A:$E, 5, FALSE), IF($D307="Consumption", -$C307*VLOOKUP($B307, Items!$A:$E, 5, FALSE), "")))</f>
        <v>0</v>
      </c>
      <c r="H307">
        <f>IF($D307="Consumption", -$C307*VLOOKUP($B307, Items!$A:$E, 5, FALSE), 0)</f>
        <v>0</v>
      </c>
    </row>
    <row r="308" spans="7:8">
      <c r="G308">
        <f>IF($D308="", "", IF($D308="Receipt", $C308*VLOOKUP($B308, Items!$A:$E, 5, FALSE), IF($D308="Consumption", -$C308*VLOOKUP($B308, Items!$A:$E, 5, FALSE), "")))</f>
        <v>0</v>
      </c>
      <c r="H308">
        <f>IF($D308="Consumption", -$C308*VLOOKUP($B308, Items!$A:$E, 5, FALSE), 0)</f>
        <v>0</v>
      </c>
    </row>
    <row r="309" spans="7:8">
      <c r="G309">
        <f>IF($D309="", "", IF($D309="Receipt", $C309*VLOOKUP($B309, Items!$A:$E, 5, FALSE), IF($D309="Consumption", -$C309*VLOOKUP($B309, Items!$A:$E, 5, FALSE), "")))</f>
        <v>0</v>
      </c>
      <c r="H309">
        <f>IF($D309="Consumption", -$C309*VLOOKUP($B309, Items!$A:$E, 5, FALSE), 0)</f>
        <v>0</v>
      </c>
    </row>
    <row r="310" spans="7:8">
      <c r="G310">
        <f>IF($D310="", "", IF($D310="Receipt", $C310*VLOOKUP($B310, Items!$A:$E, 5, FALSE), IF($D310="Consumption", -$C310*VLOOKUP($B310, Items!$A:$E, 5, FALSE), "")))</f>
        <v>0</v>
      </c>
      <c r="H310">
        <f>IF($D310="Consumption", -$C310*VLOOKUP($B310, Items!$A:$E, 5, FALSE), 0)</f>
        <v>0</v>
      </c>
    </row>
    <row r="311" spans="7:8">
      <c r="G311">
        <f>IF($D311="", "", IF($D311="Receipt", $C311*VLOOKUP($B311, Items!$A:$E, 5, FALSE), IF($D311="Consumption", -$C311*VLOOKUP($B311, Items!$A:$E, 5, FALSE), "")))</f>
        <v>0</v>
      </c>
      <c r="H311">
        <f>IF($D311="Consumption", -$C311*VLOOKUP($B311, Items!$A:$E, 5, FALSE), 0)</f>
        <v>0</v>
      </c>
    </row>
    <row r="312" spans="7:8">
      <c r="G312">
        <f>IF($D312="", "", IF($D312="Receipt", $C312*VLOOKUP($B312, Items!$A:$E, 5, FALSE), IF($D312="Consumption", -$C312*VLOOKUP($B312, Items!$A:$E, 5, FALSE), "")))</f>
        <v>0</v>
      </c>
      <c r="H312">
        <f>IF($D312="Consumption", -$C312*VLOOKUP($B312, Items!$A:$E, 5, FALSE), 0)</f>
        <v>0</v>
      </c>
    </row>
    <row r="313" spans="7:8">
      <c r="G313">
        <f>IF($D313="", "", IF($D313="Receipt", $C313*VLOOKUP($B313, Items!$A:$E, 5, FALSE), IF($D313="Consumption", -$C313*VLOOKUP($B313, Items!$A:$E, 5, FALSE), "")))</f>
        <v>0</v>
      </c>
      <c r="H313">
        <f>IF($D313="Consumption", -$C313*VLOOKUP($B313, Items!$A:$E, 5, FALSE), 0)</f>
        <v>0</v>
      </c>
    </row>
    <row r="314" spans="7:8">
      <c r="G314">
        <f>IF($D314="", "", IF($D314="Receipt", $C314*VLOOKUP($B314, Items!$A:$E, 5, FALSE), IF($D314="Consumption", -$C314*VLOOKUP($B314, Items!$A:$E, 5, FALSE), "")))</f>
        <v>0</v>
      </c>
      <c r="H314">
        <f>IF($D314="Consumption", -$C314*VLOOKUP($B314, Items!$A:$E, 5, FALSE), 0)</f>
        <v>0</v>
      </c>
    </row>
    <row r="315" spans="7:8">
      <c r="G315">
        <f>IF($D315="", "", IF($D315="Receipt", $C315*VLOOKUP($B315, Items!$A:$E, 5, FALSE), IF($D315="Consumption", -$C315*VLOOKUP($B315, Items!$A:$E, 5, FALSE), "")))</f>
        <v>0</v>
      </c>
      <c r="H315">
        <f>IF($D315="Consumption", -$C315*VLOOKUP($B315, Items!$A:$E, 5, FALSE), 0)</f>
        <v>0</v>
      </c>
    </row>
    <row r="316" spans="7:8">
      <c r="G316">
        <f>IF($D316="", "", IF($D316="Receipt", $C316*VLOOKUP($B316, Items!$A:$E, 5, FALSE), IF($D316="Consumption", -$C316*VLOOKUP($B316, Items!$A:$E, 5, FALSE), "")))</f>
        <v>0</v>
      </c>
      <c r="H316">
        <f>IF($D316="Consumption", -$C316*VLOOKUP($B316, Items!$A:$E, 5, FALSE), 0)</f>
        <v>0</v>
      </c>
    </row>
    <row r="317" spans="7:8">
      <c r="G317">
        <f>IF($D317="", "", IF($D317="Receipt", $C317*VLOOKUP($B317, Items!$A:$E, 5, FALSE), IF($D317="Consumption", -$C317*VLOOKUP($B317, Items!$A:$E, 5, FALSE), "")))</f>
        <v>0</v>
      </c>
      <c r="H317">
        <f>IF($D317="Consumption", -$C317*VLOOKUP($B317, Items!$A:$E, 5, FALSE), 0)</f>
        <v>0</v>
      </c>
    </row>
    <row r="318" spans="7:8">
      <c r="G318">
        <f>IF($D318="", "", IF($D318="Receipt", $C318*VLOOKUP($B318, Items!$A:$E, 5, FALSE), IF($D318="Consumption", -$C318*VLOOKUP($B318, Items!$A:$E, 5, FALSE), "")))</f>
        <v>0</v>
      </c>
      <c r="H318">
        <f>IF($D318="Consumption", -$C318*VLOOKUP($B318, Items!$A:$E, 5, FALSE), 0)</f>
        <v>0</v>
      </c>
    </row>
    <row r="319" spans="7:8">
      <c r="G319">
        <f>IF($D319="", "", IF($D319="Receipt", $C319*VLOOKUP($B319, Items!$A:$E, 5, FALSE), IF($D319="Consumption", -$C319*VLOOKUP($B319, Items!$A:$E, 5, FALSE), "")))</f>
        <v>0</v>
      </c>
      <c r="H319">
        <f>IF($D319="Consumption", -$C319*VLOOKUP($B319, Items!$A:$E, 5, FALSE), 0)</f>
        <v>0</v>
      </c>
    </row>
    <row r="320" spans="7:8">
      <c r="G320">
        <f>IF($D320="", "", IF($D320="Receipt", $C320*VLOOKUP($B320, Items!$A:$E, 5, FALSE), IF($D320="Consumption", -$C320*VLOOKUP($B320, Items!$A:$E, 5, FALSE), "")))</f>
        <v>0</v>
      </c>
      <c r="H320">
        <f>IF($D320="Consumption", -$C320*VLOOKUP($B320, Items!$A:$E, 5, FALSE), 0)</f>
        <v>0</v>
      </c>
    </row>
    <row r="321" spans="7:8">
      <c r="G321">
        <f>IF($D321="", "", IF($D321="Receipt", $C321*VLOOKUP($B321, Items!$A:$E, 5, FALSE), IF($D321="Consumption", -$C321*VLOOKUP($B321, Items!$A:$E, 5, FALSE), "")))</f>
        <v>0</v>
      </c>
      <c r="H321">
        <f>IF($D321="Consumption", -$C321*VLOOKUP($B321, Items!$A:$E, 5, FALSE), 0)</f>
        <v>0</v>
      </c>
    </row>
    <row r="322" spans="7:8">
      <c r="G322">
        <f>IF($D322="", "", IF($D322="Receipt", $C322*VLOOKUP($B322, Items!$A:$E, 5, FALSE), IF($D322="Consumption", -$C322*VLOOKUP($B322, Items!$A:$E, 5, FALSE), "")))</f>
        <v>0</v>
      </c>
      <c r="H322">
        <f>IF($D322="Consumption", -$C322*VLOOKUP($B322, Items!$A:$E, 5, FALSE), 0)</f>
        <v>0</v>
      </c>
    </row>
    <row r="323" spans="7:8">
      <c r="G323">
        <f>IF($D323="", "", IF($D323="Receipt", $C323*VLOOKUP($B323, Items!$A:$E, 5, FALSE), IF($D323="Consumption", -$C323*VLOOKUP($B323, Items!$A:$E, 5, FALSE), "")))</f>
        <v>0</v>
      </c>
      <c r="H323">
        <f>IF($D323="Consumption", -$C323*VLOOKUP($B323, Items!$A:$E, 5, FALSE), 0)</f>
        <v>0</v>
      </c>
    </row>
    <row r="324" spans="7:8">
      <c r="G324">
        <f>IF($D324="", "", IF($D324="Receipt", $C324*VLOOKUP($B324, Items!$A:$E, 5, FALSE), IF($D324="Consumption", -$C324*VLOOKUP($B324, Items!$A:$E, 5, FALSE), "")))</f>
        <v>0</v>
      </c>
      <c r="H324">
        <f>IF($D324="Consumption", -$C324*VLOOKUP($B324, Items!$A:$E, 5, FALSE), 0)</f>
        <v>0</v>
      </c>
    </row>
    <row r="325" spans="7:8">
      <c r="G325">
        <f>IF($D325="", "", IF($D325="Receipt", $C325*VLOOKUP($B325, Items!$A:$E, 5, FALSE), IF($D325="Consumption", -$C325*VLOOKUP($B325, Items!$A:$E, 5, FALSE), "")))</f>
        <v>0</v>
      </c>
      <c r="H325">
        <f>IF($D325="Consumption", -$C325*VLOOKUP($B325, Items!$A:$E, 5, FALSE), 0)</f>
        <v>0</v>
      </c>
    </row>
    <row r="326" spans="7:8">
      <c r="G326">
        <f>IF($D326="", "", IF($D326="Receipt", $C326*VLOOKUP($B326, Items!$A:$E, 5, FALSE), IF($D326="Consumption", -$C326*VLOOKUP($B326, Items!$A:$E, 5, FALSE), "")))</f>
        <v>0</v>
      </c>
      <c r="H326">
        <f>IF($D326="Consumption", -$C326*VLOOKUP($B326, Items!$A:$E, 5, FALSE), 0)</f>
        <v>0</v>
      </c>
    </row>
    <row r="327" spans="7:8">
      <c r="G327">
        <f>IF($D327="", "", IF($D327="Receipt", $C327*VLOOKUP($B327, Items!$A:$E, 5, FALSE), IF($D327="Consumption", -$C327*VLOOKUP($B327, Items!$A:$E, 5, FALSE), "")))</f>
        <v>0</v>
      </c>
      <c r="H327">
        <f>IF($D327="Consumption", -$C327*VLOOKUP($B327, Items!$A:$E, 5, FALSE), 0)</f>
        <v>0</v>
      </c>
    </row>
    <row r="328" spans="7:8">
      <c r="G328">
        <f>IF($D328="", "", IF($D328="Receipt", $C328*VLOOKUP($B328, Items!$A:$E, 5, FALSE), IF($D328="Consumption", -$C328*VLOOKUP($B328, Items!$A:$E, 5, FALSE), "")))</f>
        <v>0</v>
      </c>
      <c r="H328">
        <f>IF($D328="Consumption", -$C328*VLOOKUP($B328, Items!$A:$E, 5, FALSE), 0)</f>
        <v>0</v>
      </c>
    </row>
    <row r="329" spans="7:8">
      <c r="G329">
        <f>IF($D329="", "", IF($D329="Receipt", $C329*VLOOKUP($B329, Items!$A:$E, 5, FALSE), IF($D329="Consumption", -$C329*VLOOKUP($B329, Items!$A:$E, 5, FALSE), "")))</f>
        <v>0</v>
      </c>
      <c r="H329">
        <f>IF($D329="Consumption", -$C329*VLOOKUP($B329, Items!$A:$E, 5, FALSE), 0)</f>
        <v>0</v>
      </c>
    </row>
    <row r="330" spans="7:8">
      <c r="G330">
        <f>IF($D330="", "", IF($D330="Receipt", $C330*VLOOKUP($B330, Items!$A:$E, 5, FALSE), IF($D330="Consumption", -$C330*VLOOKUP($B330, Items!$A:$E, 5, FALSE), "")))</f>
        <v>0</v>
      </c>
      <c r="H330">
        <f>IF($D330="Consumption", -$C330*VLOOKUP($B330, Items!$A:$E, 5, FALSE), 0)</f>
        <v>0</v>
      </c>
    </row>
    <row r="331" spans="7:8">
      <c r="G331">
        <f>IF($D331="", "", IF($D331="Receipt", $C331*VLOOKUP($B331, Items!$A:$E, 5, FALSE), IF($D331="Consumption", -$C331*VLOOKUP($B331, Items!$A:$E, 5, FALSE), "")))</f>
        <v>0</v>
      </c>
      <c r="H331">
        <f>IF($D331="Consumption", -$C331*VLOOKUP($B331, Items!$A:$E, 5, FALSE), 0)</f>
        <v>0</v>
      </c>
    </row>
    <row r="332" spans="7:8">
      <c r="G332">
        <f>IF($D332="", "", IF($D332="Receipt", $C332*VLOOKUP($B332, Items!$A:$E, 5, FALSE), IF($D332="Consumption", -$C332*VLOOKUP($B332, Items!$A:$E, 5, FALSE), "")))</f>
        <v>0</v>
      </c>
      <c r="H332">
        <f>IF($D332="Consumption", -$C332*VLOOKUP($B332, Items!$A:$E, 5, FALSE), 0)</f>
        <v>0</v>
      </c>
    </row>
    <row r="333" spans="7:8">
      <c r="G333">
        <f>IF($D333="", "", IF($D333="Receipt", $C333*VLOOKUP($B333, Items!$A:$E, 5, FALSE), IF($D333="Consumption", -$C333*VLOOKUP($B333, Items!$A:$E, 5, FALSE), "")))</f>
        <v>0</v>
      </c>
      <c r="H333">
        <f>IF($D333="Consumption", -$C333*VLOOKUP($B333, Items!$A:$E, 5, FALSE), 0)</f>
        <v>0</v>
      </c>
    </row>
    <row r="334" spans="7:8">
      <c r="G334">
        <f>IF($D334="", "", IF($D334="Receipt", $C334*VLOOKUP($B334, Items!$A:$E, 5, FALSE), IF($D334="Consumption", -$C334*VLOOKUP($B334, Items!$A:$E, 5, FALSE), "")))</f>
        <v>0</v>
      </c>
      <c r="H334">
        <f>IF($D334="Consumption", -$C334*VLOOKUP($B334, Items!$A:$E, 5, FALSE), 0)</f>
        <v>0</v>
      </c>
    </row>
    <row r="335" spans="7:8">
      <c r="G335">
        <f>IF($D335="", "", IF($D335="Receipt", $C335*VLOOKUP($B335, Items!$A:$E, 5, FALSE), IF($D335="Consumption", -$C335*VLOOKUP($B335, Items!$A:$E, 5, FALSE), "")))</f>
        <v>0</v>
      </c>
      <c r="H335">
        <f>IF($D335="Consumption", -$C335*VLOOKUP($B335, Items!$A:$E, 5, FALSE), 0)</f>
        <v>0</v>
      </c>
    </row>
    <row r="336" spans="7:8">
      <c r="G336">
        <f>IF($D336="", "", IF($D336="Receipt", $C336*VLOOKUP($B336, Items!$A:$E, 5, FALSE), IF($D336="Consumption", -$C336*VLOOKUP($B336, Items!$A:$E, 5, FALSE), "")))</f>
        <v>0</v>
      </c>
      <c r="H336">
        <f>IF($D336="Consumption", -$C336*VLOOKUP($B336, Items!$A:$E, 5, FALSE), 0)</f>
        <v>0</v>
      </c>
    </row>
    <row r="337" spans="7:8">
      <c r="G337">
        <f>IF($D337="", "", IF($D337="Receipt", $C337*VLOOKUP($B337, Items!$A:$E, 5, FALSE), IF($D337="Consumption", -$C337*VLOOKUP($B337, Items!$A:$E, 5, FALSE), "")))</f>
        <v>0</v>
      </c>
      <c r="H337">
        <f>IF($D337="Consumption", -$C337*VLOOKUP($B337, Items!$A:$E, 5, FALSE), 0)</f>
        <v>0</v>
      </c>
    </row>
    <row r="338" spans="7:8">
      <c r="G338">
        <f>IF($D338="", "", IF($D338="Receipt", $C338*VLOOKUP($B338, Items!$A:$E, 5, FALSE), IF($D338="Consumption", -$C338*VLOOKUP($B338, Items!$A:$E, 5, FALSE), "")))</f>
        <v>0</v>
      </c>
      <c r="H338">
        <f>IF($D338="Consumption", -$C338*VLOOKUP($B338, Items!$A:$E, 5, FALSE), 0)</f>
        <v>0</v>
      </c>
    </row>
    <row r="339" spans="7:8">
      <c r="G339">
        <f>IF($D339="", "", IF($D339="Receipt", $C339*VLOOKUP($B339, Items!$A:$E, 5, FALSE), IF($D339="Consumption", -$C339*VLOOKUP($B339, Items!$A:$E, 5, FALSE), "")))</f>
        <v>0</v>
      </c>
      <c r="H339">
        <f>IF($D339="Consumption", -$C339*VLOOKUP($B339, Items!$A:$E, 5, FALSE), 0)</f>
        <v>0</v>
      </c>
    </row>
    <row r="340" spans="7:8">
      <c r="G340">
        <f>IF($D340="", "", IF($D340="Receipt", $C340*VLOOKUP($B340, Items!$A:$E, 5, FALSE), IF($D340="Consumption", -$C340*VLOOKUP($B340, Items!$A:$E, 5, FALSE), "")))</f>
        <v>0</v>
      </c>
      <c r="H340">
        <f>IF($D340="Consumption", -$C340*VLOOKUP($B340, Items!$A:$E, 5, FALSE), 0)</f>
        <v>0</v>
      </c>
    </row>
    <row r="341" spans="7:8">
      <c r="G341">
        <f>IF($D341="", "", IF($D341="Receipt", $C341*VLOOKUP($B341, Items!$A:$E, 5, FALSE), IF($D341="Consumption", -$C341*VLOOKUP($B341, Items!$A:$E, 5, FALSE), "")))</f>
        <v>0</v>
      </c>
      <c r="H341">
        <f>IF($D341="Consumption", -$C341*VLOOKUP($B341, Items!$A:$E, 5, FALSE), 0)</f>
        <v>0</v>
      </c>
    </row>
    <row r="342" spans="7:8">
      <c r="G342">
        <f>IF($D342="", "", IF($D342="Receipt", $C342*VLOOKUP($B342, Items!$A:$E, 5, FALSE), IF($D342="Consumption", -$C342*VLOOKUP($B342, Items!$A:$E, 5, FALSE), "")))</f>
        <v>0</v>
      </c>
      <c r="H342">
        <f>IF($D342="Consumption", -$C342*VLOOKUP($B342, Items!$A:$E, 5, FALSE), 0)</f>
        <v>0</v>
      </c>
    </row>
    <row r="343" spans="7:8">
      <c r="G343">
        <f>IF($D343="", "", IF($D343="Receipt", $C343*VLOOKUP($B343, Items!$A:$E, 5, FALSE), IF($D343="Consumption", -$C343*VLOOKUP($B343, Items!$A:$E, 5, FALSE), "")))</f>
        <v>0</v>
      </c>
      <c r="H343">
        <f>IF($D343="Consumption", -$C343*VLOOKUP($B343, Items!$A:$E, 5, FALSE), 0)</f>
        <v>0</v>
      </c>
    </row>
    <row r="344" spans="7:8">
      <c r="G344">
        <f>IF($D344="", "", IF($D344="Receipt", $C344*VLOOKUP($B344, Items!$A:$E, 5, FALSE), IF($D344="Consumption", -$C344*VLOOKUP($B344, Items!$A:$E, 5, FALSE), "")))</f>
        <v>0</v>
      </c>
      <c r="H344">
        <f>IF($D344="Consumption", -$C344*VLOOKUP($B344, Items!$A:$E, 5, FALSE), 0)</f>
        <v>0</v>
      </c>
    </row>
    <row r="345" spans="7:8">
      <c r="G345">
        <f>IF($D345="", "", IF($D345="Receipt", $C345*VLOOKUP($B345, Items!$A:$E, 5, FALSE), IF($D345="Consumption", -$C345*VLOOKUP($B345, Items!$A:$E, 5, FALSE), "")))</f>
        <v>0</v>
      </c>
      <c r="H345">
        <f>IF($D345="Consumption", -$C345*VLOOKUP($B345, Items!$A:$E, 5, FALSE), 0)</f>
        <v>0</v>
      </c>
    </row>
    <row r="346" spans="7:8">
      <c r="G346">
        <f>IF($D346="", "", IF($D346="Receipt", $C346*VLOOKUP($B346, Items!$A:$E, 5, FALSE), IF($D346="Consumption", -$C346*VLOOKUP($B346, Items!$A:$E, 5, FALSE), "")))</f>
        <v>0</v>
      </c>
      <c r="H346">
        <f>IF($D346="Consumption", -$C346*VLOOKUP($B346, Items!$A:$E, 5, FALSE), 0)</f>
        <v>0</v>
      </c>
    </row>
    <row r="347" spans="7:8">
      <c r="G347">
        <f>IF($D347="", "", IF($D347="Receipt", $C347*VLOOKUP($B347, Items!$A:$E, 5, FALSE), IF($D347="Consumption", -$C347*VLOOKUP($B347, Items!$A:$E, 5, FALSE), "")))</f>
        <v>0</v>
      </c>
      <c r="H347">
        <f>IF($D347="Consumption", -$C347*VLOOKUP($B347, Items!$A:$E, 5, FALSE), 0)</f>
        <v>0</v>
      </c>
    </row>
    <row r="348" spans="7:8">
      <c r="G348">
        <f>IF($D348="", "", IF($D348="Receipt", $C348*VLOOKUP($B348, Items!$A:$E, 5, FALSE), IF($D348="Consumption", -$C348*VLOOKUP($B348, Items!$A:$E, 5, FALSE), "")))</f>
        <v>0</v>
      </c>
      <c r="H348">
        <f>IF($D348="Consumption", -$C348*VLOOKUP($B348, Items!$A:$E, 5, FALSE), 0)</f>
        <v>0</v>
      </c>
    </row>
    <row r="349" spans="7:8">
      <c r="G349">
        <f>IF($D349="", "", IF($D349="Receipt", $C349*VLOOKUP($B349, Items!$A:$E, 5, FALSE), IF($D349="Consumption", -$C349*VLOOKUP($B349, Items!$A:$E, 5, FALSE), "")))</f>
        <v>0</v>
      </c>
      <c r="H349">
        <f>IF($D349="Consumption", -$C349*VLOOKUP($B349, Items!$A:$E, 5, FALSE), 0)</f>
        <v>0</v>
      </c>
    </row>
    <row r="350" spans="7:8">
      <c r="G350">
        <f>IF($D350="", "", IF($D350="Receipt", $C350*VLOOKUP($B350, Items!$A:$E, 5, FALSE), IF($D350="Consumption", -$C350*VLOOKUP($B350, Items!$A:$E, 5, FALSE), "")))</f>
        <v>0</v>
      </c>
      <c r="H350">
        <f>IF($D350="Consumption", -$C350*VLOOKUP($B350, Items!$A:$E, 5, FALSE), 0)</f>
        <v>0</v>
      </c>
    </row>
    <row r="351" spans="7:8">
      <c r="G351">
        <f>IF($D351="", "", IF($D351="Receipt", $C351*VLOOKUP($B351, Items!$A:$E, 5, FALSE), IF($D351="Consumption", -$C351*VLOOKUP($B351, Items!$A:$E, 5, FALSE), "")))</f>
        <v>0</v>
      </c>
      <c r="H351">
        <f>IF($D351="Consumption", -$C351*VLOOKUP($B351, Items!$A:$E, 5, FALSE), 0)</f>
        <v>0</v>
      </c>
    </row>
    <row r="352" spans="7:8">
      <c r="G352">
        <f>IF($D352="", "", IF($D352="Receipt", $C352*VLOOKUP($B352, Items!$A:$E, 5, FALSE), IF($D352="Consumption", -$C352*VLOOKUP($B352, Items!$A:$E, 5, FALSE), "")))</f>
        <v>0</v>
      </c>
      <c r="H352">
        <f>IF($D352="Consumption", -$C352*VLOOKUP($B352, Items!$A:$E, 5, FALSE), 0)</f>
        <v>0</v>
      </c>
    </row>
    <row r="353" spans="7:8">
      <c r="G353">
        <f>IF($D353="", "", IF($D353="Receipt", $C353*VLOOKUP($B353, Items!$A:$E, 5, FALSE), IF($D353="Consumption", -$C353*VLOOKUP($B353, Items!$A:$E, 5, FALSE), "")))</f>
        <v>0</v>
      </c>
      <c r="H353">
        <f>IF($D353="Consumption", -$C353*VLOOKUP($B353, Items!$A:$E, 5, FALSE), 0)</f>
        <v>0</v>
      </c>
    </row>
    <row r="354" spans="7:8">
      <c r="G354">
        <f>IF($D354="", "", IF($D354="Receipt", $C354*VLOOKUP($B354, Items!$A:$E, 5, FALSE), IF($D354="Consumption", -$C354*VLOOKUP($B354, Items!$A:$E, 5, FALSE), "")))</f>
        <v>0</v>
      </c>
      <c r="H354">
        <f>IF($D354="Consumption", -$C354*VLOOKUP($B354, Items!$A:$E, 5, FALSE), 0)</f>
        <v>0</v>
      </c>
    </row>
    <row r="355" spans="7:8">
      <c r="G355">
        <f>IF($D355="", "", IF($D355="Receipt", $C355*VLOOKUP($B355, Items!$A:$E, 5, FALSE), IF($D355="Consumption", -$C355*VLOOKUP($B355, Items!$A:$E, 5, FALSE), "")))</f>
        <v>0</v>
      </c>
      <c r="H355">
        <f>IF($D355="Consumption", -$C355*VLOOKUP($B355, Items!$A:$E, 5, FALSE), 0)</f>
        <v>0</v>
      </c>
    </row>
    <row r="356" spans="7:8">
      <c r="G356">
        <f>IF($D356="", "", IF($D356="Receipt", $C356*VLOOKUP($B356, Items!$A:$E, 5, FALSE), IF($D356="Consumption", -$C356*VLOOKUP($B356, Items!$A:$E, 5, FALSE), "")))</f>
        <v>0</v>
      </c>
      <c r="H356">
        <f>IF($D356="Consumption", -$C356*VLOOKUP($B356, Items!$A:$E, 5, FALSE), 0)</f>
        <v>0</v>
      </c>
    </row>
    <row r="357" spans="7:8">
      <c r="G357">
        <f>IF($D357="", "", IF($D357="Receipt", $C357*VLOOKUP($B357, Items!$A:$E, 5, FALSE), IF($D357="Consumption", -$C357*VLOOKUP($B357, Items!$A:$E, 5, FALSE), "")))</f>
        <v>0</v>
      </c>
      <c r="H357">
        <f>IF($D357="Consumption", -$C357*VLOOKUP($B357, Items!$A:$E, 5, FALSE), 0)</f>
        <v>0</v>
      </c>
    </row>
    <row r="358" spans="7:8">
      <c r="G358">
        <f>IF($D358="", "", IF($D358="Receipt", $C358*VLOOKUP($B358, Items!$A:$E, 5, FALSE), IF($D358="Consumption", -$C358*VLOOKUP($B358, Items!$A:$E, 5, FALSE), "")))</f>
        <v>0</v>
      </c>
      <c r="H358">
        <f>IF($D358="Consumption", -$C358*VLOOKUP($B358, Items!$A:$E, 5, FALSE), 0)</f>
        <v>0</v>
      </c>
    </row>
    <row r="359" spans="7:8">
      <c r="G359">
        <f>IF($D359="", "", IF($D359="Receipt", $C359*VLOOKUP($B359, Items!$A:$E, 5, FALSE), IF($D359="Consumption", -$C359*VLOOKUP($B359, Items!$A:$E, 5, FALSE), "")))</f>
        <v>0</v>
      </c>
      <c r="H359">
        <f>IF($D359="Consumption", -$C359*VLOOKUP($B359, Items!$A:$E, 5, FALSE), 0)</f>
        <v>0</v>
      </c>
    </row>
    <row r="360" spans="7:8">
      <c r="G360">
        <f>IF($D360="", "", IF($D360="Receipt", $C360*VLOOKUP($B360, Items!$A:$E, 5, FALSE), IF($D360="Consumption", -$C360*VLOOKUP($B360, Items!$A:$E, 5, FALSE), "")))</f>
        <v>0</v>
      </c>
      <c r="H360">
        <f>IF($D360="Consumption", -$C360*VLOOKUP($B360, Items!$A:$E, 5, FALSE), 0)</f>
        <v>0</v>
      </c>
    </row>
    <row r="361" spans="7:8">
      <c r="G361">
        <f>IF($D361="", "", IF($D361="Receipt", $C361*VLOOKUP($B361, Items!$A:$E, 5, FALSE), IF($D361="Consumption", -$C361*VLOOKUP($B361, Items!$A:$E, 5, FALSE), "")))</f>
        <v>0</v>
      </c>
      <c r="H361">
        <f>IF($D361="Consumption", -$C361*VLOOKUP($B361, Items!$A:$E, 5, FALSE), 0)</f>
        <v>0</v>
      </c>
    </row>
    <row r="362" spans="7:8">
      <c r="G362">
        <f>IF($D362="", "", IF($D362="Receipt", $C362*VLOOKUP($B362, Items!$A:$E, 5, FALSE), IF($D362="Consumption", -$C362*VLOOKUP($B362, Items!$A:$E, 5, FALSE), "")))</f>
        <v>0</v>
      </c>
      <c r="H362">
        <f>IF($D362="Consumption", -$C362*VLOOKUP($B362, Items!$A:$E, 5, FALSE), 0)</f>
        <v>0</v>
      </c>
    </row>
    <row r="363" spans="7:8">
      <c r="G363">
        <f>IF($D363="", "", IF($D363="Receipt", $C363*VLOOKUP($B363, Items!$A:$E, 5, FALSE), IF($D363="Consumption", -$C363*VLOOKUP($B363, Items!$A:$E, 5, FALSE), "")))</f>
        <v>0</v>
      </c>
      <c r="H363">
        <f>IF($D363="Consumption", -$C363*VLOOKUP($B363, Items!$A:$E, 5, FALSE), 0)</f>
        <v>0</v>
      </c>
    </row>
    <row r="364" spans="7:8">
      <c r="G364">
        <f>IF($D364="", "", IF($D364="Receipt", $C364*VLOOKUP($B364, Items!$A:$E, 5, FALSE), IF($D364="Consumption", -$C364*VLOOKUP($B364, Items!$A:$E, 5, FALSE), "")))</f>
        <v>0</v>
      </c>
      <c r="H364">
        <f>IF($D364="Consumption", -$C364*VLOOKUP($B364, Items!$A:$E, 5, FALSE), 0)</f>
        <v>0</v>
      </c>
    </row>
    <row r="365" spans="7:8">
      <c r="G365">
        <f>IF($D365="", "", IF($D365="Receipt", $C365*VLOOKUP($B365, Items!$A:$E, 5, FALSE), IF($D365="Consumption", -$C365*VLOOKUP($B365, Items!$A:$E, 5, FALSE), "")))</f>
        <v>0</v>
      </c>
      <c r="H365">
        <f>IF($D365="Consumption", -$C365*VLOOKUP($B365, Items!$A:$E, 5, FALSE), 0)</f>
        <v>0</v>
      </c>
    </row>
    <row r="366" spans="7:8">
      <c r="G366">
        <f>IF($D366="", "", IF($D366="Receipt", $C366*VLOOKUP($B366, Items!$A:$E, 5, FALSE), IF($D366="Consumption", -$C366*VLOOKUP($B366, Items!$A:$E, 5, FALSE), "")))</f>
        <v>0</v>
      </c>
      <c r="H366">
        <f>IF($D366="Consumption", -$C366*VLOOKUP($B366, Items!$A:$E, 5, FALSE), 0)</f>
        <v>0</v>
      </c>
    </row>
    <row r="367" spans="7:8">
      <c r="G367">
        <f>IF($D367="", "", IF($D367="Receipt", $C367*VLOOKUP($B367, Items!$A:$E, 5, FALSE), IF($D367="Consumption", -$C367*VLOOKUP($B367, Items!$A:$E, 5, FALSE), "")))</f>
        <v>0</v>
      </c>
      <c r="H367">
        <f>IF($D367="Consumption", -$C367*VLOOKUP($B367, Items!$A:$E, 5, FALSE), 0)</f>
        <v>0</v>
      </c>
    </row>
    <row r="368" spans="7:8">
      <c r="G368">
        <f>IF($D368="", "", IF($D368="Receipt", $C368*VLOOKUP($B368, Items!$A:$E, 5, FALSE), IF($D368="Consumption", -$C368*VLOOKUP($B368, Items!$A:$E, 5, FALSE), "")))</f>
        <v>0</v>
      </c>
      <c r="H368">
        <f>IF($D368="Consumption", -$C368*VLOOKUP($B368, Items!$A:$E, 5, FALSE), 0)</f>
        <v>0</v>
      </c>
    </row>
    <row r="369" spans="7:8">
      <c r="G369">
        <f>IF($D369="", "", IF($D369="Receipt", $C369*VLOOKUP($B369, Items!$A:$E, 5, FALSE), IF($D369="Consumption", -$C369*VLOOKUP($B369, Items!$A:$E, 5, FALSE), "")))</f>
        <v>0</v>
      </c>
      <c r="H369">
        <f>IF($D369="Consumption", -$C369*VLOOKUP($B369, Items!$A:$E, 5, FALSE), 0)</f>
        <v>0</v>
      </c>
    </row>
    <row r="370" spans="7:8">
      <c r="G370">
        <f>IF($D370="", "", IF($D370="Receipt", $C370*VLOOKUP($B370, Items!$A:$E, 5, FALSE), IF($D370="Consumption", -$C370*VLOOKUP($B370, Items!$A:$E, 5, FALSE), "")))</f>
        <v>0</v>
      </c>
      <c r="H370">
        <f>IF($D370="Consumption", -$C370*VLOOKUP($B370, Items!$A:$E, 5, FALSE), 0)</f>
        <v>0</v>
      </c>
    </row>
    <row r="371" spans="7:8">
      <c r="G371">
        <f>IF($D371="", "", IF($D371="Receipt", $C371*VLOOKUP($B371, Items!$A:$E, 5, FALSE), IF($D371="Consumption", -$C371*VLOOKUP($B371, Items!$A:$E, 5, FALSE), "")))</f>
        <v>0</v>
      </c>
      <c r="H371">
        <f>IF($D371="Consumption", -$C371*VLOOKUP($B371, Items!$A:$E, 5, FALSE), 0)</f>
        <v>0</v>
      </c>
    </row>
    <row r="372" spans="7:8">
      <c r="G372">
        <f>IF($D372="", "", IF($D372="Receipt", $C372*VLOOKUP($B372, Items!$A:$E, 5, FALSE), IF($D372="Consumption", -$C372*VLOOKUP($B372, Items!$A:$E, 5, FALSE), "")))</f>
        <v>0</v>
      </c>
      <c r="H372">
        <f>IF($D372="Consumption", -$C372*VLOOKUP($B372, Items!$A:$E, 5, FALSE), 0)</f>
        <v>0</v>
      </c>
    </row>
    <row r="373" spans="7:8">
      <c r="G373">
        <f>IF($D373="", "", IF($D373="Receipt", $C373*VLOOKUP($B373, Items!$A:$E, 5, FALSE), IF($D373="Consumption", -$C373*VLOOKUP($B373, Items!$A:$E, 5, FALSE), "")))</f>
        <v>0</v>
      </c>
      <c r="H373">
        <f>IF($D373="Consumption", -$C373*VLOOKUP($B373, Items!$A:$E, 5, FALSE), 0)</f>
        <v>0</v>
      </c>
    </row>
    <row r="374" spans="7:8">
      <c r="G374">
        <f>IF($D374="", "", IF($D374="Receipt", $C374*VLOOKUP($B374, Items!$A:$E, 5, FALSE), IF($D374="Consumption", -$C374*VLOOKUP($B374, Items!$A:$E, 5, FALSE), "")))</f>
        <v>0</v>
      </c>
      <c r="H374">
        <f>IF($D374="Consumption", -$C374*VLOOKUP($B374, Items!$A:$E, 5, FALSE), 0)</f>
        <v>0</v>
      </c>
    </row>
    <row r="375" spans="7:8">
      <c r="G375">
        <f>IF($D375="", "", IF($D375="Receipt", $C375*VLOOKUP($B375, Items!$A:$E, 5, FALSE), IF($D375="Consumption", -$C375*VLOOKUP($B375, Items!$A:$E, 5, FALSE), "")))</f>
        <v>0</v>
      </c>
      <c r="H375">
        <f>IF($D375="Consumption", -$C375*VLOOKUP($B375, Items!$A:$E, 5, FALSE), 0)</f>
        <v>0</v>
      </c>
    </row>
    <row r="376" spans="7:8">
      <c r="G376">
        <f>IF($D376="", "", IF($D376="Receipt", $C376*VLOOKUP($B376, Items!$A:$E, 5, FALSE), IF($D376="Consumption", -$C376*VLOOKUP($B376, Items!$A:$E, 5, FALSE), "")))</f>
        <v>0</v>
      </c>
      <c r="H376">
        <f>IF($D376="Consumption", -$C376*VLOOKUP($B376, Items!$A:$E, 5, FALSE), 0)</f>
        <v>0</v>
      </c>
    </row>
    <row r="377" spans="7:8">
      <c r="G377">
        <f>IF($D377="", "", IF($D377="Receipt", $C377*VLOOKUP($B377, Items!$A:$E, 5, FALSE), IF($D377="Consumption", -$C377*VLOOKUP($B377, Items!$A:$E, 5, FALSE), "")))</f>
        <v>0</v>
      </c>
      <c r="H377">
        <f>IF($D377="Consumption", -$C377*VLOOKUP($B377, Items!$A:$E, 5, FALSE), 0)</f>
        <v>0</v>
      </c>
    </row>
    <row r="378" spans="7:8">
      <c r="G378">
        <f>IF($D378="", "", IF($D378="Receipt", $C378*VLOOKUP($B378, Items!$A:$E, 5, FALSE), IF($D378="Consumption", -$C378*VLOOKUP($B378, Items!$A:$E, 5, FALSE), "")))</f>
        <v>0</v>
      </c>
      <c r="H378">
        <f>IF($D378="Consumption", -$C378*VLOOKUP($B378, Items!$A:$E, 5, FALSE), 0)</f>
        <v>0</v>
      </c>
    </row>
    <row r="379" spans="7:8">
      <c r="G379">
        <f>IF($D379="", "", IF($D379="Receipt", $C379*VLOOKUP($B379, Items!$A:$E, 5, FALSE), IF($D379="Consumption", -$C379*VLOOKUP($B379, Items!$A:$E, 5, FALSE), "")))</f>
        <v>0</v>
      </c>
      <c r="H379">
        <f>IF($D379="Consumption", -$C379*VLOOKUP($B379, Items!$A:$E, 5, FALSE), 0)</f>
        <v>0</v>
      </c>
    </row>
    <row r="380" spans="7:8">
      <c r="G380">
        <f>IF($D380="", "", IF($D380="Receipt", $C380*VLOOKUP($B380, Items!$A:$E, 5, FALSE), IF($D380="Consumption", -$C380*VLOOKUP($B380, Items!$A:$E, 5, FALSE), "")))</f>
        <v>0</v>
      </c>
      <c r="H380">
        <f>IF($D380="Consumption", -$C380*VLOOKUP($B380, Items!$A:$E, 5, FALSE), 0)</f>
        <v>0</v>
      </c>
    </row>
    <row r="381" spans="7:8">
      <c r="G381">
        <f>IF($D381="", "", IF($D381="Receipt", $C381*VLOOKUP($B381, Items!$A:$E, 5, FALSE), IF($D381="Consumption", -$C381*VLOOKUP($B381, Items!$A:$E, 5, FALSE), "")))</f>
        <v>0</v>
      </c>
      <c r="H381">
        <f>IF($D381="Consumption", -$C381*VLOOKUP($B381, Items!$A:$E, 5, FALSE), 0)</f>
        <v>0</v>
      </c>
    </row>
    <row r="382" spans="7:8">
      <c r="G382">
        <f>IF($D382="", "", IF($D382="Receipt", $C382*VLOOKUP($B382, Items!$A:$E, 5, FALSE), IF($D382="Consumption", -$C382*VLOOKUP($B382, Items!$A:$E, 5, FALSE), "")))</f>
        <v>0</v>
      </c>
      <c r="H382">
        <f>IF($D382="Consumption", -$C382*VLOOKUP($B382, Items!$A:$E, 5, FALSE), 0)</f>
        <v>0</v>
      </c>
    </row>
    <row r="383" spans="7:8">
      <c r="G383">
        <f>IF($D383="", "", IF($D383="Receipt", $C383*VLOOKUP($B383, Items!$A:$E, 5, FALSE), IF($D383="Consumption", -$C383*VLOOKUP($B383, Items!$A:$E, 5, FALSE), "")))</f>
        <v>0</v>
      </c>
      <c r="H383">
        <f>IF($D383="Consumption", -$C383*VLOOKUP($B383, Items!$A:$E, 5, FALSE), 0)</f>
        <v>0</v>
      </c>
    </row>
    <row r="384" spans="7:8">
      <c r="G384">
        <f>IF($D384="", "", IF($D384="Receipt", $C384*VLOOKUP($B384, Items!$A:$E, 5, FALSE), IF($D384="Consumption", -$C384*VLOOKUP($B384, Items!$A:$E, 5, FALSE), "")))</f>
        <v>0</v>
      </c>
      <c r="H384">
        <f>IF($D384="Consumption", -$C384*VLOOKUP($B384, Items!$A:$E, 5, FALSE), 0)</f>
        <v>0</v>
      </c>
    </row>
    <row r="385" spans="7:8">
      <c r="G385">
        <f>IF($D385="", "", IF($D385="Receipt", $C385*VLOOKUP($B385, Items!$A:$E, 5, FALSE), IF($D385="Consumption", -$C385*VLOOKUP($B385, Items!$A:$E, 5, FALSE), "")))</f>
        <v>0</v>
      </c>
      <c r="H385">
        <f>IF($D385="Consumption", -$C385*VLOOKUP($B385, Items!$A:$E, 5, FALSE), 0)</f>
        <v>0</v>
      </c>
    </row>
    <row r="386" spans="7:8">
      <c r="G386">
        <f>IF($D386="", "", IF($D386="Receipt", $C386*VLOOKUP($B386, Items!$A:$E, 5, FALSE), IF($D386="Consumption", -$C386*VLOOKUP($B386, Items!$A:$E, 5, FALSE), "")))</f>
        <v>0</v>
      </c>
      <c r="H386">
        <f>IF($D386="Consumption", -$C386*VLOOKUP($B386, Items!$A:$E, 5, FALSE), 0)</f>
        <v>0</v>
      </c>
    </row>
    <row r="387" spans="7:8">
      <c r="G387">
        <f>IF($D387="", "", IF($D387="Receipt", $C387*VLOOKUP($B387, Items!$A:$E, 5, FALSE), IF($D387="Consumption", -$C387*VLOOKUP($B387, Items!$A:$E, 5, FALSE), "")))</f>
        <v>0</v>
      </c>
      <c r="H387">
        <f>IF($D387="Consumption", -$C387*VLOOKUP($B387, Items!$A:$E, 5, FALSE), 0)</f>
        <v>0</v>
      </c>
    </row>
    <row r="388" spans="7:8">
      <c r="G388">
        <f>IF($D388="", "", IF($D388="Receipt", $C388*VLOOKUP($B388, Items!$A:$E, 5, FALSE), IF($D388="Consumption", -$C388*VLOOKUP($B388, Items!$A:$E, 5, FALSE), "")))</f>
        <v>0</v>
      </c>
      <c r="H388">
        <f>IF($D388="Consumption", -$C388*VLOOKUP($B388, Items!$A:$E, 5, FALSE), 0)</f>
        <v>0</v>
      </c>
    </row>
    <row r="389" spans="7:8">
      <c r="G389">
        <f>IF($D389="", "", IF($D389="Receipt", $C389*VLOOKUP($B389, Items!$A:$E, 5, FALSE), IF($D389="Consumption", -$C389*VLOOKUP($B389, Items!$A:$E, 5, FALSE), "")))</f>
        <v>0</v>
      </c>
      <c r="H389">
        <f>IF($D389="Consumption", -$C389*VLOOKUP($B389, Items!$A:$E, 5, FALSE), 0)</f>
        <v>0</v>
      </c>
    </row>
    <row r="390" spans="7:8">
      <c r="G390">
        <f>IF($D390="", "", IF($D390="Receipt", $C390*VLOOKUP($B390, Items!$A:$E, 5, FALSE), IF($D390="Consumption", -$C390*VLOOKUP($B390, Items!$A:$E, 5, FALSE), "")))</f>
        <v>0</v>
      </c>
      <c r="H390">
        <f>IF($D390="Consumption", -$C390*VLOOKUP($B390, Items!$A:$E, 5, FALSE), 0)</f>
        <v>0</v>
      </c>
    </row>
    <row r="391" spans="7:8">
      <c r="G391">
        <f>IF($D391="", "", IF($D391="Receipt", $C391*VLOOKUP($B391, Items!$A:$E, 5, FALSE), IF($D391="Consumption", -$C391*VLOOKUP($B391, Items!$A:$E, 5, FALSE), "")))</f>
        <v>0</v>
      </c>
      <c r="H391">
        <f>IF($D391="Consumption", -$C391*VLOOKUP($B391, Items!$A:$E, 5, FALSE), 0)</f>
        <v>0</v>
      </c>
    </row>
    <row r="392" spans="7:8">
      <c r="G392">
        <f>IF($D392="", "", IF($D392="Receipt", $C392*VLOOKUP($B392, Items!$A:$E, 5, FALSE), IF($D392="Consumption", -$C392*VLOOKUP($B392, Items!$A:$E, 5, FALSE), "")))</f>
        <v>0</v>
      </c>
      <c r="H392">
        <f>IF($D392="Consumption", -$C392*VLOOKUP($B392, Items!$A:$E, 5, FALSE), 0)</f>
        <v>0</v>
      </c>
    </row>
    <row r="393" spans="7:8">
      <c r="G393">
        <f>IF($D393="", "", IF($D393="Receipt", $C393*VLOOKUP($B393, Items!$A:$E, 5, FALSE), IF($D393="Consumption", -$C393*VLOOKUP($B393, Items!$A:$E, 5, FALSE), "")))</f>
        <v>0</v>
      </c>
      <c r="H393">
        <f>IF($D393="Consumption", -$C393*VLOOKUP($B393, Items!$A:$E, 5, FALSE), 0)</f>
        <v>0</v>
      </c>
    </row>
    <row r="394" spans="7:8">
      <c r="G394">
        <f>IF($D394="", "", IF($D394="Receipt", $C394*VLOOKUP($B394, Items!$A:$E, 5, FALSE), IF($D394="Consumption", -$C394*VLOOKUP($B394, Items!$A:$E, 5, FALSE), "")))</f>
        <v>0</v>
      </c>
      <c r="H394">
        <f>IF($D394="Consumption", -$C394*VLOOKUP($B394, Items!$A:$E, 5, FALSE), 0)</f>
        <v>0</v>
      </c>
    </row>
    <row r="395" spans="7:8">
      <c r="G395">
        <f>IF($D395="", "", IF($D395="Receipt", $C395*VLOOKUP($B395, Items!$A:$E, 5, FALSE), IF($D395="Consumption", -$C395*VLOOKUP($B395, Items!$A:$E, 5, FALSE), "")))</f>
        <v>0</v>
      </c>
      <c r="H395">
        <f>IF($D395="Consumption", -$C395*VLOOKUP($B395, Items!$A:$E, 5, FALSE), 0)</f>
        <v>0</v>
      </c>
    </row>
    <row r="396" spans="7:8">
      <c r="G396">
        <f>IF($D396="", "", IF($D396="Receipt", $C396*VLOOKUP($B396, Items!$A:$E, 5, FALSE), IF($D396="Consumption", -$C396*VLOOKUP($B396, Items!$A:$E, 5, FALSE), "")))</f>
        <v>0</v>
      </c>
      <c r="H396">
        <f>IF($D396="Consumption", -$C396*VLOOKUP($B396, Items!$A:$E, 5, FALSE), 0)</f>
        <v>0</v>
      </c>
    </row>
    <row r="397" spans="7:8">
      <c r="G397">
        <f>IF($D397="", "", IF($D397="Receipt", $C397*VLOOKUP($B397, Items!$A:$E, 5, FALSE), IF($D397="Consumption", -$C397*VLOOKUP($B397, Items!$A:$E, 5, FALSE), "")))</f>
        <v>0</v>
      </c>
      <c r="H397">
        <f>IF($D397="Consumption", -$C397*VLOOKUP($B397, Items!$A:$E, 5, FALSE), 0)</f>
        <v>0</v>
      </c>
    </row>
    <row r="398" spans="7:8">
      <c r="G398">
        <f>IF($D398="", "", IF($D398="Receipt", $C398*VLOOKUP($B398, Items!$A:$E, 5, FALSE), IF($D398="Consumption", -$C398*VLOOKUP($B398, Items!$A:$E, 5, FALSE), "")))</f>
        <v>0</v>
      </c>
      <c r="H398">
        <f>IF($D398="Consumption", -$C398*VLOOKUP($B398, Items!$A:$E, 5, FALSE), 0)</f>
        <v>0</v>
      </c>
    </row>
    <row r="399" spans="7:8">
      <c r="G399">
        <f>IF($D399="", "", IF($D399="Receipt", $C399*VLOOKUP($B399, Items!$A:$E, 5, FALSE), IF($D399="Consumption", -$C399*VLOOKUP($B399, Items!$A:$E, 5, FALSE), "")))</f>
        <v>0</v>
      </c>
      <c r="H399">
        <f>IF($D399="Consumption", -$C399*VLOOKUP($B399, Items!$A:$E, 5, FALSE), 0)</f>
        <v>0</v>
      </c>
    </row>
    <row r="400" spans="7:8">
      <c r="G400">
        <f>IF($D400="", "", IF($D400="Receipt", $C400*VLOOKUP($B400, Items!$A:$E, 5, FALSE), IF($D400="Consumption", -$C400*VLOOKUP($B400, Items!$A:$E, 5, FALSE), "")))</f>
        <v>0</v>
      </c>
      <c r="H400">
        <f>IF($D400="Consumption", -$C400*VLOOKUP($B400, Items!$A:$E, 5, FALSE), 0)</f>
        <v>0</v>
      </c>
    </row>
    <row r="401" spans="7:8">
      <c r="G401">
        <f>IF($D401="", "", IF($D401="Receipt", $C401*VLOOKUP($B401, Items!$A:$E, 5, FALSE), IF($D401="Consumption", -$C401*VLOOKUP($B401, Items!$A:$E, 5, FALSE), "")))</f>
        <v>0</v>
      </c>
      <c r="H401">
        <f>IF($D401="Consumption", -$C401*VLOOKUP($B401, Items!$A:$E, 5, FALSE), 0)</f>
        <v>0</v>
      </c>
    </row>
    <row r="402" spans="7:8">
      <c r="G402">
        <f>IF($D402="", "", IF($D402="Receipt", $C402*VLOOKUP($B402, Items!$A:$E, 5, FALSE), IF($D402="Consumption", -$C402*VLOOKUP($B402, Items!$A:$E, 5, FALSE), "")))</f>
        <v>0</v>
      </c>
      <c r="H402">
        <f>IF($D402="Consumption", -$C402*VLOOKUP($B402, Items!$A:$E, 5, FALSE), 0)</f>
        <v>0</v>
      </c>
    </row>
    <row r="403" spans="7:8">
      <c r="G403">
        <f>IF($D403="", "", IF($D403="Receipt", $C403*VLOOKUP($B403, Items!$A:$E, 5, FALSE), IF($D403="Consumption", -$C403*VLOOKUP($B403, Items!$A:$E, 5, FALSE), "")))</f>
        <v>0</v>
      </c>
      <c r="H403">
        <f>IF($D403="Consumption", -$C403*VLOOKUP($B403, Items!$A:$E, 5, FALSE), 0)</f>
        <v>0</v>
      </c>
    </row>
    <row r="404" spans="7:8">
      <c r="G404">
        <f>IF($D404="", "", IF($D404="Receipt", $C404*VLOOKUP($B404, Items!$A:$E, 5, FALSE), IF($D404="Consumption", -$C404*VLOOKUP($B404, Items!$A:$E, 5, FALSE), "")))</f>
        <v>0</v>
      </c>
      <c r="H404">
        <f>IF($D404="Consumption", -$C404*VLOOKUP($B404, Items!$A:$E, 5, FALSE), 0)</f>
        <v>0</v>
      </c>
    </row>
    <row r="405" spans="7:8">
      <c r="G405">
        <f>IF($D405="", "", IF($D405="Receipt", $C405*VLOOKUP($B405, Items!$A:$E, 5, FALSE), IF($D405="Consumption", -$C405*VLOOKUP($B405, Items!$A:$E, 5, FALSE), "")))</f>
        <v>0</v>
      </c>
      <c r="H405">
        <f>IF($D405="Consumption", -$C405*VLOOKUP($B405, Items!$A:$E, 5, FALSE), 0)</f>
        <v>0</v>
      </c>
    </row>
    <row r="406" spans="7:8">
      <c r="G406">
        <f>IF($D406="", "", IF($D406="Receipt", $C406*VLOOKUP($B406, Items!$A:$E, 5, FALSE), IF($D406="Consumption", -$C406*VLOOKUP($B406, Items!$A:$E, 5, FALSE), "")))</f>
        <v>0</v>
      </c>
      <c r="H406">
        <f>IF($D406="Consumption", -$C406*VLOOKUP($B406, Items!$A:$E, 5, FALSE), 0)</f>
        <v>0</v>
      </c>
    </row>
    <row r="407" spans="7:8">
      <c r="G407">
        <f>IF($D407="", "", IF($D407="Receipt", $C407*VLOOKUP($B407, Items!$A:$E, 5, FALSE), IF($D407="Consumption", -$C407*VLOOKUP($B407, Items!$A:$E, 5, FALSE), "")))</f>
        <v>0</v>
      </c>
      <c r="H407">
        <f>IF($D407="Consumption", -$C407*VLOOKUP($B407, Items!$A:$E, 5, FALSE), 0)</f>
        <v>0</v>
      </c>
    </row>
    <row r="408" spans="7:8">
      <c r="G408">
        <f>IF($D408="", "", IF($D408="Receipt", $C408*VLOOKUP($B408, Items!$A:$E, 5, FALSE), IF($D408="Consumption", -$C408*VLOOKUP($B408, Items!$A:$E, 5, FALSE), "")))</f>
        <v>0</v>
      </c>
      <c r="H408">
        <f>IF($D408="Consumption", -$C408*VLOOKUP($B408, Items!$A:$E, 5, FALSE), 0)</f>
        <v>0</v>
      </c>
    </row>
    <row r="409" spans="7:8">
      <c r="G409">
        <f>IF($D409="", "", IF($D409="Receipt", $C409*VLOOKUP($B409, Items!$A:$E, 5, FALSE), IF($D409="Consumption", -$C409*VLOOKUP($B409, Items!$A:$E, 5, FALSE), "")))</f>
        <v>0</v>
      </c>
      <c r="H409">
        <f>IF($D409="Consumption", -$C409*VLOOKUP($B409, Items!$A:$E, 5, FALSE), 0)</f>
        <v>0</v>
      </c>
    </row>
    <row r="410" spans="7:8">
      <c r="G410">
        <f>IF($D410="", "", IF($D410="Receipt", $C410*VLOOKUP($B410, Items!$A:$E, 5, FALSE), IF($D410="Consumption", -$C410*VLOOKUP($B410, Items!$A:$E, 5, FALSE), "")))</f>
        <v>0</v>
      </c>
      <c r="H410">
        <f>IF($D410="Consumption", -$C410*VLOOKUP($B410, Items!$A:$E, 5, FALSE), 0)</f>
        <v>0</v>
      </c>
    </row>
    <row r="411" spans="7:8">
      <c r="G411">
        <f>IF($D411="", "", IF($D411="Receipt", $C411*VLOOKUP($B411, Items!$A:$E, 5, FALSE), IF($D411="Consumption", -$C411*VLOOKUP($B411, Items!$A:$E, 5, FALSE), "")))</f>
        <v>0</v>
      </c>
      <c r="H411">
        <f>IF($D411="Consumption", -$C411*VLOOKUP($B411, Items!$A:$E, 5, FALSE), 0)</f>
        <v>0</v>
      </c>
    </row>
    <row r="412" spans="7:8">
      <c r="G412">
        <f>IF($D412="", "", IF($D412="Receipt", $C412*VLOOKUP($B412, Items!$A:$E, 5, FALSE), IF($D412="Consumption", -$C412*VLOOKUP($B412, Items!$A:$E, 5, FALSE), "")))</f>
        <v>0</v>
      </c>
      <c r="H412">
        <f>IF($D412="Consumption", -$C412*VLOOKUP($B412, Items!$A:$E, 5, FALSE), 0)</f>
        <v>0</v>
      </c>
    </row>
    <row r="413" spans="7:8">
      <c r="G413">
        <f>IF($D413="", "", IF($D413="Receipt", $C413*VLOOKUP($B413, Items!$A:$E, 5, FALSE), IF($D413="Consumption", -$C413*VLOOKUP($B413, Items!$A:$E, 5, FALSE), "")))</f>
        <v>0</v>
      </c>
      <c r="H413">
        <f>IF($D413="Consumption", -$C413*VLOOKUP($B413, Items!$A:$E, 5, FALSE), 0)</f>
        <v>0</v>
      </c>
    </row>
    <row r="414" spans="7:8">
      <c r="G414">
        <f>IF($D414="", "", IF($D414="Receipt", $C414*VLOOKUP($B414, Items!$A:$E, 5, FALSE), IF($D414="Consumption", -$C414*VLOOKUP($B414, Items!$A:$E, 5, FALSE), "")))</f>
        <v>0</v>
      </c>
      <c r="H414">
        <f>IF($D414="Consumption", -$C414*VLOOKUP($B414, Items!$A:$E, 5, FALSE), 0)</f>
        <v>0</v>
      </c>
    </row>
    <row r="415" spans="7:8">
      <c r="G415">
        <f>IF($D415="", "", IF($D415="Receipt", $C415*VLOOKUP($B415, Items!$A:$E, 5, FALSE), IF($D415="Consumption", -$C415*VLOOKUP($B415, Items!$A:$E, 5, FALSE), "")))</f>
        <v>0</v>
      </c>
      <c r="H415">
        <f>IF($D415="Consumption", -$C415*VLOOKUP($B415, Items!$A:$E, 5, FALSE), 0)</f>
        <v>0</v>
      </c>
    </row>
    <row r="416" spans="7:8">
      <c r="G416">
        <f>IF($D416="", "", IF($D416="Receipt", $C416*VLOOKUP($B416, Items!$A:$E, 5, FALSE), IF($D416="Consumption", -$C416*VLOOKUP($B416, Items!$A:$E, 5, FALSE), "")))</f>
        <v>0</v>
      </c>
      <c r="H416">
        <f>IF($D416="Consumption", -$C416*VLOOKUP($B416, Items!$A:$E, 5, FALSE), 0)</f>
        <v>0</v>
      </c>
    </row>
    <row r="417" spans="7:8">
      <c r="G417">
        <f>IF($D417="", "", IF($D417="Receipt", $C417*VLOOKUP($B417, Items!$A:$E, 5, FALSE), IF($D417="Consumption", -$C417*VLOOKUP($B417, Items!$A:$E, 5, FALSE), "")))</f>
        <v>0</v>
      </c>
      <c r="H417">
        <f>IF($D417="Consumption", -$C417*VLOOKUP($B417, Items!$A:$E, 5, FALSE), 0)</f>
        <v>0</v>
      </c>
    </row>
    <row r="418" spans="7:8">
      <c r="G418">
        <f>IF($D418="", "", IF($D418="Receipt", $C418*VLOOKUP($B418, Items!$A:$E, 5, FALSE), IF($D418="Consumption", -$C418*VLOOKUP($B418, Items!$A:$E, 5, FALSE), "")))</f>
        <v>0</v>
      </c>
      <c r="H418">
        <f>IF($D418="Consumption", -$C418*VLOOKUP($B418, Items!$A:$E, 5, FALSE), 0)</f>
        <v>0</v>
      </c>
    </row>
    <row r="419" spans="7:8">
      <c r="G419">
        <f>IF($D419="", "", IF($D419="Receipt", $C419*VLOOKUP($B419, Items!$A:$E, 5, FALSE), IF($D419="Consumption", -$C419*VLOOKUP($B419, Items!$A:$E, 5, FALSE), "")))</f>
        <v>0</v>
      </c>
      <c r="H419">
        <f>IF($D419="Consumption", -$C419*VLOOKUP($B419, Items!$A:$E, 5, FALSE), 0)</f>
        <v>0</v>
      </c>
    </row>
    <row r="420" spans="7:8">
      <c r="G420">
        <f>IF($D420="", "", IF($D420="Receipt", $C420*VLOOKUP($B420, Items!$A:$E, 5, FALSE), IF($D420="Consumption", -$C420*VLOOKUP($B420, Items!$A:$E, 5, FALSE), "")))</f>
        <v>0</v>
      </c>
      <c r="H420">
        <f>IF($D420="Consumption", -$C420*VLOOKUP($B420, Items!$A:$E, 5, FALSE), 0)</f>
        <v>0</v>
      </c>
    </row>
    <row r="421" spans="7:8">
      <c r="G421">
        <f>IF($D421="", "", IF($D421="Receipt", $C421*VLOOKUP($B421, Items!$A:$E, 5, FALSE), IF($D421="Consumption", -$C421*VLOOKUP($B421, Items!$A:$E, 5, FALSE), "")))</f>
        <v>0</v>
      </c>
      <c r="H421">
        <f>IF($D421="Consumption", -$C421*VLOOKUP($B421, Items!$A:$E, 5, FALSE), 0)</f>
        <v>0</v>
      </c>
    </row>
    <row r="422" spans="7:8">
      <c r="G422">
        <f>IF($D422="", "", IF($D422="Receipt", $C422*VLOOKUP($B422, Items!$A:$E, 5, FALSE), IF($D422="Consumption", -$C422*VLOOKUP($B422, Items!$A:$E, 5, FALSE), "")))</f>
        <v>0</v>
      </c>
      <c r="H422">
        <f>IF($D422="Consumption", -$C422*VLOOKUP($B422, Items!$A:$E, 5, FALSE), 0)</f>
        <v>0</v>
      </c>
    </row>
    <row r="423" spans="7:8">
      <c r="G423">
        <f>IF($D423="", "", IF($D423="Receipt", $C423*VLOOKUP($B423, Items!$A:$E, 5, FALSE), IF($D423="Consumption", -$C423*VLOOKUP($B423, Items!$A:$E, 5, FALSE), "")))</f>
        <v>0</v>
      </c>
      <c r="H423">
        <f>IF($D423="Consumption", -$C423*VLOOKUP($B423, Items!$A:$E, 5, FALSE), 0)</f>
        <v>0</v>
      </c>
    </row>
    <row r="424" spans="7:8">
      <c r="G424">
        <f>IF($D424="", "", IF($D424="Receipt", $C424*VLOOKUP($B424, Items!$A:$E, 5, FALSE), IF($D424="Consumption", -$C424*VLOOKUP($B424, Items!$A:$E, 5, FALSE), "")))</f>
        <v>0</v>
      </c>
      <c r="H424">
        <f>IF($D424="Consumption", -$C424*VLOOKUP($B424, Items!$A:$E, 5, FALSE), 0)</f>
        <v>0</v>
      </c>
    </row>
    <row r="425" spans="7:8">
      <c r="G425">
        <f>IF($D425="", "", IF($D425="Receipt", $C425*VLOOKUP($B425, Items!$A:$E, 5, FALSE), IF($D425="Consumption", -$C425*VLOOKUP($B425, Items!$A:$E, 5, FALSE), "")))</f>
        <v>0</v>
      </c>
      <c r="H425">
        <f>IF($D425="Consumption", -$C425*VLOOKUP($B425, Items!$A:$E, 5, FALSE), 0)</f>
        <v>0</v>
      </c>
    </row>
    <row r="426" spans="7:8">
      <c r="G426">
        <f>IF($D426="", "", IF($D426="Receipt", $C426*VLOOKUP($B426, Items!$A:$E, 5, FALSE), IF($D426="Consumption", -$C426*VLOOKUP($B426, Items!$A:$E, 5, FALSE), "")))</f>
        <v>0</v>
      </c>
      <c r="H426">
        <f>IF($D426="Consumption", -$C426*VLOOKUP($B426, Items!$A:$E, 5, FALSE), 0)</f>
        <v>0</v>
      </c>
    </row>
    <row r="427" spans="7:8">
      <c r="G427">
        <f>IF($D427="", "", IF($D427="Receipt", $C427*VLOOKUP($B427, Items!$A:$E, 5, FALSE), IF($D427="Consumption", -$C427*VLOOKUP($B427, Items!$A:$E, 5, FALSE), "")))</f>
        <v>0</v>
      </c>
      <c r="H427">
        <f>IF($D427="Consumption", -$C427*VLOOKUP($B427, Items!$A:$E, 5, FALSE), 0)</f>
        <v>0</v>
      </c>
    </row>
    <row r="428" spans="7:8">
      <c r="G428">
        <f>IF($D428="", "", IF($D428="Receipt", $C428*VLOOKUP($B428, Items!$A:$E, 5, FALSE), IF($D428="Consumption", -$C428*VLOOKUP($B428, Items!$A:$E, 5, FALSE), "")))</f>
        <v>0</v>
      </c>
      <c r="H428">
        <f>IF($D428="Consumption", -$C428*VLOOKUP($B428, Items!$A:$E, 5, FALSE), 0)</f>
        <v>0</v>
      </c>
    </row>
    <row r="429" spans="7:8">
      <c r="G429">
        <f>IF($D429="", "", IF($D429="Receipt", $C429*VLOOKUP($B429, Items!$A:$E, 5, FALSE), IF($D429="Consumption", -$C429*VLOOKUP($B429, Items!$A:$E, 5, FALSE), "")))</f>
        <v>0</v>
      </c>
      <c r="H429">
        <f>IF($D429="Consumption", -$C429*VLOOKUP($B429, Items!$A:$E, 5, FALSE), 0)</f>
        <v>0</v>
      </c>
    </row>
    <row r="430" spans="7:8">
      <c r="G430">
        <f>IF($D430="", "", IF($D430="Receipt", $C430*VLOOKUP($B430, Items!$A:$E, 5, FALSE), IF($D430="Consumption", -$C430*VLOOKUP($B430, Items!$A:$E, 5, FALSE), "")))</f>
        <v>0</v>
      </c>
      <c r="H430">
        <f>IF($D430="Consumption", -$C430*VLOOKUP($B430, Items!$A:$E, 5, FALSE), 0)</f>
        <v>0</v>
      </c>
    </row>
    <row r="431" spans="7:8">
      <c r="G431">
        <f>IF($D431="", "", IF($D431="Receipt", $C431*VLOOKUP($B431, Items!$A:$E, 5, FALSE), IF($D431="Consumption", -$C431*VLOOKUP($B431, Items!$A:$E, 5, FALSE), "")))</f>
        <v>0</v>
      </c>
      <c r="H431">
        <f>IF($D431="Consumption", -$C431*VLOOKUP($B431, Items!$A:$E, 5, FALSE), 0)</f>
        <v>0</v>
      </c>
    </row>
    <row r="432" spans="7:8">
      <c r="G432">
        <f>IF($D432="", "", IF($D432="Receipt", $C432*VLOOKUP($B432, Items!$A:$E, 5, FALSE), IF($D432="Consumption", -$C432*VLOOKUP($B432, Items!$A:$E, 5, FALSE), "")))</f>
        <v>0</v>
      </c>
      <c r="H432">
        <f>IF($D432="Consumption", -$C432*VLOOKUP($B432, Items!$A:$E, 5, FALSE), 0)</f>
        <v>0</v>
      </c>
    </row>
    <row r="433" spans="7:8">
      <c r="G433">
        <f>IF($D433="", "", IF($D433="Receipt", $C433*VLOOKUP($B433, Items!$A:$E, 5, FALSE), IF($D433="Consumption", -$C433*VLOOKUP($B433, Items!$A:$E, 5, FALSE), "")))</f>
        <v>0</v>
      </c>
      <c r="H433">
        <f>IF($D433="Consumption", -$C433*VLOOKUP($B433, Items!$A:$E, 5, FALSE), 0)</f>
        <v>0</v>
      </c>
    </row>
    <row r="434" spans="7:8">
      <c r="G434">
        <f>IF($D434="", "", IF($D434="Receipt", $C434*VLOOKUP($B434, Items!$A:$E, 5, FALSE), IF($D434="Consumption", -$C434*VLOOKUP($B434, Items!$A:$E, 5, FALSE), "")))</f>
        <v>0</v>
      </c>
      <c r="H434">
        <f>IF($D434="Consumption", -$C434*VLOOKUP($B434, Items!$A:$E, 5, FALSE), 0)</f>
        <v>0</v>
      </c>
    </row>
    <row r="435" spans="7:8">
      <c r="G435">
        <f>IF($D435="", "", IF($D435="Receipt", $C435*VLOOKUP($B435, Items!$A:$E, 5, FALSE), IF($D435="Consumption", -$C435*VLOOKUP($B435, Items!$A:$E, 5, FALSE), "")))</f>
        <v>0</v>
      </c>
      <c r="H435">
        <f>IF($D435="Consumption", -$C435*VLOOKUP($B435, Items!$A:$E, 5, FALSE), 0)</f>
        <v>0</v>
      </c>
    </row>
    <row r="436" spans="7:8">
      <c r="G436">
        <f>IF($D436="", "", IF($D436="Receipt", $C436*VLOOKUP($B436, Items!$A:$E, 5, FALSE), IF($D436="Consumption", -$C436*VLOOKUP($B436, Items!$A:$E, 5, FALSE), "")))</f>
        <v>0</v>
      </c>
      <c r="H436">
        <f>IF($D436="Consumption", -$C436*VLOOKUP($B436, Items!$A:$E, 5, FALSE), 0)</f>
        <v>0</v>
      </c>
    </row>
    <row r="437" spans="7:8">
      <c r="G437">
        <f>IF($D437="", "", IF($D437="Receipt", $C437*VLOOKUP($B437, Items!$A:$E, 5, FALSE), IF($D437="Consumption", -$C437*VLOOKUP($B437, Items!$A:$E, 5, FALSE), "")))</f>
        <v>0</v>
      </c>
      <c r="H437">
        <f>IF($D437="Consumption", -$C437*VLOOKUP($B437, Items!$A:$E, 5, FALSE), 0)</f>
        <v>0</v>
      </c>
    </row>
    <row r="438" spans="7:8">
      <c r="G438">
        <f>IF($D438="", "", IF($D438="Receipt", $C438*VLOOKUP($B438, Items!$A:$E, 5, FALSE), IF($D438="Consumption", -$C438*VLOOKUP($B438, Items!$A:$E, 5, FALSE), "")))</f>
        <v>0</v>
      </c>
      <c r="H438">
        <f>IF($D438="Consumption", -$C438*VLOOKUP($B438, Items!$A:$E, 5, FALSE), 0)</f>
        <v>0</v>
      </c>
    </row>
    <row r="439" spans="7:8">
      <c r="G439">
        <f>IF($D439="", "", IF($D439="Receipt", $C439*VLOOKUP($B439, Items!$A:$E, 5, FALSE), IF($D439="Consumption", -$C439*VLOOKUP($B439, Items!$A:$E, 5, FALSE), "")))</f>
        <v>0</v>
      </c>
      <c r="H439">
        <f>IF($D439="Consumption", -$C439*VLOOKUP($B439, Items!$A:$E, 5, FALSE), 0)</f>
        <v>0</v>
      </c>
    </row>
    <row r="440" spans="7:8">
      <c r="G440">
        <f>IF($D440="", "", IF($D440="Receipt", $C440*VLOOKUP($B440, Items!$A:$E, 5, FALSE), IF($D440="Consumption", -$C440*VLOOKUP($B440, Items!$A:$E, 5, FALSE), "")))</f>
        <v>0</v>
      </c>
      <c r="H440">
        <f>IF($D440="Consumption", -$C440*VLOOKUP($B440, Items!$A:$E, 5, FALSE), 0)</f>
        <v>0</v>
      </c>
    </row>
    <row r="441" spans="7:8">
      <c r="G441">
        <f>IF($D441="", "", IF($D441="Receipt", $C441*VLOOKUP($B441, Items!$A:$E, 5, FALSE), IF($D441="Consumption", -$C441*VLOOKUP($B441, Items!$A:$E, 5, FALSE), "")))</f>
        <v>0</v>
      </c>
      <c r="H441">
        <f>IF($D441="Consumption", -$C441*VLOOKUP($B441, Items!$A:$E, 5, FALSE), 0)</f>
        <v>0</v>
      </c>
    </row>
    <row r="442" spans="7:8">
      <c r="G442">
        <f>IF($D442="", "", IF($D442="Receipt", $C442*VLOOKUP($B442, Items!$A:$E, 5, FALSE), IF($D442="Consumption", -$C442*VLOOKUP($B442, Items!$A:$E, 5, FALSE), "")))</f>
        <v>0</v>
      </c>
      <c r="H442">
        <f>IF($D442="Consumption", -$C442*VLOOKUP($B442, Items!$A:$E, 5, FALSE), 0)</f>
        <v>0</v>
      </c>
    </row>
    <row r="443" spans="7:8">
      <c r="G443">
        <f>IF($D443="", "", IF($D443="Receipt", $C443*VLOOKUP($B443, Items!$A:$E, 5, FALSE), IF($D443="Consumption", -$C443*VLOOKUP($B443, Items!$A:$E, 5, FALSE), "")))</f>
        <v>0</v>
      </c>
      <c r="H443">
        <f>IF($D443="Consumption", -$C443*VLOOKUP($B443, Items!$A:$E, 5, FALSE), 0)</f>
        <v>0</v>
      </c>
    </row>
    <row r="444" spans="7:8">
      <c r="G444">
        <f>IF($D444="", "", IF($D444="Receipt", $C444*VLOOKUP($B444, Items!$A:$E, 5, FALSE), IF($D444="Consumption", -$C444*VLOOKUP($B444, Items!$A:$E, 5, FALSE), "")))</f>
        <v>0</v>
      </c>
      <c r="H444">
        <f>IF($D444="Consumption", -$C444*VLOOKUP($B444, Items!$A:$E, 5, FALSE), 0)</f>
        <v>0</v>
      </c>
    </row>
    <row r="445" spans="7:8">
      <c r="G445">
        <f>IF($D445="", "", IF($D445="Receipt", $C445*VLOOKUP($B445, Items!$A:$E, 5, FALSE), IF($D445="Consumption", -$C445*VLOOKUP($B445, Items!$A:$E, 5, FALSE), "")))</f>
        <v>0</v>
      </c>
      <c r="H445">
        <f>IF($D445="Consumption", -$C445*VLOOKUP($B445, Items!$A:$E, 5, FALSE), 0)</f>
        <v>0</v>
      </c>
    </row>
    <row r="446" spans="7:8">
      <c r="G446">
        <f>IF($D446="", "", IF($D446="Receipt", $C446*VLOOKUP($B446, Items!$A:$E, 5, FALSE), IF($D446="Consumption", -$C446*VLOOKUP($B446, Items!$A:$E, 5, FALSE), "")))</f>
        <v>0</v>
      </c>
      <c r="H446">
        <f>IF($D446="Consumption", -$C446*VLOOKUP($B446, Items!$A:$E, 5, FALSE), 0)</f>
        <v>0</v>
      </c>
    </row>
    <row r="447" spans="7:8">
      <c r="G447">
        <f>IF($D447="", "", IF($D447="Receipt", $C447*VLOOKUP($B447, Items!$A:$E, 5, FALSE), IF($D447="Consumption", -$C447*VLOOKUP($B447, Items!$A:$E, 5, FALSE), "")))</f>
        <v>0</v>
      </c>
      <c r="H447">
        <f>IF($D447="Consumption", -$C447*VLOOKUP($B447, Items!$A:$E, 5, FALSE), 0)</f>
        <v>0</v>
      </c>
    </row>
    <row r="448" spans="7:8">
      <c r="G448">
        <f>IF($D448="", "", IF($D448="Receipt", $C448*VLOOKUP($B448, Items!$A:$E, 5, FALSE), IF($D448="Consumption", -$C448*VLOOKUP($B448, Items!$A:$E, 5, FALSE), "")))</f>
        <v>0</v>
      </c>
      <c r="H448">
        <f>IF($D448="Consumption", -$C448*VLOOKUP($B448, Items!$A:$E, 5, FALSE), 0)</f>
        <v>0</v>
      </c>
    </row>
    <row r="449" spans="7:8">
      <c r="G449">
        <f>IF($D449="", "", IF($D449="Receipt", $C449*VLOOKUP($B449, Items!$A:$E, 5, FALSE), IF($D449="Consumption", -$C449*VLOOKUP($B449, Items!$A:$E, 5, FALSE), "")))</f>
        <v>0</v>
      </c>
      <c r="H449">
        <f>IF($D449="Consumption", -$C449*VLOOKUP($B449, Items!$A:$E, 5, FALSE), 0)</f>
        <v>0</v>
      </c>
    </row>
    <row r="450" spans="7:8">
      <c r="G450">
        <f>IF($D450="", "", IF($D450="Receipt", $C450*VLOOKUP($B450, Items!$A:$E, 5, FALSE), IF($D450="Consumption", -$C450*VLOOKUP($B450, Items!$A:$E, 5, FALSE), "")))</f>
        <v>0</v>
      </c>
      <c r="H450">
        <f>IF($D450="Consumption", -$C450*VLOOKUP($B450, Items!$A:$E, 5, FALSE), 0)</f>
        <v>0</v>
      </c>
    </row>
    <row r="451" spans="7:8">
      <c r="G451">
        <f>IF($D451="", "", IF($D451="Receipt", $C451*VLOOKUP($B451, Items!$A:$E, 5, FALSE), IF($D451="Consumption", -$C451*VLOOKUP($B451, Items!$A:$E, 5, FALSE), "")))</f>
        <v>0</v>
      </c>
      <c r="H451">
        <f>IF($D451="Consumption", -$C451*VLOOKUP($B451, Items!$A:$E, 5, FALSE), 0)</f>
        <v>0</v>
      </c>
    </row>
    <row r="452" spans="7:8">
      <c r="G452">
        <f>IF($D452="", "", IF($D452="Receipt", $C452*VLOOKUP($B452, Items!$A:$E, 5, FALSE), IF($D452="Consumption", -$C452*VLOOKUP($B452, Items!$A:$E, 5, FALSE), "")))</f>
        <v>0</v>
      </c>
      <c r="H452">
        <f>IF($D452="Consumption", -$C452*VLOOKUP($B452, Items!$A:$E, 5, FALSE), 0)</f>
        <v>0</v>
      </c>
    </row>
    <row r="453" spans="7:8">
      <c r="G453">
        <f>IF($D453="", "", IF($D453="Receipt", $C453*VLOOKUP($B453, Items!$A:$E, 5, FALSE), IF($D453="Consumption", -$C453*VLOOKUP($B453, Items!$A:$E, 5, FALSE), "")))</f>
        <v>0</v>
      </c>
      <c r="H453">
        <f>IF($D453="Consumption", -$C453*VLOOKUP($B453, Items!$A:$E, 5, FALSE), 0)</f>
        <v>0</v>
      </c>
    </row>
    <row r="454" spans="7:8">
      <c r="G454">
        <f>IF($D454="", "", IF($D454="Receipt", $C454*VLOOKUP($B454, Items!$A:$E, 5, FALSE), IF($D454="Consumption", -$C454*VLOOKUP($B454, Items!$A:$E, 5, FALSE), "")))</f>
        <v>0</v>
      </c>
      <c r="H454">
        <f>IF($D454="Consumption", -$C454*VLOOKUP($B454, Items!$A:$E, 5, FALSE), 0)</f>
        <v>0</v>
      </c>
    </row>
    <row r="455" spans="7:8">
      <c r="G455">
        <f>IF($D455="", "", IF($D455="Receipt", $C455*VLOOKUP($B455, Items!$A:$E, 5, FALSE), IF($D455="Consumption", -$C455*VLOOKUP($B455, Items!$A:$E, 5, FALSE), "")))</f>
        <v>0</v>
      </c>
      <c r="H455">
        <f>IF($D455="Consumption", -$C455*VLOOKUP($B455, Items!$A:$E, 5, FALSE), 0)</f>
        <v>0</v>
      </c>
    </row>
    <row r="456" spans="7:8">
      <c r="G456">
        <f>IF($D456="", "", IF($D456="Receipt", $C456*VLOOKUP($B456, Items!$A:$E, 5, FALSE), IF($D456="Consumption", -$C456*VLOOKUP($B456, Items!$A:$E, 5, FALSE), "")))</f>
        <v>0</v>
      </c>
      <c r="H456">
        <f>IF($D456="Consumption", -$C456*VLOOKUP($B456, Items!$A:$E, 5, FALSE), 0)</f>
        <v>0</v>
      </c>
    </row>
    <row r="457" spans="7:8">
      <c r="G457">
        <f>IF($D457="", "", IF($D457="Receipt", $C457*VLOOKUP($B457, Items!$A:$E, 5, FALSE), IF($D457="Consumption", -$C457*VLOOKUP($B457, Items!$A:$E, 5, FALSE), "")))</f>
        <v>0</v>
      </c>
      <c r="H457">
        <f>IF($D457="Consumption", -$C457*VLOOKUP($B457, Items!$A:$E, 5, FALSE), 0)</f>
        <v>0</v>
      </c>
    </row>
    <row r="458" spans="7:8">
      <c r="G458">
        <f>IF($D458="", "", IF($D458="Receipt", $C458*VLOOKUP($B458, Items!$A:$E, 5, FALSE), IF($D458="Consumption", -$C458*VLOOKUP($B458, Items!$A:$E, 5, FALSE), "")))</f>
        <v>0</v>
      </c>
      <c r="H458">
        <f>IF($D458="Consumption", -$C458*VLOOKUP($B458, Items!$A:$E, 5, FALSE), 0)</f>
        <v>0</v>
      </c>
    </row>
    <row r="459" spans="7:8">
      <c r="G459">
        <f>IF($D459="", "", IF($D459="Receipt", $C459*VLOOKUP($B459, Items!$A:$E, 5, FALSE), IF($D459="Consumption", -$C459*VLOOKUP($B459, Items!$A:$E, 5, FALSE), "")))</f>
        <v>0</v>
      </c>
      <c r="H459">
        <f>IF($D459="Consumption", -$C459*VLOOKUP($B459, Items!$A:$E, 5, FALSE), 0)</f>
        <v>0</v>
      </c>
    </row>
    <row r="460" spans="7:8">
      <c r="G460">
        <f>IF($D460="", "", IF($D460="Receipt", $C460*VLOOKUP($B460, Items!$A:$E, 5, FALSE), IF($D460="Consumption", -$C460*VLOOKUP($B460, Items!$A:$E, 5, FALSE), "")))</f>
        <v>0</v>
      </c>
      <c r="H460">
        <f>IF($D460="Consumption", -$C460*VLOOKUP($B460, Items!$A:$E, 5, FALSE), 0)</f>
        <v>0</v>
      </c>
    </row>
    <row r="461" spans="7:8">
      <c r="G461">
        <f>IF($D461="", "", IF($D461="Receipt", $C461*VLOOKUP($B461, Items!$A:$E, 5, FALSE), IF($D461="Consumption", -$C461*VLOOKUP($B461, Items!$A:$E, 5, FALSE), "")))</f>
        <v>0</v>
      </c>
      <c r="H461">
        <f>IF($D461="Consumption", -$C461*VLOOKUP($B461, Items!$A:$E, 5, FALSE), 0)</f>
        <v>0</v>
      </c>
    </row>
    <row r="462" spans="7:8">
      <c r="G462">
        <f>IF($D462="", "", IF($D462="Receipt", $C462*VLOOKUP($B462, Items!$A:$E, 5, FALSE), IF($D462="Consumption", -$C462*VLOOKUP($B462, Items!$A:$E, 5, FALSE), "")))</f>
        <v>0</v>
      </c>
      <c r="H462">
        <f>IF($D462="Consumption", -$C462*VLOOKUP($B462, Items!$A:$E, 5, FALSE), 0)</f>
        <v>0</v>
      </c>
    </row>
    <row r="463" spans="7:8">
      <c r="G463">
        <f>IF($D463="", "", IF($D463="Receipt", $C463*VLOOKUP($B463, Items!$A:$E, 5, FALSE), IF($D463="Consumption", -$C463*VLOOKUP($B463, Items!$A:$E, 5, FALSE), "")))</f>
        <v>0</v>
      </c>
      <c r="H463">
        <f>IF($D463="Consumption", -$C463*VLOOKUP($B463, Items!$A:$E, 5, FALSE), 0)</f>
        <v>0</v>
      </c>
    </row>
    <row r="464" spans="7:8">
      <c r="G464">
        <f>IF($D464="", "", IF($D464="Receipt", $C464*VLOOKUP($B464, Items!$A:$E, 5, FALSE), IF($D464="Consumption", -$C464*VLOOKUP($B464, Items!$A:$E, 5, FALSE), "")))</f>
        <v>0</v>
      </c>
      <c r="H464">
        <f>IF($D464="Consumption", -$C464*VLOOKUP($B464, Items!$A:$E, 5, FALSE), 0)</f>
        <v>0</v>
      </c>
    </row>
    <row r="465" spans="7:8">
      <c r="G465">
        <f>IF($D465="", "", IF($D465="Receipt", $C465*VLOOKUP($B465, Items!$A:$E, 5, FALSE), IF($D465="Consumption", -$C465*VLOOKUP($B465, Items!$A:$E, 5, FALSE), "")))</f>
        <v>0</v>
      </c>
      <c r="H465">
        <f>IF($D465="Consumption", -$C465*VLOOKUP($B465, Items!$A:$E, 5, FALSE), 0)</f>
        <v>0</v>
      </c>
    </row>
    <row r="466" spans="7:8">
      <c r="G466">
        <f>IF($D466="", "", IF($D466="Receipt", $C466*VLOOKUP($B466, Items!$A:$E, 5, FALSE), IF($D466="Consumption", -$C466*VLOOKUP($B466, Items!$A:$E, 5, FALSE), "")))</f>
        <v>0</v>
      </c>
      <c r="H466">
        <f>IF($D466="Consumption", -$C466*VLOOKUP($B466, Items!$A:$E, 5, FALSE), 0)</f>
        <v>0</v>
      </c>
    </row>
    <row r="467" spans="7:8">
      <c r="G467">
        <f>IF($D467="", "", IF($D467="Receipt", $C467*VLOOKUP($B467, Items!$A:$E, 5, FALSE), IF($D467="Consumption", -$C467*VLOOKUP($B467, Items!$A:$E, 5, FALSE), "")))</f>
        <v>0</v>
      </c>
      <c r="H467">
        <f>IF($D467="Consumption", -$C467*VLOOKUP($B467, Items!$A:$E, 5, FALSE), 0)</f>
        <v>0</v>
      </c>
    </row>
    <row r="468" spans="7:8">
      <c r="G468">
        <f>IF($D468="", "", IF($D468="Receipt", $C468*VLOOKUP($B468, Items!$A:$E, 5, FALSE), IF($D468="Consumption", -$C468*VLOOKUP($B468, Items!$A:$E, 5, FALSE), "")))</f>
        <v>0</v>
      </c>
      <c r="H468">
        <f>IF($D468="Consumption", -$C468*VLOOKUP($B468, Items!$A:$E, 5, FALSE), 0)</f>
        <v>0</v>
      </c>
    </row>
    <row r="469" spans="7:8">
      <c r="G469">
        <f>IF($D469="", "", IF($D469="Receipt", $C469*VLOOKUP($B469, Items!$A:$E, 5, FALSE), IF($D469="Consumption", -$C469*VLOOKUP($B469, Items!$A:$E, 5, FALSE), "")))</f>
        <v>0</v>
      </c>
      <c r="H469">
        <f>IF($D469="Consumption", -$C469*VLOOKUP($B469, Items!$A:$E, 5, FALSE), 0)</f>
        <v>0</v>
      </c>
    </row>
    <row r="470" spans="7:8">
      <c r="G470">
        <f>IF($D470="", "", IF($D470="Receipt", $C470*VLOOKUP($B470, Items!$A:$E, 5, FALSE), IF($D470="Consumption", -$C470*VLOOKUP($B470, Items!$A:$E, 5, FALSE), "")))</f>
        <v>0</v>
      </c>
      <c r="H470">
        <f>IF($D470="Consumption", -$C470*VLOOKUP($B470, Items!$A:$E, 5, FALSE), 0)</f>
        <v>0</v>
      </c>
    </row>
    <row r="471" spans="7:8">
      <c r="G471">
        <f>IF($D471="", "", IF($D471="Receipt", $C471*VLOOKUP($B471, Items!$A:$E, 5, FALSE), IF($D471="Consumption", -$C471*VLOOKUP($B471, Items!$A:$E, 5, FALSE), "")))</f>
        <v>0</v>
      </c>
      <c r="H471">
        <f>IF($D471="Consumption", -$C471*VLOOKUP($B471, Items!$A:$E, 5, FALSE), 0)</f>
        <v>0</v>
      </c>
    </row>
    <row r="472" spans="7:8">
      <c r="G472">
        <f>IF($D472="", "", IF($D472="Receipt", $C472*VLOOKUP($B472, Items!$A:$E, 5, FALSE), IF($D472="Consumption", -$C472*VLOOKUP($B472, Items!$A:$E, 5, FALSE), "")))</f>
        <v>0</v>
      </c>
      <c r="H472">
        <f>IF($D472="Consumption", -$C472*VLOOKUP($B472, Items!$A:$E, 5, FALSE), 0)</f>
        <v>0</v>
      </c>
    </row>
    <row r="473" spans="7:8">
      <c r="G473">
        <f>IF($D473="", "", IF($D473="Receipt", $C473*VLOOKUP($B473, Items!$A:$E, 5, FALSE), IF($D473="Consumption", -$C473*VLOOKUP($B473, Items!$A:$E, 5, FALSE), "")))</f>
        <v>0</v>
      </c>
      <c r="H473">
        <f>IF($D473="Consumption", -$C473*VLOOKUP($B473, Items!$A:$E, 5, FALSE), 0)</f>
        <v>0</v>
      </c>
    </row>
    <row r="474" spans="7:8">
      <c r="G474">
        <f>IF($D474="", "", IF($D474="Receipt", $C474*VLOOKUP($B474, Items!$A:$E, 5, FALSE), IF($D474="Consumption", -$C474*VLOOKUP($B474, Items!$A:$E, 5, FALSE), "")))</f>
        <v>0</v>
      </c>
      <c r="H474">
        <f>IF($D474="Consumption", -$C474*VLOOKUP($B474, Items!$A:$E, 5, FALSE), 0)</f>
        <v>0</v>
      </c>
    </row>
    <row r="475" spans="7:8">
      <c r="G475">
        <f>IF($D475="", "", IF($D475="Receipt", $C475*VLOOKUP($B475, Items!$A:$E, 5, FALSE), IF($D475="Consumption", -$C475*VLOOKUP($B475, Items!$A:$E, 5, FALSE), "")))</f>
        <v>0</v>
      </c>
      <c r="H475">
        <f>IF($D475="Consumption", -$C475*VLOOKUP($B475, Items!$A:$E, 5, FALSE), 0)</f>
        <v>0</v>
      </c>
    </row>
    <row r="476" spans="7:8">
      <c r="G476">
        <f>IF($D476="", "", IF($D476="Receipt", $C476*VLOOKUP($B476, Items!$A:$E, 5, FALSE), IF($D476="Consumption", -$C476*VLOOKUP($B476, Items!$A:$E, 5, FALSE), "")))</f>
        <v>0</v>
      </c>
      <c r="H476">
        <f>IF($D476="Consumption", -$C476*VLOOKUP($B476, Items!$A:$E, 5, FALSE), 0)</f>
        <v>0</v>
      </c>
    </row>
    <row r="477" spans="7:8">
      <c r="G477">
        <f>IF($D477="", "", IF($D477="Receipt", $C477*VLOOKUP($B477, Items!$A:$E, 5, FALSE), IF($D477="Consumption", -$C477*VLOOKUP($B477, Items!$A:$E, 5, FALSE), "")))</f>
        <v>0</v>
      </c>
      <c r="H477">
        <f>IF($D477="Consumption", -$C477*VLOOKUP($B477, Items!$A:$E, 5, FALSE), 0)</f>
        <v>0</v>
      </c>
    </row>
    <row r="478" spans="7:8">
      <c r="G478">
        <f>IF($D478="", "", IF($D478="Receipt", $C478*VLOOKUP($B478, Items!$A:$E, 5, FALSE), IF($D478="Consumption", -$C478*VLOOKUP($B478, Items!$A:$E, 5, FALSE), "")))</f>
        <v>0</v>
      </c>
      <c r="H478">
        <f>IF($D478="Consumption", -$C478*VLOOKUP($B478, Items!$A:$E, 5, FALSE), 0)</f>
        <v>0</v>
      </c>
    </row>
    <row r="479" spans="7:8">
      <c r="G479">
        <f>IF($D479="", "", IF($D479="Receipt", $C479*VLOOKUP($B479, Items!$A:$E, 5, FALSE), IF($D479="Consumption", -$C479*VLOOKUP($B479, Items!$A:$E, 5, FALSE), "")))</f>
        <v>0</v>
      </c>
      <c r="H479">
        <f>IF($D479="Consumption", -$C479*VLOOKUP($B479, Items!$A:$E, 5, FALSE), 0)</f>
        <v>0</v>
      </c>
    </row>
    <row r="480" spans="7:8">
      <c r="G480">
        <f>IF($D480="", "", IF($D480="Receipt", $C480*VLOOKUP($B480, Items!$A:$E, 5, FALSE), IF($D480="Consumption", -$C480*VLOOKUP($B480, Items!$A:$E, 5, FALSE), "")))</f>
        <v>0</v>
      </c>
      <c r="H480">
        <f>IF($D480="Consumption", -$C480*VLOOKUP($B480, Items!$A:$E, 5, FALSE), 0)</f>
        <v>0</v>
      </c>
    </row>
    <row r="481" spans="7:8">
      <c r="G481">
        <f>IF($D481="", "", IF($D481="Receipt", $C481*VLOOKUP($B481, Items!$A:$E, 5, FALSE), IF($D481="Consumption", -$C481*VLOOKUP($B481, Items!$A:$E, 5, FALSE), "")))</f>
        <v>0</v>
      </c>
      <c r="H481">
        <f>IF($D481="Consumption", -$C481*VLOOKUP($B481, Items!$A:$E, 5, FALSE), 0)</f>
        <v>0</v>
      </c>
    </row>
    <row r="482" spans="7:8">
      <c r="G482">
        <f>IF($D482="", "", IF($D482="Receipt", $C482*VLOOKUP($B482, Items!$A:$E, 5, FALSE), IF($D482="Consumption", -$C482*VLOOKUP($B482, Items!$A:$E, 5, FALSE), "")))</f>
        <v>0</v>
      </c>
      <c r="H482">
        <f>IF($D482="Consumption", -$C482*VLOOKUP($B482, Items!$A:$E, 5, FALSE), 0)</f>
        <v>0</v>
      </c>
    </row>
    <row r="483" spans="7:8">
      <c r="G483">
        <f>IF($D483="", "", IF($D483="Receipt", $C483*VLOOKUP($B483, Items!$A:$E, 5, FALSE), IF($D483="Consumption", -$C483*VLOOKUP($B483, Items!$A:$E, 5, FALSE), "")))</f>
        <v>0</v>
      </c>
      <c r="H483">
        <f>IF($D483="Consumption", -$C483*VLOOKUP($B483, Items!$A:$E, 5, FALSE), 0)</f>
        <v>0</v>
      </c>
    </row>
    <row r="484" spans="7:8">
      <c r="G484">
        <f>IF($D484="", "", IF($D484="Receipt", $C484*VLOOKUP($B484, Items!$A:$E, 5, FALSE), IF($D484="Consumption", -$C484*VLOOKUP($B484, Items!$A:$E, 5, FALSE), "")))</f>
        <v>0</v>
      </c>
      <c r="H484">
        <f>IF($D484="Consumption", -$C484*VLOOKUP($B484, Items!$A:$E, 5, FALSE), 0)</f>
        <v>0</v>
      </c>
    </row>
    <row r="485" spans="7:8">
      <c r="G485">
        <f>IF($D485="", "", IF($D485="Receipt", $C485*VLOOKUP($B485, Items!$A:$E, 5, FALSE), IF($D485="Consumption", -$C485*VLOOKUP($B485, Items!$A:$E, 5, FALSE), "")))</f>
        <v>0</v>
      </c>
      <c r="H485">
        <f>IF($D485="Consumption", -$C485*VLOOKUP($B485, Items!$A:$E, 5, FALSE), 0)</f>
        <v>0</v>
      </c>
    </row>
    <row r="486" spans="7:8">
      <c r="G486">
        <f>IF($D486="", "", IF($D486="Receipt", $C486*VLOOKUP($B486, Items!$A:$E, 5, FALSE), IF($D486="Consumption", -$C486*VLOOKUP($B486, Items!$A:$E, 5, FALSE), "")))</f>
        <v>0</v>
      </c>
      <c r="H486">
        <f>IF($D486="Consumption", -$C486*VLOOKUP($B486, Items!$A:$E, 5, FALSE), 0)</f>
        <v>0</v>
      </c>
    </row>
    <row r="487" spans="7:8">
      <c r="G487">
        <f>IF($D487="", "", IF($D487="Receipt", $C487*VLOOKUP($B487, Items!$A:$E, 5, FALSE), IF($D487="Consumption", -$C487*VLOOKUP($B487, Items!$A:$E, 5, FALSE), "")))</f>
        <v>0</v>
      </c>
      <c r="H487">
        <f>IF($D487="Consumption", -$C487*VLOOKUP($B487, Items!$A:$E, 5, FALSE), 0)</f>
        <v>0</v>
      </c>
    </row>
    <row r="488" spans="7:8">
      <c r="G488">
        <f>IF($D488="", "", IF($D488="Receipt", $C488*VLOOKUP($B488, Items!$A:$E, 5, FALSE), IF($D488="Consumption", -$C488*VLOOKUP($B488, Items!$A:$E, 5, FALSE), "")))</f>
        <v>0</v>
      </c>
      <c r="H488">
        <f>IF($D488="Consumption", -$C488*VLOOKUP($B488, Items!$A:$E, 5, FALSE), 0)</f>
        <v>0</v>
      </c>
    </row>
    <row r="489" spans="7:8">
      <c r="G489">
        <f>IF($D489="", "", IF($D489="Receipt", $C489*VLOOKUP($B489, Items!$A:$E, 5, FALSE), IF($D489="Consumption", -$C489*VLOOKUP($B489, Items!$A:$E, 5, FALSE), "")))</f>
        <v>0</v>
      </c>
      <c r="H489">
        <f>IF($D489="Consumption", -$C489*VLOOKUP($B489, Items!$A:$E, 5, FALSE), 0)</f>
        <v>0</v>
      </c>
    </row>
    <row r="490" spans="7:8">
      <c r="G490">
        <f>IF($D490="", "", IF($D490="Receipt", $C490*VLOOKUP($B490, Items!$A:$E, 5, FALSE), IF($D490="Consumption", -$C490*VLOOKUP($B490, Items!$A:$E, 5, FALSE), "")))</f>
        <v>0</v>
      </c>
      <c r="H490">
        <f>IF($D490="Consumption", -$C490*VLOOKUP($B490, Items!$A:$E, 5, FALSE), 0)</f>
        <v>0</v>
      </c>
    </row>
    <row r="491" spans="7:8">
      <c r="G491">
        <f>IF($D491="", "", IF($D491="Receipt", $C491*VLOOKUP($B491, Items!$A:$E, 5, FALSE), IF($D491="Consumption", -$C491*VLOOKUP($B491, Items!$A:$E, 5, FALSE), "")))</f>
        <v>0</v>
      </c>
      <c r="H491">
        <f>IF($D491="Consumption", -$C491*VLOOKUP($B491, Items!$A:$E, 5, FALSE), 0)</f>
        <v>0</v>
      </c>
    </row>
    <row r="492" spans="7:8">
      <c r="G492">
        <f>IF($D492="", "", IF($D492="Receipt", $C492*VLOOKUP($B492, Items!$A:$E, 5, FALSE), IF($D492="Consumption", -$C492*VLOOKUP($B492, Items!$A:$E, 5, FALSE), "")))</f>
        <v>0</v>
      </c>
      <c r="H492">
        <f>IF($D492="Consumption", -$C492*VLOOKUP($B492, Items!$A:$E, 5, FALSE), 0)</f>
        <v>0</v>
      </c>
    </row>
    <row r="493" spans="7:8">
      <c r="G493">
        <f>IF($D493="", "", IF($D493="Receipt", $C493*VLOOKUP($B493, Items!$A:$E, 5, FALSE), IF($D493="Consumption", -$C493*VLOOKUP($B493, Items!$A:$E, 5, FALSE), "")))</f>
        <v>0</v>
      </c>
      <c r="H493">
        <f>IF($D493="Consumption", -$C493*VLOOKUP($B493, Items!$A:$E, 5, FALSE), 0)</f>
        <v>0</v>
      </c>
    </row>
    <row r="494" spans="7:8">
      <c r="G494">
        <f>IF($D494="", "", IF($D494="Receipt", $C494*VLOOKUP($B494, Items!$A:$E, 5, FALSE), IF($D494="Consumption", -$C494*VLOOKUP($B494, Items!$A:$E, 5, FALSE), "")))</f>
        <v>0</v>
      </c>
      <c r="H494">
        <f>IF($D494="Consumption", -$C494*VLOOKUP($B494, Items!$A:$E, 5, FALSE), 0)</f>
        <v>0</v>
      </c>
    </row>
    <row r="495" spans="7:8">
      <c r="G495">
        <f>IF($D495="", "", IF($D495="Receipt", $C495*VLOOKUP($B495, Items!$A:$E, 5, FALSE), IF($D495="Consumption", -$C495*VLOOKUP($B495, Items!$A:$E, 5, FALSE), "")))</f>
        <v>0</v>
      </c>
      <c r="H495">
        <f>IF($D495="Consumption", -$C495*VLOOKUP($B495, Items!$A:$E, 5, FALSE), 0)</f>
        <v>0</v>
      </c>
    </row>
    <row r="496" spans="7:8">
      <c r="G496">
        <f>IF($D496="", "", IF($D496="Receipt", $C496*VLOOKUP($B496, Items!$A:$E, 5, FALSE), IF($D496="Consumption", -$C496*VLOOKUP($B496, Items!$A:$E, 5, FALSE), "")))</f>
        <v>0</v>
      </c>
      <c r="H496">
        <f>IF($D496="Consumption", -$C496*VLOOKUP($B496, Items!$A:$E, 5, FALSE), 0)</f>
        <v>0</v>
      </c>
    </row>
    <row r="497" spans="7:8">
      <c r="G497">
        <f>IF($D497="", "", IF($D497="Receipt", $C497*VLOOKUP($B497, Items!$A:$E, 5, FALSE), IF($D497="Consumption", -$C497*VLOOKUP($B497, Items!$A:$E, 5, FALSE), "")))</f>
        <v>0</v>
      </c>
      <c r="H497">
        <f>IF($D497="Consumption", -$C497*VLOOKUP($B497, Items!$A:$E, 5, FALSE), 0)</f>
        <v>0</v>
      </c>
    </row>
    <row r="498" spans="7:8">
      <c r="G498">
        <f>IF($D498="", "", IF($D498="Receipt", $C498*VLOOKUP($B498, Items!$A:$E, 5, FALSE), IF($D498="Consumption", -$C498*VLOOKUP($B498, Items!$A:$E, 5, FALSE), "")))</f>
        <v>0</v>
      </c>
      <c r="H498">
        <f>IF($D498="Consumption", -$C498*VLOOKUP($B498, Items!$A:$E, 5, FALSE), 0)</f>
        <v>0</v>
      </c>
    </row>
    <row r="499" spans="7:8">
      <c r="G499">
        <f>IF($D499="", "", IF($D499="Receipt", $C499*VLOOKUP($B499, Items!$A:$E, 5, FALSE), IF($D499="Consumption", -$C499*VLOOKUP($B499, Items!$A:$E, 5, FALSE), "")))</f>
        <v>0</v>
      </c>
      <c r="H499">
        <f>IF($D499="Consumption", -$C499*VLOOKUP($B499, Items!$A:$E, 5, FALSE), 0)</f>
        <v>0</v>
      </c>
    </row>
    <row r="500" spans="7:8">
      <c r="G500">
        <f>IF($D500="", "", IF($D500="Receipt", $C500*VLOOKUP($B500, Items!$A:$E, 5, FALSE), IF($D500="Consumption", -$C500*VLOOKUP($B500, Items!$A:$E, 5, FALSE), "")))</f>
        <v>0</v>
      </c>
      <c r="H500">
        <f>IF($D500="Consumption", -$C500*VLOOKUP($B500, Items!$A:$E, 5, FALSE), 0)</f>
        <v>0</v>
      </c>
    </row>
    <row r="501" spans="7:8">
      <c r="G501">
        <f>IF($D501="", "", IF($D501="Receipt", $C501*VLOOKUP($B501, Items!$A:$E, 5, FALSE), IF($D501="Consumption", -$C501*VLOOKUP($B501, Items!$A:$E, 5, FALSE), "")))</f>
        <v>0</v>
      </c>
      <c r="H501">
        <f>IF($D501="Consumption", -$C501*VLOOKUP($B501, Items!$A:$E, 5, FALSE), 0)</f>
        <v>0</v>
      </c>
    </row>
    <row r="502" spans="7:8">
      <c r="G502">
        <f>IF($D502="", "", IF($D502="Receipt", $C502*VLOOKUP($B502, Items!$A:$E, 5, FALSE), IF($D502="Consumption", -$C502*VLOOKUP($B502, Items!$A:$E, 5, FALSE), "")))</f>
        <v>0</v>
      </c>
      <c r="H502">
        <f>IF($D502="Consumption", -$C502*VLOOKUP($B502, Items!$A:$E, 5, FALSE), 0)</f>
        <v>0</v>
      </c>
    </row>
    <row r="503" spans="7:8">
      <c r="G503">
        <f>IF($D503="", "", IF($D503="Receipt", $C503*VLOOKUP($B503, Items!$A:$E, 5, FALSE), IF($D503="Consumption", -$C503*VLOOKUP($B503, Items!$A:$E, 5, FALSE), "")))</f>
        <v>0</v>
      </c>
      <c r="H503">
        <f>IF($D503="Consumption", -$C503*VLOOKUP($B503, Items!$A:$E, 5, FALSE), 0)</f>
        <v>0</v>
      </c>
    </row>
    <row r="504" spans="7:8">
      <c r="G504">
        <f>IF($D504="", "", IF($D504="Receipt", $C504*VLOOKUP($B504, Items!$A:$E, 5, FALSE), IF($D504="Consumption", -$C504*VLOOKUP($B504, Items!$A:$E, 5, FALSE), "")))</f>
        <v>0</v>
      </c>
      <c r="H504">
        <f>IF($D504="Consumption", -$C504*VLOOKUP($B504, Items!$A:$E, 5, FALSE), 0)</f>
        <v>0</v>
      </c>
    </row>
    <row r="505" spans="7:8">
      <c r="G505">
        <f>IF($D505="", "", IF($D505="Receipt", $C505*VLOOKUP($B505, Items!$A:$E, 5, FALSE), IF($D505="Consumption", -$C505*VLOOKUP($B505, Items!$A:$E, 5, FALSE), "")))</f>
        <v>0</v>
      </c>
      <c r="H505">
        <f>IF($D505="Consumption", -$C505*VLOOKUP($B505, Items!$A:$E, 5, FALSE), 0)</f>
        <v>0</v>
      </c>
    </row>
    <row r="506" spans="7:8">
      <c r="G506">
        <f>IF($D506="", "", IF($D506="Receipt", $C506*VLOOKUP($B506, Items!$A:$E, 5, FALSE), IF($D506="Consumption", -$C506*VLOOKUP($B506, Items!$A:$E, 5, FALSE), "")))</f>
        <v>0</v>
      </c>
      <c r="H506">
        <f>IF($D506="Consumption", -$C506*VLOOKUP($B506, Items!$A:$E, 5, FALSE), 0)</f>
        <v>0</v>
      </c>
    </row>
    <row r="507" spans="7:8">
      <c r="G507">
        <f>IF($D507="", "", IF($D507="Receipt", $C507*VLOOKUP($B507, Items!$A:$E, 5, FALSE), IF($D507="Consumption", -$C507*VLOOKUP($B507, Items!$A:$E, 5, FALSE), "")))</f>
        <v>0</v>
      </c>
      <c r="H507">
        <f>IF($D507="Consumption", -$C507*VLOOKUP($B507, Items!$A:$E, 5, FALSE), 0)</f>
        <v>0</v>
      </c>
    </row>
    <row r="508" spans="7:8">
      <c r="G508">
        <f>IF($D508="", "", IF($D508="Receipt", $C508*VLOOKUP($B508, Items!$A:$E, 5, FALSE), IF($D508="Consumption", -$C508*VLOOKUP($B508, Items!$A:$E, 5, FALSE), "")))</f>
        <v>0</v>
      </c>
      <c r="H508">
        <f>IF($D508="Consumption", -$C508*VLOOKUP($B508, Items!$A:$E, 5, FALSE), 0)</f>
        <v>0</v>
      </c>
    </row>
    <row r="509" spans="7:8">
      <c r="G509">
        <f>IF($D509="", "", IF($D509="Receipt", $C509*VLOOKUP($B509, Items!$A:$E, 5, FALSE), IF($D509="Consumption", -$C509*VLOOKUP($B509, Items!$A:$E, 5, FALSE), "")))</f>
        <v>0</v>
      </c>
      <c r="H509">
        <f>IF($D509="Consumption", -$C509*VLOOKUP($B509, Items!$A:$E, 5, FALSE), 0)</f>
        <v>0</v>
      </c>
    </row>
    <row r="510" spans="7:8">
      <c r="G510">
        <f>IF($D510="", "", IF($D510="Receipt", $C510*VLOOKUP($B510, Items!$A:$E, 5, FALSE), IF($D510="Consumption", -$C510*VLOOKUP($B510, Items!$A:$E, 5, FALSE), "")))</f>
        <v>0</v>
      </c>
      <c r="H510">
        <f>IF($D510="Consumption", -$C510*VLOOKUP($B510, Items!$A:$E, 5, FALSE), 0)</f>
        <v>0</v>
      </c>
    </row>
    <row r="511" spans="7:8">
      <c r="G511">
        <f>IF($D511="", "", IF($D511="Receipt", $C511*VLOOKUP($B511, Items!$A:$E, 5, FALSE), IF($D511="Consumption", -$C511*VLOOKUP($B511, Items!$A:$E, 5, FALSE), "")))</f>
        <v>0</v>
      </c>
      <c r="H511">
        <f>IF($D511="Consumption", -$C511*VLOOKUP($B511, Items!$A:$E, 5, FALSE), 0)</f>
        <v>0</v>
      </c>
    </row>
    <row r="512" spans="7:8">
      <c r="G512">
        <f>IF($D512="", "", IF($D512="Receipt", $C512*VLOOKUP($B512, Items!$A:$E, 5, FALSE), IF($D512="Consumption", -$C512*VLOOKUP($B512, Items!$A:$E, 5, FALSE), "")))</f>
        <v>0</v>
      </c>
      <c r="H512">
        <f>IF($D512="Consumption", -$C512*VLOOKUP($B512, Items!$A:$E, 5, FALSE), 0)</f>
        <v>0</v>
      </c>
    </row>
    <row r="513" spans="7:8">
      <c r="G513">
        <f>IF($D513="", "", IF($D513="Receipt", $C513*VLOOKUP($B513, Items!$A:$E, 5, FALSE), IF($D513="Consumption", -$C513*VLOOKUP($B513, Items!$A:$E, 5, FALSE), "")))</f>
        <v>0</v>
      </c>
      <c r="H513">
        <f>IF($D513="Consumption", -$C513*VLOOKUP($B513, Items!$A:$E, 5, FALSE), 0)</f>
        <v>0</v>
      </c>
    </row>
    <row r="514" spans="7:8">
      <c r="G514">
        <f>IF($D514="", "", IF($D514="Receipt", $C514*VLOOKUP($B514, Items!$A:$E, 5, FALSE), IF($D514="Consumption", -$C514*VLOOKUP($B514, Items!$A:$E, 5, FALSE), "")))</f>
        <v>0</v>
      </c>
      <c r="H514">
        <f>IF($D514="Consumption", -$C514*VLOOKUP($B514, Items!$A:$E, 5, FALSE), 0)</f>
        <v>0</v>
      </c>
    </row>
    <row r="515" spans="7:8">
      <c r="G515">
        <f>IF($D515="", "", IF($D515="Receipt", $C515*VLOOKUP($B515, Items!$A:$E, 5, FALSE), IF($D515="Consumption", -$C515*VLOOKUP($B515, Items!$A:$E, 5, FALSE), "")))</f>
        <v>0</v>
      </c>
      <c r="H515">
        <f>IF($D515="Consumption", -$C515*VLOOKUP($B515, Items!$A:$E, 5, FALSE), 0)</f>
        <v>0</v>
      </c>
    </row>
    <row r="516" spans="7:8">
      <c r="G516">
        <f>IF($D516="", "", IF($D516="Receipt", $C516*VLOOKUP($B516, Items!$A:$E, 5, FALSE), IF($D516="Consumption", -$C516*VLOOKUP($B516, Items!$A:$E, 5, FALSE), "")))</f>
        <v>0</v>
      </c>
      <c r="H516">
        <f>IF($D516="Consumption", -$C516*VLOOKUP($B516, Items!$A:$E, 5, FALSE), 0)</f>
        <v>0</v>
      </c>
    </row>
    <row r="517" spans="7:8">
      <c r="G517">
        <f>IF($D517="", "", IF($D517="Receipt", $C517*VLOOKUP($B517, Items!$A:$E, 5, FALSE), IF($D517="Consumption", -$C517*VLOOKUP($B517, Items!$A:$E, 5, FALSE), "")))</f>
        <v>0</v>
      </c>
      <c r="H517">
        <f>IF($D517="Consumption", -$C517*VLOOKUP($B517, Items!$A:$E, 5, FALSE), 0)</f>
        <v>0</v>
      </c>
    </row>
    <row r="518" spans="7:8">
      <c r="G518">
        <f>IF($D518="", "", IF($D518="Receipt", $C518*VLOOKUP($B518, Items!$A:$E, 5, FALSE), IF($D518="Consumption", -$C518*VLOOKUP($B518, Items!$A:$E, 5, FALSE), "")))</f>
        <v>0</v>
      </c>
      <c r="H518">
        <f>IF($D518="Consumption", -$C518*VLOOKUP($B518, Items!$A:$E, 5, FALSE), 0)</f>
        <v>0</v>
      </c>
    </row>
    <row r="519" spans="7:8">
      <c r="G519">
        <f>IF($D519="", "", IF($D519="Receipt", $C519*VLOOKUP($B519, Items!$A:$E, 5, FALSE), IF($D519="Consumption", -$C519*VLOOKUP($B519, Items!$A:$E, 5, FALSE), "")))</f>
        <v>0</v>
      </c>
      <c r="H519">
        <f>IF($D519="Consumption", -$C519*VLOOKUP($B519, Items!$A:$E, 5, FALSE), 0)</f>
        <v>0</v>
      </c>
    </row>
    <row r="520" spans="7:8">
      <c r="G520">
        <f>IF($D520="", "", IF($D520="Receipt", $C520*VLOOKUP($B520, Items!$A:$E, 5, FALSE), IF($D520="Consumption", -$C520*VLOOKUP($B520, Items!$A:$E, 5, FALSE), "")))</f>
        <v>0</v>
      </c>
      <c r="H520">
        <f>IF($D520="Consumption", -$C520*VLOOKUP($B520, Items!$A:$E, 5, FALSE), 0)</f>
        <v>0</v>
      </c>
    </row>
    <row r="521" spans="7:8">
      <c r="G521">
        <f>IF($D521="", "", IF($D521="Receipt", $C521*VLOOKUP($B521, Items!$A:$E, 5, FALSE), IF($D521="Consumption", -$C521*VLOOKUP($B521, Items!$A:$E, 5, FALSE), "")))</f>
        <v>0</v>
      </c>
      <c r="H521">
        <f>IF($D521="Consumption", -$C521*VLOOKUP($B521, Items!$A:$E, 5, FALSE), 0)</f>
        <v>0</v>
      </c>
    </row>
    <row r="522" spans="7:8">
      <c r="G522">
        <f>IF($D522="", "", IF($D522="Receipt", $C522*VLOOKUP($B522, Items!$A:$E, 5, FALSE), IF($D522="Consumption", -$C522*VLOOKUP($B522, Items!$A:$E, 5, FALSE), "")))</f>
        <v>0</v>
      </c>
      <c r="H522">
        <f>IF($D522="Consumption", -$C522*VLOOKUP($B522, Items!$A:$E, 5, FALSE), 0)</f>
        <v>0</v>
      </c>
    </row>
    <row r="523" spans="7:8">
      <c r="G523">
        <f>IF($D523="", "", IF($D523="Receipt", $C523*VLOOKUP($B523, Items!$A:$E, 5, FALSE), IF($D523="Consumption", -$C523*VLOOKUP($B523, Items!$A:$E, 5, FALSE), "")))</f>
        <v>0</v>
      </c>
      <c r="H523">
        <f>IF($D523="Consumption", -$C523*VLOOKUP($B523, Items!$A:$E, 5, FALSE), 0)</f>
        <v>0</v>
      </c>
    </row>
    <row r="524" spans="7:8">
      <c r="G524">
        <f>IF($D524="", "", IF($D524="Receipt", $C524*VLOOKUP($B524, Items!$A:$E, 5, FALSE), IF($D524="Consumption", -$C524*VLOOKUP($B524, Items!$A:$E, 5, FALSE), "")))</f>
        <v>0</v>
      </c>
      <c r="H524">
        <f>IF($D524="Consumption", -$C524*VLOOKUP($B524, Items!$A:$E, 5, FALSE), 0)</f>
        <v>0</v>
      </c>
    </row>
    <row r="525" spans="7:8">
      <c r="G525">
        <f>IF($D525="", "", IF($D525="Receipt", $C525*VLOOKUP($B525, Items!$A:$E, 5, FALSE), IF($D525="Consumption", -$C525*VLOOKUP($B525, Items!$A:$E, 5, FALSE), "")))</f>
        <v>0</v>
      </c>
      <c r="H525">
        <f>IF($D525="Consumption", -$C525*VLOOKUP($B525, Items!$A:$E, 5, FALSE), 0)</f>
        <v>0</v>
      </c>
    </row>
    <row r="526" spans="7:8">
      <c r="G526">
        <f>IF($D526="", "", IF($D526="Receipt", $C526*VLOOKUP($B526, Items!$A:$E, 5, FALSE), IF($D526="Consumption", -$C526*VLOOKUP($B526, Items!$A:$E, 5, FALSE), "")))</f>
        <v>0</v>
      </c>
      <c r="H526">
        <f>IF($D526="Consumption", -$C526*VLOOKUP($B526, Items!$A:$E, 5, FALSE), 0)</f>
        <v>0</v>
      </c>
    </row>
    <row r="527" spans="7:8">
      <c r="G527">
        <f>IF($D527="", "", IF($D527="Receipt", $C527*VLOOKUP($B527, Items!$A:$E, 5, FALSE), IF($D527="Consumption", -$C527*VLOOKUP($B527, Items!$A:$E, 5, FALSE), "")))</f>
        <v>0</v>
      </c>
      <c r="H527">
        <f>IF($D527="Consumption", -$C527*VLOOKUP($B527, Items!$A:$E, 5, FALSE), 0)</f>
        <v>0</v>
      </c>
    </row>
    <row r="528" spans="7:8">
      <c r="G528">
        <f>IF($D528="", "", IF($D528="Receipt", $C528*VLOOKUP($B528, Items!$A:$E, 5, FALSE), IF($D528="Consumption", -$C528*VLOOKUP($B528, Items!$A:$E, 5, FALSE), "")))</f>
        <v>0</v>
      </c>
      <c r="H528">
        <f>IF($D528="Consumption", -$C528*VLOOKUP($B528, Items!$A:$E, 5, FALSE), 0)</f>
        <v>0</v>
      </c>
    </row>
    <row r="529" spans="7:8">
      <c r="G529">
        <f>IF($D529="", "", IF($D529="Receipt", $C529*VLOOKUP($B529, Items!$A:$E, 5, FALSE), IF($D529="Consumption", -$C529*VLOOKUP($B529, Items!$A:$E, 5, FALSE), "")))</f>
        <v>0</v>
      </c>
      <c r="H529">
        <f>IF($D529="Consumption", -$C529*VLOOKUP($B529, Items!$A:$E, 5, FALSE), 0)</f>
        <v>0</v>
      </c>
    </row>
    <row r="530" spans="7:8">
      <c r="G530">
        <f>IF($D530="", "", IF($D530="Receipt", $C530*VLOOKUP($B530, Items!$A:$E, 5, FALSE), IF($D530="Consumption", -$C530*VLOOKUP($B530, Items!$A:$E, 5, FALSE), "")))</f>
        <v>0</v>
      </c>
      <c r="H530">
        <f>IF($D530="Consumption", -$C530*VLOOKUP($B530, Items!$A:$E, 5, FALSE), 0)</f>
        <v>0</v>
      </c>
    </row>
    <row r="531" spans="7:8">
      <c r="G531">
        <f>IF($D531="", "", IF($D531="Receipt", $C531*VLOOKUP($B531, Items!$A:$E, 5, FALSE), IF($D531="Consumption", -$C531*VLOOKUP($B531, Items!$A:$E, 5, FALSE), "")))</f>
        <v>0</v>
      </c>
      <c r="H531">
        <f>IF($D531="Consumption", -$C531*VLOOKUP($B531, Items!$A:$E, 5, FALSE), 0)</f>
        <v>0</v>
      </c>
    </row>
    <row r="532" spans="7:8">
      <c r="G532">
        <f>IF($D532="", "", IF($D532="Receipt", $C532*VLOOKUP($B532, Items!$A:$E, 5, FALSE), IF($D532="Consumption", -$C532*VLOOKUP($B532, Items!$A:$E, 5, FALSE), "")))</f>
        <v>0</v>
      </c>
      <c r="H532">
        <f>IF($D532="Consumption", -$C532*VLOOKUP($B532, Items!$A:$E, 5, FALSE), 0)</f>
        <v>0</v>
      </c>
    </row>
    <row r="533" spans="7:8">
      <c r="G533">
        <f>IF($D533="", "", IF($D533="Receipt", $C533*VLOOKUP($B533, Items!$A:$E, 5, FALSE), IF($D533="Consumption", -$C533*VLOOKUP($B533, Items!$A:$E, 5, FALSE), "")))</f>
        <v>0</v>
      </c>
      <c r="H533">
        <f>IF($D533="Consumption", -$C533*VLOOKUP($B533, Items!$A:$E, 5, FALSE), 0)</f>
        <v>0</v>
      </c>
    </row>
    <row r="534" spans="7:8">
      <c r="G534">
        <f>IF($D534="", "", IF($D534="Receipt", $C534*VLOOKUP($B534, Items!$A:$E, 5, FALSE), IF($D534="Consumption", -$C534*VLOOKUP($B534, Items!$A:$E, 5, FALSE), "")))</f>
        <v>0</v>
      </c>
      <c r="H534">
        <f>IF($D534="Consumption", -$C534*VLOOKUP($B534, Items!$A:$E, 5, FALSE), 0)</f>
        <v>0</v>
      </c>
    </row>
    <row r="535" spans="7:8">
      <c r="G535">
        <f>IF($D535="", "", IF($D535="Receipt", $C535*VLOOKUP($B535, Items!$A:$E, 5, FALSE), IF($D535="Consumption", -$C535*VLOOKUP($B535, Items!$A:$E, 5, FALSE), "")))</f>
        <v>0</v>
      </c>
      <c r="H535">
        <f>IF($D535="Consumption", -$C535*VLOOKUP($B535, Items!$A:$E, 5, FALSE), 0)</f>
        <v>0</v>
      </c>
    </row>
    <row r="536" spans="7:8">
      <c r="G536">
        <f>IF($D536="", "", IF($D536="Receipt", $C536*VLOOKUP($B536, Items!$A:$E, 5, FALSE), IF($D536="Consumption", -$C536*VLOOKUP($B536, Items!$A:$E, 5, FALSE), "")))</f>
        <v>0</v>
      </c>
      <c r="H536">
        <f>IF($D536="Consumption", -$C536*VLOOKUP($B536, Items!$A:$E, 5, FALSE), 0)</f>
        <v>0</v>
      </c>
    </row>
    <row r="537" spans="7:8">
      <c r="G537">
        <f>IF($D537="", "", IF($D537="Receipt", $C537*VLOOKUP($B537, Items!$A:$E, 5, FALSE), IF($D537="Consumption", -$C537*VLOOKUP($B537, Items!$A:$E, 5, FALSE), "")))</f>
        <v>0</v>
      </c>
      <c r="H537">
        <f>IF($D537="Consumption", -$C537*VLOOKUP($B537, Items!$A:$E, 5, FALSE), 0)</f>
        <v>0</v>
      </c>
    </row>
    <row r="538" spans="7:8">
      <c r="G538">
        <f>IF($D538="", "", IF($D538="Receipt", $C538*VLOOKUP($B538, Items!$A:$E, 5, FALSE), IF($D538="Consumption", -$C538*VLOOKUP($B538, Items!$A:$E, 5, FALSE), "")))</f>
        <v>0</v>
      </c>
      <c r="H538">
        <f>IF($D538="Consumption", -$C538*VLOOKUP($B538, Items!$A:$E, 5, FALSE), 0)</f>
        <v>0</v>
      </c>
    </row>
    <row r="539" spans="7:8">
      <c r="G539">
        <f>IF($D539="", "", IF($D539="Receipt", $C539*VLOOKUP($B539, Items!$A:$E, 5, FALSE), IF($D539="Consumption", -$C539*VLOOKUP($B539, Items!$A:$E, 5, FALSE), "")))</f>
        <v>0</v>
      </c>
      <c r="H539">
        <f>IF($D539="Consumption", -$C539*VLOOKUP($B539, Items!$A:$E, 5, FALSE), 0)</f>
        <v>0</v>
      </c>
    </row>
    <row r="540" spans="7:8">
      <c r="G540">
        <f>IF($D540="", "", IF($D540="Receipt", $C540*VLOOKUP($B540, Items!$A:$E, 5, FALSE), IF($D540="Consumption", -$C540*VLOOKUP($B540, Items!$A:$E, 5, FALSE), "")))</f>
        <v>0</v>
      </c>
      <c r="H540">
        <f>IF($D540="Consumption", -$C540*VLOOKUP($B540, Items!$A:$E, 5, FALSE), 0)</f>
        <v>0</v>
      </c>
    </row>
    <row r="541" spans="7:8">
      <c r="G541">
        <f>IF($D541="", "", IF($D541="Receipt", $C541*VLOOKUP($B541, Items!$A:$E, 5, FALSE), IF($D541="Consumption", -$C541*VLOOKUP($B541, Items!$A:$E, 5, FALSE), "")))</f>
        <v>0</v>
      </c>
      <c r="H541">
        <f>IF($D541="Consumption", -$C541*VLOOKUP($B541, Items!$A:$E, 5, FALSE), 0)</f>
        <v>0</v>
      </c>
    </row>
    <row r="542" spans="7:8">
      <c r="G542">
        <f>IF($D542="", "", IF($D542="Receipt", $C542*VLOOKUP($B542, Items!$A:$E, 5, FALSE), IF($D542="Consumption", -$C542*VLOOKUP($B542, Items!$A:$E, 5, FALSE), "")))</f>
        <v>0</v>
      </c>
      <c r="H542">
        <f>IF($D542="Consumption", -$C542*VLOOKUP($B542, Items!$A:$E, 5, FALSE), 0)</f>
        <v>0</v>
      </c>
    </row>
    <row r="543" spans="7:8">
      <c r="G543">
        <f>IF($D543="", "", IF($D543="Receipt", $C543*VLOOKUP($B543, Items!$A:$E, 5, FALSE), IF($D543="Consumption", -$C543*VLOOKUP($B543, Items!$A:$E, 5, FALSE), "")))</f>
        <v>0</v>
      </c>
      <c r="H543">
        <f>IF($D543="Consumption", -$C543*VLOOKUP($B543, Items!$A:$E, 5, FALSE), 0)</f>
        <v>0</v>
      </c>
    </row>
    <row r="544" spans="7:8">
      <c r="G544">
        <f>IF($D544="", "", IF($D544="Receipt", $C544*VLOOKUP($B544, Items!$A:$E, 5, FALSE), IF($D544="Consumption", -$C544*VLOOKUP($B544, Items!$A:$E, 5, FALSE), "")))</f>
        <v>0</v>
      </c>
      <c r="H544">
        <f>IF($D544="Consumption", -$C544*VLOOKUP($B544, Items!$A:$E, 5, FALSE), 0)</f>
        <v>0</v>
      </c>
    </row>
    <row r="545" spans="7:8">
      <c r="G545">
        <f>IF($D545="", "", IF($D545="Receipt", $C545*VLOOKUP($B545, Items!$A:$E, 5, FALSE), IF($D545="Consumption", -$C545*VLOOKUP($B545, Items!$A:$E, 5, FALSE), "")))</f>
        <v>0</v>
      </c>
      <c r="H545">
        <f>IF($D545="Consumption", -$C545*VLOOKUP($B545, Items!$A:$E, 5, FALSE), 0)</f>
        <v>0</v>
      </c>
    </row>
    <row r="546" spans="7:8">
      <c r="G546">
        <f>IF($D546="", "", IF($D546="Receipt", $C546*VLOOKUP($B546, Items!$A:$E, 5, FALSE), IF($D546="Consumption", -$C546*VLOOKUP($B546, Items!$A:$E, 5, FALSE), "")))</f>
        <v>0</v>
      </c>
      <c r="H546">
        <f>IF($D546="Consumption", -$C546*VLOOKUP($B546, Items!$A:$E, 5, FALSE), 0)</f>
        <v>0</v>
      </c>
    </row>
    <row r="547" spans="7:8">
      <c r="G547">
        <f>IF($D547="", "", IF($D547="Receipt", $C547*VLOOKUP($B547, Items!$A:$E, 5, FALSE), IF($D547="Consumption", -$C547*VLOOKUP($B547, Items!$A:$E, 5, FALSE), "")))</f>
        <v>0</v>
      </c>
      <c r="H547">
        <f>IF($D547="Consumption", -$C547*VLOOKUP($B547, Items!$A:$E, 5, FALSE), 0)</f>
        <v>0</v>
      </c>
    </row>
    <row r="548" spans="7:8">
      <c r="G548">
        <f>IF($D548="", "", IF($D548="Receipt", $C548*VLOOKUP($B548, Items!$A:$E, 5, FALSE), IF($D548="Consumption", -$C548*VLOOKUP($B548, Items!$A:$E, 5, FALSE), "")))</f>
        <v>0</v>
      </c>
      <c r="H548">
        <f>IF($D548="Consumption", -$C548*VLOOKUP($B548, Items!$A:$E, 5, FALSE), 0)</f>
        <v>0</v>
      </c>
    </row>
    <row r="549" spans="7:8">
      <c r="G549">
        <f>IF($D549="", "", IF($D549="Receipt", $C549*VLOOKUP($B549, Items!$A:$E, 5, FALSE), IF($D549="Consumption", -$C549*VLOOKUP($B549, Items!$A:$E, 5, FALSE), "")))</f>
        <v>0</v>
      </c>
      <c r="H549">
        <f>IF($D549="Consumption", -$C549*VLOOKUP($B549, Items!$A:$E, 5, FALSE), 0)</f>
        <v>0</v>
      </c>
    </row>
    <row r="550" spans="7:8">
      <c r="G550">
        <f>IF($D550="", "", IF($D550="Receipt", $C550*VLOOKUP($B550, Items!$A:$E, 5, FALSE), IF($D550="Consumption", -$C550*VLOOKUP($B550, Items!$A:$E, 5, FALSE), "")))</f>
        <v>0</v>
      </c>
      <c r="H550">
        <f>IF($D550="Consumption", -$C550*VLOOKUP($B550, Items!$A:$E, 5, FALSE), 0)</f>
        <v>0</v>
      </c>
    </row>
    <row r="551" spans="7:8">
      <c r="G551">
        <f>IF($D551="", "", IF($D551="Receipt", $C551*VLOOKUP($B551, Items!$A:$E, 5, FALSE), IF($D551="Consumption", -$C551*VLOOKUP($B551, Items!$A:$E, 5, FALSE), "")))</f>
        <v>0</v>
      </c>
      <c r="H551">
        <f>IF($D551="Consumption", -$C551*VLOOKUP($B551, Items!$A:$E, 5, FALSE), 0)</f>
        <v>0</v>
      </c>
    </row>
    <row r="552" spans="7:8">
      <c r="G552">
        <f>IF($D552="", "", IF($D552="Receipt", $C552*VLOOKUP($B552, Items!$A:$E, 5, FALSE), IF($D552="Consumption", -$C552*VLOOKUP($B552, Items!$A:$E, 5, FALSE), "")))</f>
        <v>0</v>
      </c>
      <c r="H552">
        <f>IF($D552="Consumption", -$C552*VLOOKUP($B552, Items!$A:$E, 5, FALSE), 0)</f>
        <v>0</v>
      </c>
    </row>
    <row r="553" spans="7:8">
      <c r="G553">
        <f>IF($D553="", "", IF($D553="Receipt", $C553*VLOOKUP($B553, Items!$A:$E, 5, FALSE), IF($D553="Consumption", -$C553*VLOOKUP($B553, Items!$A:$E, 5, FALSE), "")))</f>
        <v>0</v>
      </c>
      <c r="H553">
        <f>IF($D553="Consumption", -$C553*VLOOKUP($B553, Items!$A:$E, 5, FALSE), 0)</f>
        <v>0</v>
      </c>
    </row>
    <row r="554" spans="7:8">
      <c r="G554">
        <f>IF($D554="", "", IF($D554="Receipt", $C554*VLOOKUP($B554, Items!$A:$E, 5, FALSE), IF($D554="Consumption", -$C554*VLOOKUP($B554, Items!$A:$E, 5, FALSE), "")))</f>
        <v>0</v>
      </c>
      <c r="H554">
        <f>IF($D554="Consumption", -$C554*VLOOKUP($B554, Items!$A:$E, 5, FALSE), 0)</f>
        <v>0</v>
      </c>
    </row>
    <row r="555" spans="7:8">
      <c r="G555">
        <f>IF($D555="", "", IF($D555="Receipt", $C555*VLOOKUP($B555, Items!$A:$E, 5, FALSE), IF($D555="Consumption", -$C555*VLOOKUP($B555, Items!$A:$E, 5, FALSE), "")))</f>
        <v>0</v>
      </c>
      <c r="H555">
        <f>IF($D555="Consumption", -$C555*VLOOKUP($B555, Items!$A:$E, 5, FALSE), 0)</f>
        <v>0</v>
      </c>
    </row>
    <row r="556" spans="7:8">
      <c r="G556">
        <f>IF($D556="", "", IF($D556="Receipt", $C556*VLOOKUP($B556, Items!$A:$E, 5, FALSE), IF($D556="Consumption", -$C556*VLOOKUP($B556, Items!$A:$E, 5, FALSE), "")))</f>
        <v>0</v>
      </c>
      <c r="H556">
        <f>IF($D556="Consumption", -$C556*VLOOKUP($B556, Items!$A:$E, 5, FALSE), 0)</f>
        <v>0</v>
      </c>
    </row>
    <row r="557" spans="7:8">
      <c r="G557">
        <f>IF($D557="", "", IF($D557="Receipt", $C557*VLOOKUP($B557, Items!$A:$E, 5, FALSE), IF($D557="Consumption", -$C557*VLOOKUP($B557, Items!$A:$E, 5, FALSE), "")))</f>
        <v>0</v>
      </c>
      <c r="H557">
        <f>IF($D557="Consumption", -$C557*VLOOKUP($B557, Items!$A:$E, 5, FALSE), 0)</f>
        <v>0</v>
      </c>
    </row>
    <row r="558" spans="7:8">
      <c r="G558">
        <f>IF($D558="", "", IF($D558="Receipt", $C558*VLOOKUP($B558, Items!$A:$E, 5, FALSE), IF($D558="Consumption", -$C558*VLOOKUP($B558, Items!$A:$E, 5, FALSE), "")))</f>
        <v>0</v>
      </c>
      <c r="H558">
        <f>IF($D558="Consumption", -$C558*VLOOKUP($B558, Items!$A:$E, 5, FALSE), 0)</f>
        <v>0</v>
      </c>
    </row>
    <row r="559" spans="7:8">
      <c r="G559">
        <f>IF($D559="", "", IF($D559="Receipt", $C559*VLOOKUP($B559, Items!$A:$E, 5, FALSE), IF($D559="Consumption", -$C559*VLOOKUP($B559, Items!$A:$E, 5, FALSE), "")))</f>
        <v>0</v>
      </c>
      <c r="H559">
        <f>IF($D559="Consumption", -$C559*VLOOKUP($B559, Items!$A:$E, 5, FALSE), 0)</f>
        <v>0</v>
      </c>
    </row>
    <row r="560" spans="7:8">
      <c r="G560">
        <f>IF($D560="", "", IF($D560="Receipt", $C560*VLOOKUP($B560, Items!$A:$E, 5, FALSE), IF($D560="Consumption", -$C560*VLOOKUP($B560, Items!$A:$E, 5, FALSE), "")))</f>
        <v>0</v>
      </c>
      <c r="H560">
        <f>IF($D560="Consumption", -$C560*VLOOKUP($B560, Items!$A:$E, 5, FALSE), 0)</f>
        <v>0</v>
      </c>
    </row>
    <row r="561" spans="7:8">
      <c r="G561">
        <f>IF($D561="", "", IF($D561="Receipt", $C561*VLOOKUP($B561, Items!$A:$E, 5, FALSE), IF($D561="Consumption", -$C561*VLOOKUP($B561, Items!$A:$E, 5, FALSE), "")))</f>
        <v>0</v>
      </c>
      <c r="H561">
        <f>IF($D561="Consumption", -$C561*VLOOKUP($B561, Items!$A:$E, 5, FALSE), 0)</f>
        <v>0</v>
      </c>
    </row>
    <row r="562" spans="7:8">
      <c r="G562">
        <f>IF($D562="", "", IF($D562="Receipt", $C562*VLOOKUP($B562, Items!$A:$E, 5, FALSE), IF($D562="Consumption", -$C562*VLOOKUP($B562, Items!$A:$E, 5, FALSE), "")))</f>
        <v>0</v>
      </c>
      <c r="H562">
        <f>IF($D562="Consumption", -$C562*VLOOKUP($B562, Items!$A:$E, 5, FALSE), 0)</f>
        <v>0</v>
      </c>
    </row>
    <row r="563" spans="7:8">
      <c r="G563">
        <f>IF($D563="", "", IF($D563="Receipt", $C563*VLOOKUP($B563, Items!$A:$E, 5, FALSE), IF($D563="Consumption", -$C563*VLOOKUP($B563, Items!$A:$E, 5, FALSE), "")))</f>
        <v>0</v>
      </c>
      <c r="H563">
        <f>IF($D563="Consumption", -$C563*VLOOKUP($B563, Items!$A:$E, 5, FALSE), 0)</f>
        <v>0</v>
      </c>
    </row>
    <row r="564" spans="7:8">
      <c r="G564">
        <f>IF($D564="", "", IF($D564="Receipt", $C564*VLOOKUP($B564, Items!$A:$E, 5, FALSE), IF($D564="Consumption", -$C564*VLOOKUP($B564, Items!$A:$E, 5, FALSE), "")))</f>
        <v>0</v>
      </c>
      <c r="H564">
        <f>IF($D564="Consumption", -$C564*VLOOKUP($B564, Items!$A:$E, 5, FALSE), 0)</f>
        <v>0</v>
      </c>
    </row>
    <row r="565" spans="7:8">
      <c r="G565">
        <f>IF($D565="", "", IF($D565="Receipt", $C565*VLOOKUP($B565, Items!$A:$E, 5, FALSE), IF($D565="Consumption", -$C565*VLOOKUP($B565, Items!$A:$E, 5, FALSE), "")))</f>
        <v>0</v>
      </c>
      <c r="H565">
        <f>IF($D565="Consumption", -$C565*VLOOKUP($B565, Items!$A:$E, 5, FALSE), 0)</f>
        <v>0</v>
      </c>
    </row>
    <row r="566" spans="7:8">
      <c r="G566">
        <f>IF($D566="", "", IF($D566="Receipt", $C566*VLOOKUP($B566, Items!$A:$E, 5, FALSE), IF($D566="Consumption", -$C566*VLOOKUP($B566, Items!$A:$E, 5, FALSE), "")))</f>
        <v>0</v>
      </c>
      <c r="H566">
        <f>IF($D566="Consumption", -$C566*VLOOKUP($B566, Items!$A:$E, 5, FALSE), 0)</f>
        <v>0</v>
      </c>
    </row>
    <row r="567" spans="7:8">
      <c r="G567">
        <f>IF($D567="", "", IF($D567="Receipt", $C567*VLOOKUP($B567, Items!$A:$E, 5, FALSE), IF($D567="Consumption", -$C567*VLOOKUP($B567, Items!$A:$E, 5, FALSE), "")))</f>
        <v>0</v>
      </c>
      <c r="H567">
        <f>IF($D567="Consumption", -$C567*VLOOKUP($B567, Items!$A:$E, 5, FALSE), 0)</f>
        <v>0</v>
      </c>
    </row>
    <row r="568" spans="7:8">
      <c r="G568">
        <f>IF($D568="", "", IF($D568="Receipt", $C568*VLOOKUP($B568, Items!$A:$E, 5, FALSE), IF($D568="Consumption", -$C568*VLOOKUP($B568, Items!$A:$E, 5, FALSE), "")))</f>
        <v>0</v>
      </c>
      <c r="H568">
        <f>IF($D568="Consumption", -$C568*VLOOKUP($B568, Items!$A:$E, 5, FALSE), 0)</f>
        <v>0</v>
      </c>
    </row>
    <row r="569" spans="7:8">
      <c r="G569">
        <f>IF($D569="", "", IF($D569="Receipt", $C569*VLOOKUP($B569, Items!$A:$E, 5, FALSE), IF($D569="Consumption", -$C569*VLOOKUP($B569, Items!$A:$E, 5, FALSE), "")))</f>
        <v>0</v>
      </c>
      <c r="H569">
        <f>IF($D569="Consumption", -$C569*VLOOKUP($B569, Items!$A:$E, 5, FALSE), 0)</f>
        <v>0</v>
      </c>
    </row>
    <row r="570" spans="7:8">
      <c r="G570">
        <f>IF($D570="", "", IF($D570="Receipt", $C570*VLOOKUP($B570, Items!$A:$E, 5, FALSE), IF($D570="Consumption", -$C570*VLOOKUP($B570, Items!$A:$E, 5, FALSE), "")))</f>
        <v>0</v>
      </c>
      <c r="H570">
        <f>IF($D570="Consumption", -$C570*VLOOKUP($B570, Items!$A:$E, 5, FALSE), 0)</f>
        <v>0</v>
      </c>
    </row>
    <row r="571" spans="7:8">
      <c r="G571">
        <f>IF($D571="", "", IF($D571="Receipt", $C571*VLOOKUP($B571, Items!$A:$E, 5, FALSE), IF($D571="Consumption", -$C571*VLOOKUP($B571, Items!$A:$E, 5, FALSE), "")))</f>
        <v>0</v>
      </c>
      <c r="H571">
        <f>IF($D571="Consumption", -$C571*VLOOKUP($B571, Items!$A:$E, 5, FALSE), 0)</f>
        <v>0</v>
      </c>
    </row>
    <row r="572" spans="7:8">
      <c r="G572">
        <f>IF($D572="", "", IF($D572="Receipt", $C572*VLOOKUP($B572, Items!$A:$E, 5, FALSE), IF($D572="Consumption", -$C572*VLOOKUP($B572, Items!$A:$E, 5, FALSE), "")))</f>
        <v>0</v>
      </c>
      <c r="H572">
        <f>IF($D572="Consumption", -$C572*VLOOKUP($B572, Items!$A:$E, 5, FALSE), 0)</f>
        <v>0</v>
      </c>
    </row>
    <row r="573" spans="7:8">
      <c r="G573">
        <f>IF($D573="", "", IF($D573="Receipt", $C573*VLOOKUP($B573, Items!$A:$E, 5, FALSE), IF($D573="Consumption", -$C573*VLOOKUP($B573, Items!$A:$E, 5, FALSE), "")))</f>
        <v>0</v>
      </c>
      <c r="H573">
        <f>IF($D573="Consumption", -$C573*VLOOKUP($B573, Items!$A:$E, 5, FALSE), 0)</f>
        <v>0</v>
      </c>
    </row>
    <row r="574" spans="7:8">
      <c r="G574">
        <f>IF($D574="", "", IF($D574="Receipt", $C574*VLOOKUP($B574, Items!$A:$E, 5, FALSE), IF($D574="Consumption", -$C574*VLOOKUP($B574, Items!$A:$E, 5, FALSE), "")))</f>
        <v>0</v>
      </c>
      <c r="H574">
        <f>IF($D574="Consumption", -$C574*VLOOKUP($B574, Items!$A:$E, 5, FALSE), 0)</f>
        <v>0</v>
      </c>
    </row>
    <row r="575" spans="7:8">
      <c r="G575">
        <f>IF($D575="", "", IF($D575="Receipt", $C575*VLOOKUP($B575, Items!$A:$E, 5, FALSE), IF($D575="Consumption", -$C575*VLOOKUP($B575, Items!$A:$E, 5, FALSE), "")))</f>
        <v>0</v>
      </c>
      <c r="H575">
        <f>IF($D575="Consumption", -$C575*VLOOKUP($B575, Items!$A:$E, 5, FALSE), 0)</f>
        <v>0</v>
      </c>
    </row>
    <row r="576" spans="7:8">
      <c r="G576">
        <f>IF($D576="", "", IF($D576="Receipt", $C576*VLOOKUP($B576, Items!$A:$E, 5, FALSE), IF($D576="Consumption", -$C576*VLOOKUP($B576, Items!$A:$E, 5, FALSE), "")))</f>
        <v>0</v>
      </c>
      <c r="H576">
        <f>IF($D576="Consumption", -$C576*VLOOKUP($B576, Items!$A:$E, 5, FALSE), 0)</f>
        <v>0</v>
      </c>
    </row>
    <row r="577" spans="7:8">
      <c r="G577">
        <f>IF($D577="", "", IF($D577="Receipt", $C577*VLOOKUP($B577, Items!$A:$E, 5, FALSE), IF($D577="Consumption", -$C577*VLOOKUP($B577, Items!$A:$E, 5, FALSE), "")))</f>
        <v>0</v>
      </c>
      <c r="H577">
        <f>IF($D577="Consumption", -$C577*VLOOKUP($B577, Items!$A:$E, 5, FALSE), 0)</f>
        <v>0</v>
      </c>
    </row>
    <row r="578" spans="7:8">
      <c r="G578">
        <f>IF($D578="", "", IF($D578="Receipt", $C578*VLOOKUP($B578, Items!$A:$E, 5, FALSE), IF($D578="Consumption", -$C578*VLOOKUP($B578, Items!$A:$E, 5, FALSE), "")))</f>
        <v>0</v>
      </c>
      <c r="H578">
        <f>IF($D578="Consumption", -$C578*VLOOKUP($B578, Items!$A:$E, 5, FALSE), 0)</f>
        <v>0</v>
      </c>
    </row>
    <row r="579" spans="7:8">
      <c r="G579">
        <f>IF($D579="", "", IF($D579="Receipt", $C579*VLOOKUP($B579, Items!$A:$E, 5, FALSE), IF($D579="Consumption", -$C579*VLOOKUP($B579, Items!$A:$E, 5, FALSE), "")))</f>
        <v>0</v>
      </c>
      <c r="H579">
        <f>IF($D579="Consumption", -$C579*VLOOKUP($B579, Items!$A:$E, 5, FALSE), 0)</f>
        <v>0</v>
      </c>
    </row>
    <row r="580" spans="7:8">
      <c r="G580">
        <f>IF($D580="", "", IF($D580="Receipt", $C580*VLOOKUP($B580, Items!$A:$E, 5, FALSE), IF($D580="Consumption", -$C580*VLOOKUP($B580, Items!$A:$E, 5, FALSE), "")))</f>
        <v>0</v>
      </c>
      <c r="H580">
        <f>IF($D580="Consumption", -$C580*VLOOKUP($B580, Items!$A:$E, 5, FALSE), 0)</f>
        <v>0</v>
      </c>
    </row>
    <row r="581" spans="7:8">
      <c r="G581">
        <f>IF($D581="", "", IF($D581="Receipt", $C581*VLOOKUP($B581, Items!$A:$E, 5, FALSE), IF($D581="Consumption", -$C581*VLOOKUP($B581, Items!$A:$E, 5, FALSE), "")))</f>
        <v>0</v>
      </c>
      <c r="H581">
        <f>IF($D581="Consumption", -$C581*VLOOKUP($B581, Items!$A:$E, 5, FALSE), 0)</f>
        <v>0</v>
      </c>
    </row>
    <row r="582" spans="7:8">
      <c r="G582">
        <f>IF($D582="", "", IF($D582="Receipt", $C582*VLOOKUP($B582, Items!$A:$E, 5, FALSE), IF($D582="Consumption", -$C582*VLOOKUP($B582, Items!$A:$E, 5, FALSE), "")))</f>
        <v>0</v>
      </c>
      <c r="H582">
        <f>IF($D582="Consumption", -$C582*VLOOKUP($B582, Items!$A:$E, 5, FALSE), 0)</f>
        <v>0</v>
      </c>
    </row>
    <row r="583" spans="7:8">
      <c r="G583">
        <f>IF($D583="", "", IF($D583="Receipt", $C583*VLOOKUP($B583, Items!$A:$E, 5, FALSE), IF($D583="Consumption", -$C583*VLOOKUP($B583, Items!$A:$E, 5, FALSE), "")))</f>
        <v>0</v>
      </c>
      <c r="H583">
        <f>IF($D583="Consumption", -$C583*VLOOKUP($B583, Items!$A:$E, 5, FALSE), 0)</f>
        <v>0</v>
      </c>
    </row>
    <row r="584" spans="7:8">
      <c r="G584">
        <f>IF($D584="", "", IF($D584="Receipt", $C584*VLOOKUP($B584, Items!$A:$E, 5, FALSE), IF($D584="Consumption", -$C584*VLOOKUP($B584, Items!$A:$E, 5, FALSE), "")))</f>
        <v>0</v>
      </c>
      <c r="H584">
        <f>IF($D584="Consumption", -$C584*VLOOKUP($B584, Items!$A:$E, 5, FALSE), 0)</f>
        <v>0</v>
      </c>
    </row>
    <row r="585" spans="7:8">
      <c r="G585">
        <f>IF($D585="", "", IF($D585="Receipt", $C585*VLOOKUP($B585, Items!$A:$E, 5, FALSE), IF($D585="Consumption", -$C585*VLOOKUP($B585, Items!$A:$E, 5, FALSE), "")))</f>
        <v>0</v>
      </c>
      <c r="H585">
        <f>IF($D585="Consumption", -$C585*VLOOKUP($B585, Items!$A:$E, 5, FALSE), 0)</f>
        <v>0</v>
      </c>
    </row>
    <row r="586" spans="7:8">
      <c r="G586">
        <f>IF($D586="", "", IF($D586="Receipt", $C586*VLOOKUP($B586, Items!$A:$E, 5, FALSE), IF($D586="Consumption", -$C586*VLOOKUP($B586, Items!$A:$E, 5, FALSE), "")))</f>
        <v>0</v>
      </c>
      <c r="H586">
        <f>IF($D586="Consumption", -$C586*VLOOKUP($B586, Items!$A:$E, 5, FALSE), 0)</f>
        <v>0</v>
      </c>
    </row>
    <row r="587" spans="7:8">
      <c r="G587">
        <f>IF($D587="", "", IF($D587="Receipt", $C587*VLOOKUP($B587, Items!$A:$E, 5, FALSE), IF($D587="Consumption", -$C587*VLOOKUP($B587, Items!$A:$E, 5, FALSE), "")))</f>
        <v>0</v>
      </c>
      <c r="H587">
        <f>IF($D587="Consumption", -$C587*VLOOKUP($B587, Items!$A:$E, 5, FALSE), 0)</f>
        <v>0</v>
      </c>
    </row>
    <row r="588" spans="7:8">
      <c r="G588">
        <f>IF($D588="", "", IF($D588="Receipt", $C588*VLOOKUP($B588, Items!$A:$E, 5, FALSE), IF($D588="Consumption", -$C588*VLOOKUP($B588, Items!$A:$E, 5, FALSE), "")))</f>
        <v>0</v>
      </c>
      <c r="H588">
        <f>IF($D588="Consumption", -$C588*VLOOKUP($B588, Items!$A:$E, 5, FALSE), 0)</f>
        <v>0</v>
      </c>
    </row>
    <row r="589" spans="7:8">
      <c r="G589">
        <f>IF($D589="", "", IF($D589="Receipt", $C589*VLOOKUP($B589, Items!$A:$E, 5, FALSE), IF($D589="Consumption", -$C589*VLOOKUP($B589, Items!$A:$E, 5, FALSE), "")))</f>
        <v>0</v>
      </c>
      <c r="H589">
        <f>IF($D589="Consumption", -$C589*VLOOKUP($B589, Items!$A:$E, 5, FALSE), 0)</f>
        <v>0</v>
      </c>
    </row>
    <row r="590" spans="7:8">
      <c r="G590">
        <f>IF($D590="", "", IF($D590="Receipt", $C590*VLOOKUP($B590, Items!$A:$E, 5, FALSE), IF($D590="Consumption", -$C590*VLOOKUP($B590, Items!$A:$E, 5, FALSE), "")))</f>
        <v>0</v>
      </c>
      <c r="H590">
        <f>IF($D590="Consumption", -$C590*VLOOKUP($B590, Items!$A:$E, 5, FALSE), 0)</f>
        <v>0</v>
      </c>
    </row>
    <row r="591" spans="7:8">
      <c r="G591">
        <f>IF($D591="", "", IF($D591="Receipt", $C591*VLOOKUP($B591, Items!$A:$E, 5, FALSE), IF($D591="Consumption", -$C591*VLOOKUP($B591, Items!$A:$E, 5, FALSE), "")))</f>
        <v>0</v>
      </c>
      <c r="H591">
        <f>IF($D591="Consumption", -$C591*VLOOKUP($B591, Items!$A:$E, 5, FALSE), 0)</f>
        <v>0</v>
      </c>
    </row>
    <row r="592" spans="7:8">
      <c r="G592">
        <f>IF($D592="", "", IF($D592="Receipt", $C592*VLOOKUP($B592, Items!$A:$E, 5, FALSE), IF($D592="Consumption", -$C592*VLOOKUP($B592, Items!$A:$E, 5, FALSE), "")))</f>
        <v>0</v>
      </c>
      <c r="H592">
        <f>IF($D592="Consumption", -$C592*VLOOKUP($B592, Items!$A:$E, 5, FALSE), 0)</f>
        <v>0</v>
      </c>
    </row>
    <row r="593" spans="7:8">
      <c r="G593">
        <f>IF($D593="", "", IF($D593="Receipt", $C593*VLOOKUP($B593, Items!$A:$E, 5, FALSE), IF($D593="Consumption", -$C593*VLOOKUP($B593, Items!$A:$E, 5, FALSE), "")))</f>
        <v>0</v>
      </c>
      <c r="H593">
        <f>IF($D593="Consumption", -$C593*VLOOKUP($B593, Items!$A:$E, 5, FALSE), 0)</f>
        <v>0</v>
      </c>
    </row>
    <row r="594" spans="7:8">
      <c r="G594">
        <f>IF($D594="", "", IF($D594="Receipt", $C594*VLOOKUP($B594, Items!$A:$E, 5, FALSE), IF($D594="Consumption", -$C594*VLOOKUP($B594, Items!$A:$E, 5, FALSE), "")))</f>
        <v>0</v>
      </c>
      <c r="H594">
        <f>IF($D594="Consumption", -$C594*VLOOKUP($B594, Items!$A:$E, 5, FALSE), 0)</f>
        <v>0</v>
      </c>
    </row>
    <row r="595" spans="7:8">
      <c r="G595">
        <f>IF($D595="", "", IF($D595="Receipt", $C595*VLOOKUP($B595, Items!$A:$E, 5, FALSE), IF($D595="Consumption", -$C595*VLOOKUP($B595, Items!$A:$E, 5, FALSE), "")))</f>
        <v>0</v>
      </c>
      <c r="H595">
        <f>IF($D595="Consumption", -$C595*VLOOKUP($B595, Items!$A:$E, 5, FALSE), 0)</f>
        <v>0</v>
      </c>
    </row>
    <row r="596" spans="7:8">
      <c r="G596">
        <f>IF($D596="", "", IF($D596="Receipt", $C596*VLOOKUP($B596, Items!$A:$E, 5, FALSE), IF($D596="Consumption", -$C596*VLOOKUP($B596, Items!$A:$E, 5, FALSE), "")))</f>
        <v>0</v>
      </c>
      <c r="H596">
        <f>IF($D596="Consumption", -$C596*VLOOKUP($B596, Items!$A:$E, 5, FALSE), 0)</f>
        <v>0</v>
      </c>
    </row>
    <row r="597" spans="7:8">
      <c r="G597">
        <f>IF($D597="", "", IF($D597="Receipt", $C597*VLOOKUP($B597, Items!$A:$E, 5, FALSE), IF($D597="Consumption", -$C597*VLOOKUP($B597, Items!$A:$E, 5, FALSE), "")))</f>
        <v>0</v>
      </c>
      <c r="H597">
        <f>IF($D597="Consumption", -$C597*VLOOKUP($B597, Items!$A:$E, 5, FALSE), 0)</f>
        <v>0</v>
      </c>
    </row>
    <row r="598" spans="7:8">
      <c r="G598">
        <f>IF($D598="", "", IF($D598="Receipt", $C598*VLOOKUP($B598, Items!$A:$E, 5, FALSE), IF($D598="Consumption", -$C598*VLOOKUP($B598, Items!$A:$E, 5, FALSE), "")))</f>
        <v>0</v>
      </c>
      <c r="H598">
        <f>IF($D598="Consumption", -$C598*VLOOKUP($B598, Items!$A:$E, 5, FALSE), 0)</f>
        <v>0</v>
      </c>
    </row>
    <row r="599" spans="7:8">
      <c r="G599">
        <f>IF($D599="", "", IF($D599="Receipt", $C599*VLOOKUP($B599, Items!$A:$E, 5, FALSE), IF($D599="Consumption", -$C599*VLOOKUP($B599, Items!$A:$E, 5, FALSE), "")))</f>
        <v>0</v>
      </c>
      <c r="H599">
        <f>IF($D599="Consumption", -$C599*VLOOKUP($B599, Items!$A:$E, 5, FALSE), 0)</f>
        <v>0</v>
      </c>
    </row>
    <row r="600" spans="7:8">
      <c r="G600">
        <f>IF($D600="", "", IF($D600="Receipt", $C600*VLOOKUP($B600, Items!$A:$E, 5, FALSE), IF($D600="Consumption", -$C600*VLOOKUP($B600, Items!$A:$E, 5, FALSE), "")))</f>
        <v>0</v>
      </c>
      <c r="H600">
        <f>IF($D600="Consumption", -$C600*VLOOKUP($B600, Items!$A:$E, 5, FALSE), 0)</f>
        <v>0</v>
      </c>
    </row>
    <row r="601" spans="7:8">
      <c r="G601">
        <f>IF($D601="", "", IF($D601="Receipt", $C601*VLOOKUP($B601, Items!$A:$E, 5, FALSE), IF($D601="Consumption", -$C601*VLOOKUP($B601, Items!$A:$E, 5, FALSE), "")))</f>
        <v>0</v>
      </c>
      <c r="H601">
        <f>IF($D601="Consumption", -$C601*VLOOKUP($B601, Items!$A:$E, 5, FALSE), 0)</f>
        <v>0</v>
      </c>
    </row>
    <row r="602" spans="7:8">
      <c r="G602">
        <f>IF($D602="", "", IF($D602="Receipt", $C602*VLOOKUP($B602, Items!$A:$E, 5, FALSE), IF($D602="Consumption", -$C602*VLOOKUP($B602, Items!$A:$E, 5, FALSE), "")))</f>
        <v>0</v>
      </c>
      <c r="H602">
        <f>IF($D602="Consumption", -$C602*VLOOKUP($B602, Items!$A:$E, 5, FALSE), 0)</f>
        <v>0</v>
      </c>
    </row>
    <row r="603" spans="7:8">
      <c r="G603">
        <f>IF($D603="", "", IF($D603="Receipt", $C603*VLOOKUP($B603, Items!$A:$E, 5, FALSE), IF($D603="Consumption", -$C603*VLOOKUP($B603, Items!$A:$E, 5, FALSE), "")))</f>
        <v>0</v>
      </c>
      <c r="H603">
        <f>IF($D603="Consumption", -$C603*VLOOKUP($B603, Items!$A:$E, 5, FALSE), 0)</f>
        <v>0</v>
      </c>
    </row>
    <row r="604" spans="7:8">
      <c r="G604">
        <f>IF($D604="", "", IF($D604="Receipt", $C604*VLOOKUP($B604, Items!$A:$E, 5, FALSE), IF($D604="Consumption", -$C604*VLOOKUP($B604, Items!$A:$E, 5, FALSE), "")))</f>
        <v>0</v>
      </c>
      <c r="H604">
        <f>IF($D604="Consumption", -$C604*VLOOKUP($B604, Items!$A:$E, 5, FALSE), 0)</f>
        <v>0</v>
      </c>
    </row>
    <row r="605" spans="7:8">
      <c r="G605">
        <f>IF($D605="", "", IF($D605="Receipt", $C605*VLOOKUP($B605, Items!$A:$E, 5, FALSE), IF($D605="Consumption", -$C605*VLOOKUP($B605, Items!$A:$E, 5, FALSE), "")))</f>
        <v>0</v>
      </c>
      <c r="H605">
        <f>IF($D605="Consumption", -$C605*VLOOKUP($B605, Items!$A:$E, 5, FALSE), 0)</f>
        <v>0</v>
      </c>
    </row>
    <row r="606" spans="7:8">
      <c r="G606">
        <f>IF($D606="", "", IF($D606="Receipt", $C606*VLOOKUP($B606, Items!$A:$E, 5, FALSE), IF($D606="Consumption", -$C606*VLOOKUP($B606, Items!$A:$E, 5, FALSE), "")))</f>
        <v>0</v>
      </c>
      <c r="H606">
        <f>IF($D606="Consumption", -$C606*VLOOKUP($B606, Items!$A:$E, 5, FALSE), 0)</f>
        <v>0</v>
      </c>
    </row>
    <row r="607" spans="7:8">
      <c r="G607">
        <f>IF($D607="", "", IF($D607="Receipt", $C607*VLOOKUP($B607, Items!$A:$E, 5, FALSE), IF($D607="Consumption", -$C607*VLOOKUP($B607, Items!$A:$E, 5, FALSE), "")))</f>
        <v>0</v>
      </c>
      <c r="H607">
        <f>IF($D607="Consumption", -$C607*VLOOKUP($B607, Items!$A:$E, 5, FALSE), 0)</f>
        <v>0</v>
      </c>
    </row>
    <row r="608" spans="7:8">
      <c r="G608">
        <f>IF($D608="", "", IF($D608="Receipt", $C608*VLOOKUP($B608, Items!$A:$E, 5, FALSE), IF($D608="Consumption", -$C608*VLOOKUP($B608, Items!$A:$E, 5, FALSE), "")))</f>
        <v>0</v>
      </c>
      <c r="H608">
        <f>IF($D608="Consumption", -$C608*VLOOKUP($B608, Items!$A:$E, 5, FALSE), 0)</f>
        <v>0</v>
      </c>
    </row>
    <row r="609" spans="7:8">
      <c r="G609">
        <f>IF($D609="", "", IF($D609="Receipt", $C609*VLOOKUP($B609, Items!$A:$E, 5, FALSE), IF($D609="Consumption", -$C609*VLOOKUP($B609, Items!$A:$E, 5, FALSE), "")))</f>
        <v>0</v>
      </c>
      <c r="H609">
        <f>IF($D609="Consumption", -$C609*VLOOKUP($B609, Items!$A:$E, 5, FALSE), 0)</f>
        <v>0</v>
      </c>
    </row>
    <row r="610" spans="7:8">
      <c r="G610">
        <f>IF($D610="", "", IF($D610="Receipt", $C610*VLOOKUP($B610, Items!$A:$E, 5, FALSE), IF($D610="Consumption", -$C610*VLOOKUP($B610, Items!$A:$E, 5, FALSE), "")))</f>
        <v>0</v>
      </c>
      <c r="H610">
        <f>IF($D610="Consumption", -$C610*VLOOKUP($B610, Items!$A:$E, 5, FALSE), 0)</f>
        <v>0</v>
      </c>
    </row>
    <row r="611" spans="7:8">
      <c r="G611">
        <f>IF($D611="", "", IF($D611="Receipt", $C611*VLOOKUP($B611, Items!$A:$E, 5, FALSE), IF($D611="Consumption", -$C611*VLOOKUP($B611, Items!$A:$E, 5, FALSE), "")))</f>
        <v>0</v>
      </c>
      <c r="H611">
        <f>IF($D611="Consumption", -$C611*VLOOKUP($B611, Items!$A:$E, 5, FALSE), 0)</f>
        <v>0</v>
      </c>
    </row>
    <row r="612" spans="7:8">
      <c r="G612">
        <f>IF($D612="", "", IF($D612="Receipt", $C612*VLOOKUP($B612, Items!$A:$E, 5, FALSE), IF($D612="Consumption", -$C612*VLOOKUP($B612, Items!$A:$E, 5, FALSE), "")))</f>
        <v>0</v>
      </c>
      <c r="H612">
        <f>IF($D612="Consumption", -$C612*VLOOKUP($B612, Items!$A:$E, 5, FALSE), 0)</f>
        <v>0</v>
      </c>
    </row>
    <row r="613" spans="7:8">
      <c r="G613">
        <f>IF($D613="", "", IF($D613="Receipt", $C613*VLOOKUP($B613, Items!$A:$E, 5, FALSE), IF($D613="Consumption", -$C613*VLOOKUP($B613, Items!$A:$E, 5, FALSE), "")))</f>
        <v>0</v>
      </c>
      <c r="H613">
        <f>IF($D613="Consumption", -$C613*VLOOKUP($B613, Items!$A:$E, 5, FALSE), 0)</f>
        <v>0</v>
      </c>
    </row>
    <row r="614" spans="7:8">
      <c r="G614">
        <f>IF($D614="", "", IF($D614="Receipt", $C614*VLOOKUP($B614, Items!$A:$E, 5, FALSE), IF($D614="Consumption", -$C614*VLOOKUP($B614, Items!$A:$E, 5, FALSE), "")))</f>
        <v>0</v>
      </c>
      <c r="H614">
        <f>IF($D614="Consumption", -$C614*VLOOKUP($B614, Items!$A:$E, 5, FALSE), 0)</f>
        <v>0</v>
      </c>
    </row>
    <row r="615" spans="7:8">
      <c r="G615">
        <f>IF($D615="", "", IF($D615="Receipt", $C615*VLOOKUP($B615, Items!$A:$E, 5, FALSE), IF($D615="Consumption", -$C615*VLOOKUP($B615, Items!$A:$E, 5, FALSE), "")))</f>
        <v>0</v>
      </c>
      <c r="H615">
        <f>IF($D615="Consumption", -$C615*VLOOKUP($B615, Items!$A:$E, 5, FALSE), 0)</f>
        <v>0</v>
      </c>
    </row>
    <row r="616" spans="7:8">
      <c r="G616">
        <f>IF($D616="", "", IF($D616="Receipt", $C616*VLOOKUP($B616, Items!$A:$E, 5, FALSE), IF($D616="Consumption", -$C616*VLOOKUP($B616, Items!$A:$E, 5, FALSE), "")))</f>
        <v>0</v>
      </c>
      <c r="H616">
        <f>IF($D616="Consumption", -$C616*VLOOKUP($B616, Items!$A:$E, 5, FALSE), 0)</f>
        <v>0</v>
      </c>
    </row>
    <row r="617" spans="7:8">
      <c r="G617">
        <f>IF($D617="", "", IF($D617="Receipt", $C617*VLOOKUP($B617, Items!$A:$E, 5, FALSE), IF($D617="Consumption", -$C617*VLOOKUP($B617, Items!$A:$E, 5, FALSE), "")))</f>
        <v>0</v>
      </c>
      <c r="H617">
        <f>IF($D617="Consumption", -$C617*VLOOKUP($B617, Items!$A:$E, 5, FALSE), 0)</f>
        <v>0</v>
      </c>
    </row>
    <row r="618" spans="7:8">
      <c r="G618">
        <f>IF($D618="", "", IF($D618="Receipt", $C618*VLOOKUP($B618, Items!$A:$E, 5, FALSE), IF($D618="Consumption", -$C618*VLOOKUP($B618, Items!$A:$E, 5, FALSE), "")))</f>
        <v>0</v>
      </c>
      <c r="H618">
        <f>IF($D618="Consumption", -$C618*VLOOKUP($B618, Items!$A:$E, 5, FALSE), 0)</f>
        <v>0</v>
      </c>
    </row>
    <row r="619" spans="7:8">
      <c r="G619">
        <f>IF($D619="", "", IF($D619="Receipt", $C619*VLOOKUP($B619, Items!$A:$E, 5, FALSE), IF($D619="Consumption", -$C619*VLOOKUP($B619, Items!$A:$E, 5, FALSE), "")))</f>
        <v>0</v>
      </c>
      <c r="H619">
        <f>IF($D619="Consumption", -$C619*VLOOKUP($B619, Items!$A:$E, 5, FALSE), 0)</f>
        <v>0</v>
      </c>
    </row>
    <row r="620" spans="7:8">
      <c r="G620">
        <f>IF($D620="", "", IF($D620="Receipt", $C620*VLOOKUP($B620, Items!$A:$E, 5, FALSE), IF($D620="Consumption", -$C620*VLOOKUP($B620, Items!$A:$E, 5, FALSE), "")))</f>
        <v>0</v>
      </c>
      <c r="H620">
        <f>IF($D620="Consumption", -$C620*VLOOKUP($B620, Items!$A:$E, 5, FALSE), 0)</f>
        <v>0</v>
      </c>
    </row>
    <row r="621" spans="7:8">
      <c r="G621">
        <f>IF($D621="", "", IF($D621="Receipt", $C621*VLOOKUP($B621, Items!$A:$E, 5, FALSE), IF($D621="Consumption", -$C621*VLOOKUP($B621, Items!$A:$E, 5, FALSE), "")))</f>
        <v>0</v>
      </c>
      <c r="H621">
        <f>IF($D621="Consumption", -$C621*VLOOKUP($B621, Items!$A:$E, 5, FALSE), 0)</f>
        <v>0</v>
      </c>
    </row>
    <row r="622" spans="7:8">
      <c r="G622">
        <f>IF($D622="", "", IF($D622="Receipt", $C622*VLOOKUP($B622, Items!$A:$E, 5, FALSE), IF($D622="Consumption", -$C622*VLOOKUP($B622, Items!$A:$E, 5, FALSE), "")))</f>
        <v>0</v>
      </c>
      <c r="H622">
        <f>IF($D622="Consumption", -$C622*VLOOKUP($B622, Items!$A:$E, 5, FALSE), 0)</f>
        <v>0</v>
      </c>
    </row>
    <row r="623" spans="7:8">
      <c r="G623">
        <f>IF($D623="", "", IF($D623="Receipt", $C623*VLOOKUP($B623, Items!$A:$E, 5, FALSE), IF($D623="Consumption", -$C623*VLOOKUP($B623, Items!$A:$E, 5, FALSE), "")))</f>
        <v>0</v>
      </c>
      <c r="H623">
        <f>IF($D623="Consumption", -$C623*VLOOKUP($B623, Items!$A:$E, 5, FALSE), 0)</f>
        <v>0</v>
      </c>
    </row>
    <row r="624" spans="7:8">
      <c r="G624">
        <f>IF($D624="", "", IF($D624="Receipt", $C624*VLOOKUP($B624, Items!$A:$E, 5, FALSE), IF($D624="Consumption", -$C624*VLOOKUP($B624, Items!$A:$E, 5, FALSE), "")))</f>
        <v>0</v>
      </c>
      <c r="H624">
        <f>IF($D624="Consumption", -$C624*VLOOKUP($B624, Items!$A:$E, 5, FALSE), 0)</f>
        <v>0</v>
      </c>
    </row>
    <row r="625" spans="7:8">
      <c r="G625">
        <f>IF($D625="", "", IF($D625="Receipt", $C625*VLOOKUP($B625, Items!$A:$E, 5, FALSE), IF($D625="Consumption", -$C625*VLOOKUP($B625, Items!$A:$E, 5, FALSE), "")))</f>
        <v>0</v>
      </c>
      <c r="H625">
        <f>IF($D625="Consumption", -$C625*VLOOKUP($B625, Items!$A:$E, 5, FALSE), 0)</f>
        <v>0</v>
      </c>
    </row>
    <row r="626" spans="7:8">
      <c r="G626">
        <f>IF($D626="", "", IF($D626="Receipt", $C626*VLOOKUP($B626, Items!$A:$E, 5, FALSE), IF($D626="Consumption", -$C626*VLOOKUP($B626, Items!$A:$E, 5, FALSE), "")))</f>
        <v>0</v>
      </c>
      <c r="H626">
        <f>IF($D626="Consumption", -$C626*VLOOKUP($B626, Items!$A:$E, 5, FALSE), 0)</f>
        <v>0</v>
      </c>
    </row>
    <row r="627" spans="7:8">
      <c r="G627">
        <f>IF($D627="", "", IF($D627="Receipt", $C627*VLOOKUP($B627, Items!$A:$E, 5, FALSE), IF($D627="Consumption", -$C627*VLOOKUP($B627, Items!$A:$E, 5, FALSE), "")))</f>
        <v>0</v>
      </c>
      <c r="H627">
        <f>IF($D627="Consumption", -$C627*VLOOKUP($B627, Items!$A:$E, 5, FALSE), 0)</f>
        <v>0</v>
      </c>
    </row>
    <row r="628" spans="7:8">
      <c r="G628">
        <f>IF($D628="", "", IF($D628="Receipt", $C628*VLOOKUP($B628, Items!$A:$E, 5, FALSE), IF($D628="Consumption", -$C628*VLOOKUP($B628, Items!$A:$E, 5, FALSE), "")))</f>
        <v>0</v>
      </c>
      <c r="H628">
        <f>IF($D628="Consumption", -$C628*VLOOKUP($B628, Items!$A:$E, 5, FALSE), 0)</f>
        <v>0</v>
      </c>
    </row>
    <row r="629" spans="7:8">
      <c r="G629">
        <f>IF($D629="", "", IF($D629="Receipt", $C629*VLOOKUP($B629, Items!$A:$E, 5, FALSE), IF($D629="Consumption", -$C629*VLOOKUP($B629, Items!$A:$E, 5, FALSE), "")))</f>
        <v>0</v>
      </c>
      <c r="H629">
        <f>IF($D629="Consumption", -$C629*VLOOKUP($B629, Items!$A:$E, 5, FALSE), 0)</f>
        <v>0</v>
      </c>
    </row>
    <row r="630" spans="7:8">
      <c r="G630">
        <f>IF($D630="", "", IF($D630="Receipt", $C630*VLOOKUP($B630, Items!$A:$E, 5, FALSE), IF($D630="Consumption", -$C630*VLOOKUP($B630, Items!$A:$E, 5, FALSE), "")))</f>
        <v>0</v>
      </c>
      <c r="H630">
        <f>IF($D630="Consumption", -$C630*VLOOKUP($B630, Items!$A:$E, 5, FALSE), 0)</f>
        <v>0</v>
      </c>
    </row>
    <row r="631" spans="7:8">
      <c r="G631">
        <f>IF($D631="", "", IF($D631="Receipt", $C631*VLOOKUP($B631, Items!$A:$E, 5, FALSE), IF($D631="Consumption", -$C631*VLOOKUP($B631, Items!$A:$E, 5, FALSE), "")))</f>
        <v>0</v>
      </c>
      <c r="H631">
        <f>IF($D631="Consumption", -$C631*VLOOKUP($B631, Items!$A:$E, 5, FALSE), 0)</f>
        <v>0</v>
      </c>
    </row>
    <row r="632" spans="7:8">
      <c r="G632">
        <f>IF($D632="", "", IF($D632="Receipt", $C632*VLOOKUP($B632, Items!$A:$E, 5, FALSE), IF($D632="Consumption", -$C632*VLOOKUP($B632, Items!$A:$E, 5, FALSE), "")))</f>
        <v>0</v>
      </c>
      <c r="H632">
        <f>IF($D632="Consumption", -$C632*VLOOKUP($B632, Items!$A:$E, 5, FALSE), 0)</f>
        <v>0</v>
      </c>
    </row>
    <row r="633" spans="7:8">
      <c r="G633">
        <f>IF($D633="", "", IF($D633="Receipt", $C633*VLOOKUP($B633, Items!$A:$E, 5, FALSE), IF($D633="Consumption", -$C633*VLOOKUP($B633, Items!$A:$E, 5, FALSE), "")))</f>
        <v>0</v>
      </c>
      <c r="H633">
        <f>IF($D633="Consumption", -$C633*VLOOKUP($B633, Items!$A:$E, 5, FALSE), 0)</f>
        <v>0</v>
      </c>
    </row>
    <row r="634" spans="7:8">
      <c r="G634">
        <f>IF($D634="", "", IF($D634="Receipt", $C634*VLOOKUP($B634, Items!$A:$E, 5, FALSE), IF($D634="Consumption", -$C634*VLOOKUP($B634, Items!$A:$E, 5, FALSE), "")))</f>
        <v>0</v>
      </c>
      <c r="H634">
        <f>IF($D634="Consumption", -$C634*VLOOKUP($B634, Items!$A:$E, 5, FALSE), 0)</f>
        <v>0</v>
      </c>
    </row>
    <row r="635" spans="7:8">
      <c r="G635">
        <f>IF($D635="", "", IF($D635="Receipt", $C635*VLOOKUP($B635, Items!$A:$E, 5, FALSE), IF($D635="Consumption", -$C635*VLOOKUP($B635, Items!$A:$E, 5, FALSE), "")))</f>
        <v>0</v>
      </c>
      <c r="H635">
        <f>IF($D635="Consumption", -$C635*VLOOKUP($B635, Items!$A:$E, 5, FALSE), 0)</f>
        <v>0</v>
      </c>
    </row>
    <row r="636" spans="7:8">
      <c r="G636">
        <f>IF($D636="", "", IF($D636="Receipt", $C636*VLOOKUP($B636, Items!$A:$E, 5, FALSE), IF($D636="Consumption", -$C636*VLOOKUP($B636, Items!$A:$E, 5, FALSE), "")))</f>
        <v>0</v>
      </c>
      <c r="H636">
        <f>IF($D636="Consumption", -$C636*VLOOKUP($B636, Items!$A:$E, 5, FALSE), 0)</f>
        <v>0</v>
      </c>
    </row>
    <row r="637" spans="7:8">
      <c r="G637">
        <f>IF($D637="", "", IF($D637="Receipt", $C637*VLOOKUP($B637, Items!$A:$E, 5, FALSE), IF($D637="Consumption", -$C637*VLOOKUP($B637, Items!$A:$E, 5, FALSE), "")))</f>
        <v>0</v>
      </c>
      <c r="H637">
        <f>IF($D637="Consumption", -$C637*VLOOKUP($B637, Items!$A:$E, 5, FALSE), 0)</f>
        <v>0</v>
      </c>
    </row>
    <row r="638" spans="7:8">
      <c r="G638">
        <f>IF($D638="", "", IF($D638="Receipt", $C638*VLOOKUP($B638, Items!$A:$E, 5, FALSE), IF($D638="Consumption", -$C638*VLOOKUP($B638, Items!$A:$E, 5, FALSE), "")))</f>
        <v>0</v>
      </c>
      <c r="H638">
        <f>IF($D638="Consumption", -$C638*VLOOKUP($B638, Items!$A:$E, 5, FALSE), 0)</f>
        <v>0</v>
      </c>
    </row>
    <row r="639" spans="7:8">
      <c r="G639">
        <f>IF($D639="", "", IF($D639="Receipt", $C639*VLOOKUP($B639, Items!$A:$E, 5, FALSE), IF($D639="Consumption", -$C639*VLOOKUP($B639, Items!$A:$E, 5, FALSE), "")))</f>
        <v>0</v>
      </c>
      <c r="H639">
        <f>IF($D639="Consumption", -$C639*VLOOKUP($B639, Items!$A:$E, 5, FALSE), 0)</f>
        <v>0</v>
      </c>
    </row>
    <row r="640" spans="7:8">
      <c r="G640">
        <f>IF($D640="", "", IF($D640="Receipt", $C640*VLOOKUP($B640, Items!$A:$E, 5, FALSE), IF($D640="Consumption", -$C640*VLOOKUP($B640, Items!$A:$E, 5, FALSE), "")))</f>
        <v>0</v>
      </c>
      <c r="H640">
        <f>IF($D640="Consumption", -$C640*VLOOKUP($B640, Items!$A:$E, 5, FALSE), 0)</f>
        <v>0</v>
      </c>
    </row>
    <row r="641" spans="7:8">
      <c r="G641">
        <f>IF($D641="", "", IF($D641="Receipt", $C641*VLOOKUP($B641, Items!$A:$E, 5, FALSE), IF($D641="Consumption", -$C641*VLOOKUP($B641, Items!$A:$E, 5, FALSE), "")))</f>
        <v>0</v>
      </c>
      <c r="H641">
        <f>IF($D641="Consumption", -$C641*VLOOKUP($B641, Items!$A:$E, 5, FALSE), 0)</f>
        <v>0</v>
      </c>
    </row>
    <row r="642" spans="7:8">
      <c r="G642">
        <f>IF($D642="", "", IF($D642="Receipt", $C642*VLOOKUP($B642, Items!$A:$E, 5, FALSE), IF($D642="Consumption", -$C642*VLOOKUP($B642, Items!$A:$E, 5, FALSE), "")))</f>
        <v>0</v>
      </c>
      <c r="H642">
        <f>IF($D642="Consumption", -$C642*VLOOKUP($B642, Items!$A:$E, 5, FALSE), 0)</f>
        <v>0</v>
      </c>
    </row>
    <row r="643" spans="7:8">
      <c r="G643">
        <f>IF($D643="", "", IF($D643="Receipt", $C643*VLOOKUP($B643, Items!$A:$E, 5, FALSE), IF($D643="Consumption", -$C643*VLOOKUP($B643, Items!$A:$E, 5, FALSE), "")))</f>
        <v>0</v>
      </c>
      <c r="H643">
        <f>IF($D643="Consumption", -$C643*VLOOKUP($B643, Items!$A:$E, 5, FALSE), 0)</f>
        <v>0</v>
      </c>
    </row>
    <row r="644" spans="7:8">
      <c r="G644">
        <f>IF($D644="", "", IF($D644="Receipt", $C644*VLOOKUP($B644, Items!$A:$E, 5, FALSE), IF($D644="Consumption", -$C644*VLOOKUP($B644, Items!$A:$E, 5, FALSE), "")))</f>
        <v>0</v>
      </c>
      <c r="H644">
        <f>IF($D644="Consumption", -$C644*VLOOKUP($B644, Items!$A:$E, 5, FALSE), 0)</f>
        <v>0</v>
      </c>
    </row>
    <row r="645" spans="7:8">
      <c r="G645">
        <f>IF($D645="", "", IF($D645="Receipt", $C645*VLOOKUP($B645, Items!$A:$E, 5, FALSE), IF($D645="Consumption", -$C645*VLOOKUP($B645, Items!$A:$E, 5, FALSE), "")))</f>
        <v>0</v>
      </c>
      <c r="H645">
        <f>IF($D645="Consumption", -$C645*VLOOKUP($B645, Items!$A:$E, 5, FALSE), 0)</f>
        <v>0</v>
      </c>
    </row>
    <row r="646" spans="7:8">
      <c r="G646">
        <f>IF($D646="", "", IF($D646="Receipt", $C646*VLOOKUP($B646, Items!$A:$E, 5, FALSE), IF($D646="Consumption", -$C646*VLOOKUP($B646, Items!$A:$E, 5, FALSE), "")))</f>
        <v>0</v>
      </c>
      <c r="H646">
        <f>IF($D646="Consumption", -$C646*VLOOKUP($B646, Items!$A:$E, 5, FALSE), 0)</f>
        <v>0</v>
      </c>
    </row>
    <row r="647" spans="7:8">
      <c r="G647">
        <f>IF($D647="", "", IF($D647="Receipt", $C647*VLOOKUP($B647, Items!$A:$E, 5, FALSE), IF($D647="Consumption", -$C647*VLOOKUP($B647, Items!$A:$E, 5, FALSE), "")))</f>
        <v>0</v>
      </c>
      <c r="H647">
        <f>IF($D647="Consumption", -$C647*VLOOKUP($B647, Items!$A:$E, 5, FALSE), 0)</f>
        <v>0</v>
      </c>
    </row>
    <row r="648" spans="7:8">
      <c r="G648">
        <f>IF($D648="", "", IF($D648="Receipt", $C648*VLOOKUP($B648, Items!$A:$E, 5, FALSE), IF($D648="Consumption", -$C648*VLOOKUP($B648, Items!$A:$E, 5, FALSE), "")))</f>
        <v>0</v>
      </c>
      <c r="H648">
        <f>IF($D648="Consumption", -$C648*VLOOKUP($B648, Items!$A:$E, 5, FALSE), 0)</f>
        <v>0</v>
      </c>
    </row>
    <row r="649" spans="7:8">
      <c r="G649">
        <f>IF($D649="", "", IF($D649="Receipt", $C649*VLOOKUP($B649, Items!$A:$E, 5, FALSE), IF($D649="Consumption", -$C649*VLOOKUP($B649, Items!$A:$E, 5, FALSE), "")))</f>
        <v>0</v>
      </c>
      <c r="H649">
        <f>IF($D649="Consumption", -$C649*VLOOKUP($B649, Items!$A:$E, 5, FALSE), 0)</f>
        <v>0</v>
      </c>
    </row>
    <row r="650" spans="7:8">
      <c r="G650">
        <f>IF($D650="", "", IF($D650="Receipt", $C650*VLOOKUP($B650, Items!$A:$E, 5, FALSE), IF($D650="Consumption", -$C650*VLOOKUP($B650, Items!$A:$E, 5, FALSE), "")))</f>
        <v>0</v>
      </c>
      <c r="H650">
        <f>IF($D650="Consumption", -$C650*VLOOKUP($B650, Items!$A:$E, 5, FALSE), 0)</f>
        <v>0</v>
      </c>
    </row>
    <row r="651" spans="7:8">
      <c r="G651">
        <f>IF($D651="", "", IF($D651="Receipt", $C651*VLOOKUP($B651, Items!$A:$E, 5, FALSE), IF($D651="Consumption", -$C651*VLOOKUP($B651, Items!$A:$E, 5, FALSE), "")))</f>
        <v>0</v>
      </c>
      <c r="H651">
        <f>IF($D651="Consumption", -$C651*VLOOKUP($B651, Items!$A:$E, 5, FALSE), 0)</f>
        <v>0</v>
      </c>
    </row>
    <row r="652" spans="7:8">
      <c r="G652">
        <f>IF($D652="", "", IF($D652="Receipt", $C652*VLOOKUP($B652, Items!$A:$E, 5, FALSE), IF($D652="Consumption", -$C652*VLOOKUP($B652, Items!$A:$E, 5, FALSE), "")))</f>
        <v>0</v>
      </c>
      <c r="H652">
        <f>IF($D652="Consumption", -$C652*VLOOKUP($B652, Items!$A:$E, 5, FALSE), 0)</f>
        <v>0</v>
      </c>
    </row>
    <row r="653" spans="7:8">
      <c r="G653">
        <f>IF($D653="", "", IF($D653="Receipt", $C653*VLOOKUP($B653, Items!$A:$E, 5, FALSE), IF($D653="Consumption", -$C653*VLOOKUP($B653, Items!$A:$E, 5, FALSE), "")))</f>
        <v>0</v>
      </c>
      <c r="H653">
        <f>IF($D653="Consumption", -$C653*VLOOKUP($B653, Items!$A:$E, 5, FALSE), 0)</f>
        <v>0</v>
      </c>
    </row>
    <row r="654" spans="7:8">
      <c r="G654">
        <f>IF($D654="", "", IF($D654="Receipt", $C654*VLOOKUP($B654, Items!$A:$E, 5, FALSE), IF($D654="Consumption", -$C654*VLOOKUP($B654, Items!$A:$E, 5, FALSE), "")))</f>
        <v>0</v>
      </c>
      <c r="H654">
        <f>IF($D654="Consumption", -$C654*VLOOKUP($B654, Items!$A:$E, 5, FALSE), 0)</f>
        <v>0</v>
      </c>
    </row>
    <row r="655" spans="7:8">
      <c r="G655">
        <f>IF($D655="", "", IF($D655="Receipt", $C655*VLOOKUP($B655, Items!$A:$E, 5, FALSE), IF($D655="Consumption", -$C655*VLOOKUP($B655, Items!$A:$E, 5, FALSE), "")))</f>
        <v>0</v>
      </c>
      <c r="H655">
        <f>IF($D655="Consumption", -$C655*VLOOKUP($B655, Items!$A:$E, 5, FALSE), 0)</f>
        <v>0</v>
      </c>
    </row>
    <row r="656" spans="7:8">
      <c r="G656">
        <f>IF($D656="", "", IF($D656="Receipt", $C656*VLOOKUP($B656, Items!$A:$E, 5, FALSE), IF($D656="Consumption", -$C656*VLOOKUP($B656, Items!$A:$E, 5, FALSE), "")))</f>
        <v>0</v>
      </c>
      <c r="H656">
        <f>IF($D656="Consumption", -$C656*VLOOKUP($B656, Items!$A:$E, 5, FALSE), 0)</f>
        <v>0</v>
      </c>
    </row>
    <row r="657" spans="7:8">
      <c r="G657">
        <f>IF($D657="", "", IF($D657="Receipt", $C657*VLOOKUP($B657, Items!$A:$E, 5, FALSE), IF($D657="Consumption", -$C657*VLOOKUP($B657, Items!$A:$E, 5, FALSE), "")))</f>
        <v>0</v>
      </c>
      <c r="H657">
        <f>IF($D657="Consumption", -$C657*VLOOKUP($B657, Items!$A:$E, 5, FALSE), 0)</f>
        <v>0</v>
      </c>
    </row>
    <row r="658" spans="7:8">
      <c r="G658">
        <f>IF($D658="", "", IF($D658="Receipt", $C658*VLOOKUP($B658, Items!$A:$E, 5, FALSE), IF($D658="Consumption", -$C658*VLOOKUP($B658, Items!$A:$E, 5, FALSE), "")))</f>
        <v>0</v>
      </c>
      <c r="H658">
        <f>IF($D658="Consumption", -$C658*VLOOKUP($B658, Items!$A:$E, 5, FALSE), 0)</f>
        <v>0</v>
      </c>
    </row>
    <row r="659" spans="7:8">
      <c r="G659">
        <f>IF($D659="", "", IF($D659="Receipt", $C659*VLOOKUP($B659, Items!$A:$E, 5, FALSE), IF($D659="Consumption", -$C659*VLOOKUP($B659, Items!$A:$E, 5, FALSE), "")))</f>
        <v>0</v>
      </c>
      <c r="H659">
        <f>IF($D659="Consumption", -$C659*VLOOKUP($B659, Items!$A:$E, 5, FALSE), 0)</f>
        <v>0</v>
      </c>
    </row>
    <row r="660" spans="7:8">
      <c r="G660">
        <f>IF($D660="", "", IF($D660="Receipt", $C660*VLOOKUP($B660, Items!$A:$E, 5, FALSE), IF($D660="Consumption", -$C660*VLOOKUP($B660, Items!$A:$E, 5, FALSE), "")))</f>
        <v>0</v>
      </c>
      <c r="H660">
        <f>IF($D660="Consumption", -$C660*VLOOKUP($B660, Items!$A:$E, 5, FALSE), 0)</f>
        <v>0</v>
      </c>
    </row>
    <row r="661" spans="7:8">
      <c r="G661">
        <f>IF($D661="", "", IF($D661="Receipt", $C661*VLOOKUP($B661, Items!$A:$E, 5, FALSE), IF($D661="Consumption", -$C661*VLOOKUP($B661, Items!$A:$E, 5, FALSE), "")))</f>
        <v>0</v>
      </c>
      <c r="H661">
        <f>IF($D661="Consumption", -$C661*VLOOKUP($B661, Items!$A:$E, 5, FALSE), 0)</f>
        <v>0</v>
      </c>
    </row>
    <row r="662" spans="7:8">
      <c r="G662">
        <f>IF($D662="", "", IF($D662="Receipt", $C662*VLOOKUP($B662, Items!$A:$E, 5, FALSE), IF($D662="Consumption", -$C662*VLOOKUP($B662, Items!$A:$E, 5, FALSE), "")))</f>
        <v>0</v>
      </c>
      <c r="H662">
        <f>IF($D662="Consumption", -$C662*VLOOKUP($B662, Items!$A:$E, 5, FALSE), 0)</f>
        <v>0</v>
      </c>
    </row>
    <row r="663" spans="7:8">
      <c r="G663">
        <f>IF($D663="", "", IF($D663="Receipt", $C663*VLOOKUP($B663, Items!$A:$E, 5, FALSE), IF($D663="Consumption", -$C663*VLOOKUP($B663, Items!$A:$E, 5, FALSE), "")))</f>
        <v>0</v>
      </c>
      <c r="H663">
        <f>IF($D663="Consumption", -$C663*VLOOKUP($B663, Items!$A:$E, 5, FALSE), 0)</f>
        <v>0</v>
      </c>
    </row>
    <row r="664" spans="7:8">
      <c r="G664">
        <f>IF($D664="", "", IF($D664="Receipt", $C664*VLOOKUP($B664, Items!$A:$E, 5, FALSE), IF($D664="Consumption", -$C664*VLOOKUP($B664, Items!$A:$E, 5, FALSE), "")))</f>
        <v>0</v>
      </c>
      <c r="H664">
        <f>IF($D664="Consumption", -$C664*VLOOKUP($B664, Items!$A:$E, 5, FALSE), 0)</f>
        <v>0</v>
      </c>
    </row>
    <row r="665" spans="7:8">
      <c r="G665">
        <f>IF($D665="", "", IF($D665="Receipt", $C665*VLOOKUP($B665, Items!$A:$E, 5, FALSE), IF($D665="Consumption", -$C665*VLOOKUP($B665, Items!$A:$E, 5, FALSE), "")))</f>
        <v>0</v>
      </c>
      <c r="H665">
        <f>IF($D665="Consumption", -$C665*VLOOKUP($B665, Items!$A:$E, 5, FALSE), 0)</f>
        <v>0</v>
      </c>
    </row>
    <row r="666" spans="7:8">
      <c r="G666">
        <f>IF($D666="", "", IF($D666="Receipt", $C666*VLOOKUP($B666, Items!$A:$E, 5, FALSE), IF($D666="Consumption", -$C666*VLOOKUP($B666, Items!$A:$E, 5, FALSE), "")))</f>
        <v>0</v>
      </c>
      <c r="H666">
        <f>IF($D666="Consumption", -$C666*VLOOKUP($B666, Items!$A:$E, 5, FALSE), 0)</f>
        <v>0</v>
      </c>
    </row>
    <row r="667" spans="7:8">
      <c r="G667">
        <f>IF($D667="", "", IF($D667="Receipt", $C667*VLOOKUP($B667, Items!$A:$E, 5, FALSE), IF($D667="Consumption", -$C667*VLOOKUP($B667, Items!$A:$E, 5, FALSE), "")))</f>
        <v>0</v>
      </c>
      <c r="H667">
        <f>IF($D667="Consumption", -$C667*VLOOKUP($B667, Items!$A:$E, 5, FALSE), 0)</f>
        <v>0</v>
      </c>
    </row>
    <row r="668" spans="7:8">
      <c r="G668">
        <f>IF($D668="", "", IF($D668="Receipt", $C668*VLOOKUP($B668, Items!$A:$E, 5, FALSE), IF($D668="Consumption", -$C668*VLOOKUP($B668, Items!$A:$E, 5, FALSE), "")))</f>
        <v>0</v>
      </c>
      <c r="H668">
        <f>IF($D668="Consumption", -$C668*VLOOKUP($B668, Items!$A:$E, 5, FALSE), 0)</f>
        <v>0</v>
      </c>
    </row>
    <row r="669" spans="7:8">
      <c r="G669">
        <f>IF($D669="", "", IF($D669="Receipt", $C669*VLOOKUP($B669, Items!$A:$E, 5, FALSE), IF($D669="Consumption", -$C669*VLOOKUP($B669, Items!$A:$E, 5, FALSE), "")))</f>
        <v>0</v>
      </c>
      <c r="H669">
        <f>IF($D669="Consumption", -$C669*VLOOKUP($B669, Items!$A:$E, 5, FALSE), 0)</f>
        <v>0</v>
      </c>
    </row>
    <row r="670" spans="7:8">
      <c r="G670">
        <f>IF($D670="", "", IF($D670="Receipt", $C670*VLOOKUP($B670, Items!$A:$E, 5, FALSE), IF($D670="Consumption", -$C670*VLOOKUP($B670, Items!$A:$E, 5, FALSE), "")))</f>
        <v>0</v>
      </c>
      <c r="H670">
        <f>IF($D670="Consumption", -$C670*VLOOKUP($B670, Items!$A:$E, 5, FALSE), 0)</f>
        <v>0</v>
      </c>
    </row>
    <row r="671" spans="7:8">
      <c r="G671">
        <f>IF($D671="", "", IF($D671="Receipt", $C671*VLOOKUP($B671, Items!$A:$E, 5, FALSE), IF($D671="Consumption", -$C671*VLOOKUP($B671, Items!$A:$E, 5, FALSE), "")))</f>
        <v>0</v>
      </c>
      <c r="H671">
        <f>IF($D671="Consumption", -$C671*VLOOKUP($B671, Items!$A:$E, 5, FALSE), 0)</f>
        <v>0</v>
      </c>
    </row>
    <row r="672" spans="7:8">
      <c r="G672">
        <f>IF($D672="", "", IF($D672="Receipt", $C672*VLOOKUP($B672, Items!$A:$E, 5, FALSE), IF($D672="Consumption", -$C672*VLOOKUP($B672, Items!$A:$E, 5, FALSE), "")))</f>
        <v>0</v>
      </c>
      <c r="H672">
        <f>IF($D672="Consumption", -$C672*VLOOKUP($B672, Items!$A:$E, 5, FALSE), 0)</f>
        <v>0</v>
      </c>
    </row>
    <row r="673" spans="7:8">
      <c r="G673">
        <f>IF($D673="", "", IF($D673="Receipt", $C673*VLOOKUP($B673, Items!$A:$E, 5, FALSE), IF($D673="Consumption", -$C673*VLOOKUP($B673, Items!$A:$E, 5, FALSE), "")))</f>
        <v>0</v>
      </c>
      <c r="H673">
        <f>IF($D673="Consumption", -$C673*VLOOKUP($B673, Items!$A:$E, 5, FALSE), 0)</f>
        <v>0</v>
      </c>
    </row>
    <row r="674" spans="7:8">
      <c r="G674">
        <f>IF($D674="", "", IF($D674="Receipt", $C674*VLOOKUP($B674, Items!$A:$E, 5, FALSE), IF($D674="Consumption", -$C674*VLOOKUP($B674, Items!$A:$E, 5, FALSE), "")))</f>
        <v>0</v>
      </c>
      <c r="H674">
        <f>IF($D674="Consumption", -$C674*VLOOKUP($B674, Items!$A:$E, 5, FALSE), 0)</f>
        <v>0</v>
      </c>
    </row>
    <row r="675" spans="7:8">
      <c r="G675">
        <f>IF($D675="", "", IF($D675="Receipt", $C675*VLOOKUP($B675, Items!$A:$E, 5, FALSE), IF($D675="Consumption", -$C675*VLOOKUP($B675, Items!$A:$E, 5, FALSE), "")))</f>
        <v>0</v>
      </c>
      <c r="H675">
        <f>IF($D675="Consumption", -$C675*VLOOKUP($B675, Items!$A:$E, 5, FALSE), 0)</f>
        <v>0</v>
      </c>
    </row>
    <row r="676" spans="7:8">
      <c r="G676">
        <f>IF($D676="", "", IF($D676="Receipt", $C676*VLOOKUP($B676, Items!$A:$E, 5, FALSE), IF($D676="Consumption", -$C676*VLOOKUP($B676, Items!$A:$E, 5, FALSE), "")))</f>
        <v>0</v>
      </c>
      <c r="H676">
        <f>IF($D676="Consumption", -$C676*VLOOKUP($B676, Items!$A:$E, 5, FALSE), 0)</f>
        <v>0</v>
      </c>
    </row>
    <row r="677" spans="7:8">
      <c r="G677">
        <f>IF($D677="", "", IF($D677="Receipt", $C677*VLOOKUP($B677, Items!$A:$E, 5, FALSE), IF($D677="Consumption", -$C677*VLOOKUP($B677, Items!$A:$E, 5, FALSE), "")))</f>
        <v>0</v>
      </c>
      <c r="H677">
        <f>IF($D677="Consumption", -$C677*VLOOKUP($B677, Items!$A:$E, 5, FALSE), 0)</f>
        <v>0</v>
      </c>
    </row>
    <row r="678" spans="7:8">
      <c r="G678">
        <f>IF($D678="", "", IF($D678="Receipt", $C678*VLOOKUP($B678, Items!$A:$E, 5, FALSE), IF($D678="Consumption", -$C678*VLOOKUP($B678, Items!$A:$E, 5, FALSE), "")))</f>
        <v>0</v>
      </c>
      <c r="H678">
        <f>IF($D678="Consumption", -$C678*VLOOKUP($B678, Items!$A:$E, 5, FALSE), 0)</f>
        <v>0</v>
      </c>
    </row>
    <row r="679" spans="7:8">
      <c r="G679">
        <f>IF($D679="", "", IF($D679="Receipt", $C679*VLOOKUP($B679, Items!$A:$E, 5, FALSE), IF($D679="Consumption", -$C679*VLOOKUP($B679, Items!$A:$E, 5, FALSE), "")))</f>
        <v>0</v>
      </c>
      <c r="H679">
        <f>IF($D679="Consumption", -$C679*VLOOKUP($B679, Items!$A:$E, 5, FALSE), 0)</f>
        <v>0</v>
      </c>
    </row>
    <row r="680" spans="7:8">
      <c r="G680">
        <f>IF($D680="", "", IF($D680="Receipt", $C680*VLOOKUP($B680, Items!$A:$E, 5, FALSE), IF($D680="Consumption", -$C680*VLOOKUP($B680, Items!$A:$E, 5, FALSE), "")))</f>
        <v>0</v>
      </c>
      <c r="H680">
        <f>IF($D680="Consumption", -$C680*VLOOKUP($B680, Items!$A:$E, 5, FALSE), 0)</f>
        <v>0</v>
      </c>
    </row>
    <row r="681" spans="7:8">
      <c r="G681">
        <f>IF($D681="", "", IF($D681="Receipt", $C681*VLOOKUP($B681, Items!$A:$E, 5, FALSE), IF($D681="Consumption", -$C681*VLOOKUP($B681, Items!$A:$E, 5, FALSE), "")))</f>
        <v>0</v>
      </c>
      <c r="H681">
        <f>IF($D681="Consumption", -$C681*VLOOKUP($B681, Items!$A:$E, 5, FALSE), 0)</f>
        <v>0</v>
      </c>
    </row>
    <row r="682" spans="7:8">
      <c r="G682">
        <f>IF($D682="", "", IF($D682="Receipt", $C682*VLOOKUP($B682, Items!$A:$E, 5, FALSE), IF($D682="Consumption", -$C682*VLOOKUP($B682, Items!$A:$E, 5, FALSE), "")))</f>
        <v>0</v>
      </c>
      <c r="H682">
        <f>IF($D682="Consumption", -$C682*VLOOKUP($B682, Items!$A:$E, 5, FALSE), 0)</f>
        <v>0</v>
      </c>
    </row>
    <row r="683" spans="7:8">
      <c r="G683">
        <f>IF($D683="", "", IF($D683="Receipt", $C683*VLOOKUP($B683, Items!$A:$E, 5, FALSE), IF($D683="Consumption", -$C683*VLOOKUP($B683, Items!$A:$E, 5, FALSE), "")))</f>
        <v>0</v>
      </c>
      <c r="H683">
        <f>IF($D683="Consumption", -$C683*VLOOKUP($B683, Items!$A:$E, 5, FALSE), 0)</f>
        <v>0</v>
      </c>
    </row>
    <row r="684" spans="7:8">
      <c r="G684">
        <f>IF($D684="", "", IF($D684="Receipt", $C684*VLOOKUP($B684, Items!$A:$E, 5, FALSE), IF($D684="Consumption", -$C684*VLOOKUP($B684, Items!$A:$E, 5, FALSE), "")))</f>
        <v>0</v>
      </c>
      <c r="H684">
        <f>IF($D684="Consumption", -$C684*VLOOKUP($B684, Items!$A:$E, 5, FALSE), 0)</f>
        <v>0</v>
      </c>
    </row>
    <row r="685" spans="7:8">
      <c r="G685">
        <f>IF($D685="", "", IF($D685="Receipt", $C685*VLOOKUP($B685, Items!$A:$E, 5, FALSE), IF($D685="Consumption", -$C685*VLOOKUP($B685, Items!$A:$E, 5, FALSE), "")))</f>
        <v>0</v>
      </c>
      <c r="H685">
        <f>IF($D685="Consumption", -$C685*VLOOKUP($B685, Items!$A:$E, 5, FALSE), 0)</f>
        <v>0</v>
      </c>
    </row>
    <row r="686" spans="7:8">
      <c r="G686">
        <f>IF($D686="", "", IF($D686="Receipt", $C686*VLOOKUP($B686, Items!$A:$E, 5, FALSE), IF($D686="Consumption", -$C686*VLOOKUP($B686, Items!$A:$E, 5, FALSE), "")))</f>
        <v>0</v>
      </c>
      <c r="H686">
        <f>IF($D686="Consumption", -$C686*VLOOKUP($B686, Items!$A:$E, 5, FALSE), 0)</f>
        <v>0</v>
      </c>
    </row>
    <row r="687" spans="7:8">
      <c r="G687">
        <f>IF($D687="", "", IF($D687="Receipt", $C687*VLOOKUP($B687, Items!$A:$E, 5, FALSE), IF($D687="Consumption", -$C687*VLOOKUP($B687, Items!$A:$E, 5, FALSE), "")))</f>
        <v>0</v>
      </c>
      <c r="H687">
        <f>IF($D687="Consumption", -$C687*VLOOKUP($B687, Items!$A:$E, 5, FALSE), 0)</f>
        <v>0</v>
      </c>
    </row>
    <row r="688" spans="7:8">
      <c r="G688">
        <f>IF($D688="", "", IF($D688="Receipt", $C688*VLOOKUP($B688, Items!$A:$E, 5, FALSE), IF($D688="Consumption", -$C688*VLOOKUP($B688, Items!$A:$E, 5, FALSE), "")))</f>
        <v>0</v>
      </c>
      <c r="H688">
        <f>IF($D688="Consumption", -$C688*VLOOKUP($B688, Items!$A:$E, 5, FALSE), 0)</f>
        <v>0</v>
      </c>
    </row>
    <row r="689" spans="7:8">
      <c r="G689">
        <f>IF($D689="", "", IF($D689="Receipt", $C689*VLOOKUP($B689, Items!$A:$E, 5, FALSE), IF($D689="Consumption", -$C689*VLOOKUP($B689, Items!$A:$E, 5, FALSE), "")))</f>
        <v>0</v>
      </c>
      <c r="H689">
        <f>IF($D689="Consumption", -$C689*VLOOKUP($B689, Items!$A:$E, 5, FALSE), 0)</f>
        <v>0</v>
      </c>
    </row>
    <row r="690" spans="7:8">
      <c r="G690">
        <f>IF($D690="", "", IF($D690="Receipt", $C690*VLOOKUP($B690, Items!$A:$E, 5, FALSE), IF($D690="Consumption", -$C690*VLOOKUP($B690, Items!$A:$E, 5, FALSE), "")))</f>
        <v>0</v>
      </c>
      <c r="H690">
        <f>IF($D690="Consumption", -$C690*VLOOKUP($B690, Items!$A:$E, 5, FALSE), 0)</f>
        <v>0</v>
      </c>
    </row>
    <row r="691" spans="7:8">
      <c r="G691">
        <f>IF($D691="", "", IF($D691="Receipt", $C691*VLOOKUP($B691, Items!$A:$E, 5, FALSE), IF($D691="Consumption", -$C691*VLOOKUP($B691, Items!$A:$E, 5, FALSE), "")))</f>
        <v>0</v>
      </c>
      <c r="H691">
        <f>IF($D691="Consumption", -$C691*VLOOKUP($B691, Items!$A:$E, 5, FALSE), 0)</f>
        <v>0</v>
      </c>
    </row>
    <row r="692" spans="7:8">
      <c r="G692">
        <f>IF($D692="", "", IF($D692="Receipt", $C692*VLOOKUP($B692, Items!$A:$E, 5, FALSE), IF($D692="Consumption", -$C692*VLOOKUP($B692, Items!$A:$E, 5, FALSE), "")))</f>
        <v>0</v>
      </c>
      <c r="H692">
        <f>IF($D692="Consumption", -$C692*VLOOKUP($B692, Items!$A:$E, 5, FALSE), 0)</f>
        <v>0</v>
      </c>
    </row>
    <row r="693" spans="7:8">
      <c r="G693">
        <f>IF($D693="", "", IF($D693="Receipt", $C693*VLOOKUP($B693, Items!$A:$E, 5, FALSE), IF($D693="Consumption", -$C693*VLOOKUP($B693, Items!$A:$E, 5, FALSE), "")))</f>
        <v>0</v>
      </c>
      <c r="H693">
        <f>IF($D693="Consumption", -$C693*VLOOKUP($B693, Items!$A:$E, 5, FALSE), 0)</f>
        <v>0</v>
      </c>
    </row>
    <row r="694" spans="7:8">
      <c r="G694">
        <f>IF($D694="", "", IF($D694="Receipt", $C694*VLOOKUP($B694, Items!$A:$E, 5, FALSE), IF($D694="Consumption", -$C694*VLOOKUP($B694, Items!$A:$E, 5, FALSE), "")))</f>
        <v>0</v>
      </c>
      <c r="H694">
        <f>IF($D694="Consumption", -$C694*VLOOKUP($B694, Items!$A:$E, 5, FALSE), 0)</f>
        <v>0</v>
      </c>
    </row>
    <row r="695" spans="7:8">
      <c r="G695">
        <f>IF($D695="", "", IF($D695="Receipt", $C695*VLOOKUP($B695, Items!$A:$E, 5, FALSE), IF($D695="Consumption", -$C695*VLOOKUP($B695, Items!$A:$E, 5, FALSE), "")))</f>
        <v>0</v>
      </c>
      <c r="H695">
        <f>IF($D695="Consumption", -$C695*VLOOKUP($B695, Items!$A:$E, 5, FALSE), 0)</f>
        <v>0</v>
      </c>
    </row>
    <row r="696" spans="7:8">
      <c r="G696">
        <f>IF($D696="", "", IF($D696="Receipt", $C696*VLOOKUP($B696, Items!$A:$E, 5, FALSE), IF($D696="Consumption", -$C696*VLOOKUP($B696, Items!$A:$E, 5, FALSE), "")))</f>
        <v>0</v>
      </c>
      <c r="H696">
        <f>IF($D696="Consumption", -$C696*VLOOKUP($B696, Items!$A:$E, 5, FALSE), 0)</f>
        <v>0</v>
      </c>
    </row>
    <row r="697" spans="7:8">
      <c r="G697">
        <f>IF($D697="", "", IF($D697="Receipt", $C697*VLOOKUP($B697, Items!$A:$E, 5, FALSE), IF($D697="Consumption", -$C697*VLOOKUP($B697, Items!$A:$E, 5, FALSE), "")))</f>
        <v>0</v>
      </c>
      <c r="H697">
        <f>IF($D697="Consumption", -$C697*VLOOKUP($B697, Items!$A:$E, 5, FALSE), 0)</f>
        <v>0</v>
      </c>
    </row>
    <row r="698" spans="7:8">
      <c r="G698">
        <f>IF($D698="", "", IF($D698="Receipt", $C698*VLOOKUP($B698, Items!$A:$E, 5, FALSE), IF($D698="Consumption", -$C698*VLOOKUP($B698, Items!$A:$E, 5, FALSE), "")))</f>
        <v>0</v>
      </c>
      <c r="H698">
        <f>IF($D698="Consumption", -$C698*VLOOKUP($B698, Items!$A:$E, 5, FALSE), 0)</f>
        <v>0</v>
      </c>
    </row>
    <row r="699" spans="7:8">
      <c r="G699">
        <f>IF($D699="", "", IF($D699="Receipt", $C699*VLOOKUP($B699, Items!$A:$E, 5, FALSE), IF($D699="Consumption", -$C699*VLOOKUP($B699, Items!$A:$E, 5, FALSE), "")))</f>
        <v>0</v>
      </c>
      <c r="H699">
        <f>IF($D699="Consumption", -$C699*VLOOKUP($B699, Items!$A:$E, 5, FALSE), 0)</f>
        <v>0</v>
      </c>
    </row>
    <row r="700" spans="7:8">
      <c r="G700">
        <f>IF($D700="", "", IF($D700="Receipt", $C700*VLOOKUP($B700, Items!$A:$E, 5, FALSE), IF($D700="Consumption", -$C700*VLOOKUP($B700, Items!$A:$E, 5, FALSE), "")))</f>
        <v>0</v>
      </c>
      <c r="H700">
        <f>IF($D700="Consumption", -$C700*VLOOKUP($B700, Items!$A:$E, 5, FALSE), 0)</f>
        <v>0</v>
      </c>
    </row>
    <row r="701" spans="7:8">
      <c r="G701">
        <f>IF($D701="", "", IF($D701="Receipt", $C701*VLOOKUP($B701, Items!$A:$E, 5, FALSE), IF($D701="Consumption", -$C701*VLOOKUP($B701, Items!$A:$E, 5, FALSE), "")))</f>
        <v>0</v>
      </c>
      <c r="H701">
        <f>IF($D701="Consumption", -$C701*VLOOKUP($B701, Items!$A:$E, 5, FALSE), 0)</f>
        <v>0</v>
      </c>
    </row>
    <row r="702" spans="7:8">
      <c r="G702">
        <f>IF($D702="", "", IF($D702="Receipt", $C702*VLOOKUP($B702, Items!$A:$E, 5, FALSE), IF($D702="Consumption", -$C702*VLOOKUP($B702, Items!$A:$E, 5, FALSE), "")))</f>
        <v>0</v>
      </c>
      <c r="H702">
        <f>IF($D702="Consumption", -$C702*VLOOKUP($B702, Items!$A:$E, 5, FALSE), 0)</f>
        <v>0</v>
      </c>
    </row>
    <row r="703" spans="7:8">
      <c r="G703">
        <f>IF($D703="", "", IF($D703="Receipt", $C703*VLOOKUP($B703, Items!$A:$E, 5, FALSE), IF($D703="Consumption", -$C703*VLOOKUP($B703, Items!$A:$E, 5, FALSE), "")))</f>
        <v>0</v>
      </c>
      <c r="H703">
        <f>IF($D703="Consumption", -$C703*VLOOKUP($B703, Items!$A:$E, 5, FALSE), 0)</f>
        <v>0</v>
      </c>
    </row>
    <row r="704" spans="7:8">
      <c r="G704">
        <f>IF($D704="", "", IF($D704="Receipt", $C704*VLOOKUP($B704, Items!$A:$E, 5, FALSE), IF($D704="Consumption", -$C704*VLOOKUP($B704, Items!$A:$E, 5, FALSE), "")))</f>
        <v>0</v>
      </c>
      <c r="H704">
        <f>IF($D704="Consumption", -$C704*VLOOKUP($B704, Items!$A:$E, 5, FALSE), 0)</f>
        <v>0</v>
      </c>
    </row>
    <row r="705" spans="7:8">
      <c r="G705">
        <f>IF($D705="", "", IF($D705="Receipt", $C705*VLOOKUP($B705, Items!$A:$E, 5, FALSE), IF($D705="Consumption", -$C705*VLOOKUP($B705, Items!$A:$E, 5, FALSE), "")))</f>
        <v>0</v>
      </c>
      <c r="H705">
        <f>IF($D705="Consumption", -$C705*VLOOKUP($B705, Items!$A:$E, 5, FALSE), 0)</f>
        <v>0</v>
      </c>
    </row>
    <row r="706" spans="7:8">
      <c r="G706">
        <f>IF($D706="", "", IF($D706="Receipt", $C706*VLOOKUP($B706, Items!$A:$E, 5, FALSE), IF($D706="Consumption", -$C706*VLOOKUP($B706, Items!$A:$E, 5, FALSE), "")))</f>
        <v>0</v>
      </c>
      <c r="H706">
        <f>IF($D706="Consumption", -$C706*VLOOKUP($B706, Items!$A:$E, 5, FALSE), 0)</f>
        <v>0</v>
      </c>
    </row>
    <row r="707" spans="7:8">
      <c r="G707">
        <f>IF($D707="", "", IF($D707="Receipt", $C707*VLOOKUP($B707, Items!$A:$E, 5, FALSE), IF($D707="Consumption", -$C707*VLOOKUP($B707, Items!$A:$E, 5, FALSE), "")))</f>
        <v>0</v>
      </c>
      <c r="H707">
        <f>IF($D707="Consumption", -$C707*VLOOKUP($B707, Items!$A:$E, 5, FALSE), 0)</f>
        <v>0</v>
      </c>
    </row>
    <row r="708" spans="7:8">
      <c r="G708">
        <f>IF($D708="", "", IF($D708="Receipt", $C708*VLOOKUP($B708, Items!$A:$E, 5, FALSE), IF($D708="Consumption", -$C708*VLOOKUP($B708, Items!$A:$E, 5, FALSE), "")))</f>
        <v>0</v>
      </c>
      <c r="H708">
        <f>IF($D708="Consumption", -$C708*VLOOKUP($B708, Items!$A:$E, 5, FALSE), 0)</f>
        <v>0</v>
      </c>
    </row>
    <row r="709" spans="7:8">
      <c r="G709">
        <f>IF($D709="", "", IF($D709="Receipt", $C709*VLOOKUP($B709, Items!$A:$E, 5, FALSE), IF($D709="Consumption", -$C709*VLOOKUP($B709, Items!$A:$E, 5, FALSE), "")))</f>
        <v>0</v>
      </c>
      <c r="H709">
        <f>IF($D709="Consumption", -$C709*VLOOKUP($B709, Items!$A:$E, 5, FALSE), 0)</f>
        <v>0</v>
      </c>
    </row>
    <row r="710" spans="7:8">
      <c r="G710">
        <f>IF($D710="", "", IF($D710="Receipt", $C710*VLOOKUP($B710, Items!$A:$E, 5, FALSE), IF($D710="Consumption", -$C710*VLOOKUP($B710, Items!$A:$E, 5, FALSE), "")))</f>
        <v>0</v>
      </c>
      <c r="H710">
        <f>IF($D710="Consumption", -$C710*VLOOKUP($B710, Items!$A:$E, 5, FALSE), 0)</f>
        <v>0</v>
      </c>
    </row>
    <row r="711" spans="7:8">
      <c r="G711">
        <f>IF($D711="", "", IF($D711="Receipt", $C711*VLOOKUP($B711, Items!$A:$E, 5, FALSE), IF($D711="Consumption", -$C711*VLOOKUP($B711, Items!$A:$E, 5, FALSE), "")))</f>
        <v>0</v>
      </c>
      <c r="H711">
        <f>IF($D711="Consumption", -$C711*VLOOKUP($B711, Items!$A:$E, 5, FALSE), 0)</f>
        <v>0</v>
      </c>
    </row>
    <row r="712" spans="7:8">
      <c r="G712">
        <f>IF($D712="", "", IF($D712="Receipt", $C712*VLOOKUP($B712, Items!$A:$E, 5, FALSE), IF($D712="Consumption", -$C712*VLOOKUP($B712, Items!$A:$E, 5, FALSE), "")))</f>
        <v>0</v>
      </c>
      <c r="H712">
        <f>IF($D712="Consumption", -$C712*VLOOKUP($B712, Items!$A:$E, 5, FALSE), 0)</f>
        <v>0</v>
      </c>
    </row>
    <row r="713" spans="7:8">
      <c r="G713">
        <f>IF($D713="", "", IF($D713="Receipt", $C713*VLOOKUP($B713, Items!$A:$E, 5, FALSE), IF($D713="Consumption", -$C713*VLOOKUP($B713, Items!$A:$E, 5, FALSE), "")))</f>
        <v>0</v>
      </c>
      <c r="H713">
        <f>IF($D713="Consumption", -$C713*VLOOKUP($B713, Items!$A:$E, 5, FALSE), 0)</f>
        <v>0</v>
      </c>
    </row>
    <row r="714" spans="7:8">
      <c r="G714">
        <f>IF($D714="", "", IF($D714="Receipt", $C714*VLOOKUP($B714, Items!$A:$E, 5, FALSE), IF($D714="Consumption", -$C714*VLOOKUP($B714, Items!$A:$E, 5, FALSE), "")))</f>
        <v>0</v>
      </c>
      <c r="H714">
        <f>IF($D714="Consumption", -$C714*VLOOKUP($B714, Items!$A:$E, 5, FALSE), 0)</f>
        <v>0</v>
      </c>
    </row>
    <row r="715" spans="7:8">
      <c r="G715">
        <f>IF($D715="", "", IF($D715="Receipt", $C715*VLOOKUP($B715, Items!$A:$E, 5, FALSE), IF($D715="Consumption", -$C715*VLOOKUP($B715, Items!$A:$E, 5, FALSE), "")))</f>
        <v>0</v>
      </c>
      <c r="H715">
        <f>IF($D715="Consumption", -$C715*VLOOKUP($B715, Items!$A:$E, 5, FALSE), 0)</f>
        <v>0</v>
      </c>
    </row>
    <row r="716" spans="7:8">
      <c r="G716">
        <f>IF($D716="", "", IF($D716="Receipt", $C716*VLOOKUP($B716, Items!$A:$E, 5, FALSE), IF($D716="Consumption", -$C716*VLOOKUP($B716, Items!$A:$E, 5, FALSE), "")))</f>
        <v>0</v>
      </c>
      <c r="H716">
        <f>IF($D716="Consumption", -$C716*VLOOKUP($B716, Items!$A:$E, 5, FALSE), 0)</f>
        <v>0</v>
      </c>
    </row>
    <row r="717" spans="7:8">
      <c r="G717">
        <f>IF($D717="", "", IF($D717="Receipt", $C717*VLOOKUP($B717, Items!$A:$E, 5, FALSE), IF($D717="Consumption", -$C717*VLOOKUP($B717, Items!$A:$E, 5, FALSE), "")))</f>
        <v>0</v>
      </c>
      <c r="H717">
        <f>IF($D717="Consumption", -$C717*VLOOKUP($B717, Items!$A:$E, 5, FALSE), 0)</f>
        <v>0</v>
      </c>
    </row>
    <row r="718" spans="7:8">
      <c r="G718">
        <f>IF($D718="", "", IF($D718="Receipt", $C718*VLOOKUP($B718, Items!$A:$E, 5, FALSE), IF($D718="Consumption", -$C718*VLOOKUP($B718, Items!$A:$E, 5, FALSE), "")))</f>
        <v>0</v>
      </c>
      <c r="H718">
        <f>IF($D718="Consumption", -$C718*VLOOKUP($B718, Items!$A:$E, 5, FALSE), 0)</f>
        <v>0</v>
      </c>
    </row>
    <row r="719" spans="7:8">
      <c r="G719">
        <f>IF($D719="", "", IF($D719="Receipt", $C719*VLOOKUP($B719, Items!$A:$E, 5, FALSE), IF($D719="Consumption", -$C719*VLOOKUP($B719, Items!$A:$E, 5, FALSE), "")))</f>
        <v>0</v>
      </c>
      <c r="H719">
        <f>IF($D719="Consumption", -$C719*VLOOKUP($B719, Items!$A:$E, 5, FALSE), 0)</f>
        <v>0</v>
      </c>
    </row>
    <row r="720" spans="7:8">
      <c r="G720">
        <f>IF($D720="", "", IF($D720="Receipt", $C720*VLOOKUP($B720, Items!$A:$E, 5, FALSE), IF($D720="Consumption", -$C720*VLOOKUP($B720, Items!$A:$E, 5, FALSE), "")))</f>
        <v>0</v>
      </c>
      <c r="H720">
        <f>IF($D720="Consumption", -$C720*VLOOKUP($B720, Items!$A:$E, 5, FALSE), 0)</f>
        <v>0</v>
      </c>
    </row>
    <row r="721" spans="7:8">
      <c r="G721">
        <f>IF($D721="", "", IF($D721="Receipt", $C721*VLOOKUP($B721, Items!$A:$E, 5, FALSE), IF($D721="Consumption", -$C721*VLOOKUP($B721, Items!$A:$E, 5, FALSE), "")))</f>
        <v>0</v>
      </c>
      <c r="H721">
        <f>IF($D721="Consumption", -$C721*VLOOKUP($B721, Items!$A:$E, 5, FALSE), 0)</f>
        <v>0</v>
      </c>
    </row>
    <row r="722" spans="7:8">
      <c r="G722">
        <f>IF($D722="", "", IF($D722="Receipt", $C722*VLOOKUP($B722, Items!$A:$E, 5, FALSE), IF($D722="Consumption", -$C722*VLOOKUP($B722, Items!$A:$E, 5, FALSE), "")))</f>
        <v>0</v>
      </c>
      <c r="H722">
        <f>IF($D722="Consumption", -$C722*VLOOKUP($B722, Items!$A:$E, 5, FALSE), 0)</f>
        <v>0</v>
      </c>
    </row>
    <row r="723" spans="7:8">
      <c r="G723">
        <f>IF($D723="", "", IF($D723="Receipt", $C723*VLOOKUP($B723, Items!$A:$E, 5, FALSE), IF($D723="Consumption", -$C723*VLOOKUP($B723, Items!$A:$E, 5, FALSE), "")))</f>
        <v>0</v>
      </c>
      <c r="H723">
        <f>IF($D723="Consumption", -$C723*VLOOKUP($B723, Items!$A:$E, 5, FALSE), 0)</f>
        <v>0</v>
      </c>
    </row>
    <row r="724" spans="7:8">
      <c r="G724">
        <f>IF($D724="", "", IF($D724="Receipt", $C724*VLOOKUP($B724, Items!$A:$E, 5, FALSE), IF($D724="Consumption", -$C724*VLOOKUP($B724, Items!$A:$E, 5, FALSE), "")))</f>
        <v>0</v>
      </c>
      <c r="H724">
        <f>IF($D724="Consumption", -$C724*VLOOKUP($B724, Items!$A:$E, 5, FALSE), 0)</f>
        <v>0</v>
      </c>
    </row>
    <row r="725" spans="7:8">
      <c r="G725">
        <f>IF($D725="", "", IF($D725="Receipt", $C725*VLOOKUP($B725, Items!$A:$E, 5, FALSE), IF($D725="Consumption", -$C725*VLOOKUP($B725, Items!$A:$E, 5, FALSE), "")))</f>
        <v>0</v>
      </c>
      <c r="H725">
        <f>IF($D725="Consumption", -$C725*VLOOKUP($B725, Items!$A:$E, 5, FALSE), 0)</f>
        <v>0</v>
      </c>
    </row>
    <row r="726" spans="7:8">
      <c r="G726">
        <f>IF($D726="", "", IF($D726="Receipt", $C726*VLOOKUP($B726, Items!$A:$E, 5, FALSE), IF($D726="Consumption", -$C726*VLOOKUP($B726, Items!$A:$E, 5, FALSE), "")))</f>
        <v>0</v>
      </c>
      <c r="H726">
        <f>IF($D726="Consumption", -$C726*VLOOKUP($B726, Items!$A:$E, 5, FALSE), 0)</f>
        <v>0</v>
      </c>
    </row>
    <row r="727" spans="7:8">
      <c r="G727">
        <f>IF($D727="", "", IF($D727="Receipt", $C727*VLOOKUP($B727, Items!$A:$E, 5, FALSE), IF($D727="Consumption", -$C727*VLOOKUP($B727, Items!$A:$E, 5, FALSE), "")))</f>
        <v>0</v>
      </c>
      <c r="H727">
        <f>IF($D727="Consumption", -$C727*VLOOKUP($B727, Items!$A:$E, 5, FALSE), 0)</f>
        <v>0</v>
      </c>
    </row>
    <row r="728" spans="7:8">
      <c r="G728">
        <f>IF($D728="", "", IF($D728="Receipt", $C728*VLOOKUP($B728, Items!$A:$E, 5, FALSE), IF($D728="Consumption", -$C728*VLOOKUP($B728, Items!$A:$E, 5, FALSE), "")))</f>
        <v>0</v>
      </c>
      <c r="H728">
        <f>IF($D728="Consumption", -$C728*VLOOKUP($B728, Items!$A:$E, 5, FALSE), 0)</f>
        <v>0</v>
      </c>
    </row>
    <row r="729" spans="7:8">
      <c r="G729">
        <f>IF($D729="", "", IF($D729="Receipt", $C729*VLOOKUP($B729, Items!$A:$E, 5, FALSE), IF($D729="Consumption", -$C729*VLOOKUP($B729, Items!$A:$E, 5, FALSE), "")))</f>
        <v>0</v>
      </c>
      <c r="H729">
        <f>IF($D729="Consumption", -$C729*VLOOKUP($B729, Items!$A:$E, 5, FALSE), 0)</f>
        <v>0</v>
      </c>
    </row>
    <row r="730" spans="7:8">
      <c r="G730">
        <f>IF($D730="", "", IF($D730="Receipt", $C730*VLOOKUP($B730, Items!$A:$E, 5, FALSE), IF($D730="Consumption", -$C730*VLOOKUP($B730, Items!$A:$E, 5, FALSE), "")))</f>
        <v>0</v>
      </c>
      <c r="H730">
        <f>IF($D730="Consumption", -$C730*VLOOKUP($B730, Items!$A:$E, 5, FALSE), 0)</f>
        <v>0</v>
      </c>
    </row>
    <row r="731" spans="7:8">
      <c r="G731">
        <f>IF($D731="", "", IF($D731="Receipt", $C731*VLOOKUP($B731, Items!$A:$E, 5, FALSE), IF($D731="Consumption", -$C731*VLOOKUP($B731, Items!$A:$E, 5, FALSE), "")))</f>
        <v>0</v>
      </c>
      <c r="H731">
        <f>IF($D731="Consumption", -$C731*VLOOKUP($B731, Items!$A:$E, 5, FALSE), 0)</f>
        <v>0</v>
      </c>
    </row>
    <row r="732" spans="7:8">
      <c r="G732">
        <f>IF($D732="", "", IF($D732="Receipt", $C732*VLOOKUP($B732, Items!$A:$E, 5, FALSE), IF($D732="Consumption", -$C732*VLOOKUP($B732, Items!$A:$E, 5, FALSE), "")))</f>
        <v>0</v>
      </c>
      <c r="H732">
        <f>IF($D732="Consumption", -$C732*VLOOKUP($B732, Items!$A:$E, 5, FALSE), 0)</f>
        <v>0</v>
      </c>
    </row>
    <row r="733" spans="7:8">
      <c r="G733">
        <f>IF($D733="", "", IF($D733="Receipt", $C733*VLOOKUP($B733, Items!$A:$E, 5, FALSE), IF($D733="Consumption", -$C733*VLOOKUP($B733, Items!$A:$E, 5, FALSE), "")))</f>
        <v>0</v>
      </c>
      <c r="H733">
        <f>IF($D733="Consumption", -$C733*VLOOKUP($B733, Items!$A:$E, 5, FALSE), 0)</f>
        <v>0</v>
      </c>
    </row>
    <row r="734" spans="7:8">
      <c r="G734">
        <f>IF($D734="", "", IF($D734="Receipt", $C734*VLOOKUP($B734, Items!$A:$E, 5, FALSE), IF($D734="Consumption", -$C734*VLOOKUP($B734, Items!$A:$E, 5, FALSE), "")))</f>
        <v>0</v>
      </c>
      <c r="H734">
        <f>IF($D734="Consumption", -$C734*VLOOKUP($B734, Items!$A:$E, 5, FALSE), 0)</f>
        <v>0</v>
      </c>
    </row>
    <row r="735" spans="7:8">
      <c r="G735">
        <f>IF($D735="", "", IF($D735="Receipt", $C735*VLOOKUP($B735, Items!$A:$E, 5, FALSE), IF($D735="Consumption", -$C735*VLOOKUP($B735, Items!$A:$E, 5, FALSE), "")))</f>
        <v>0</v>
      </c>
      <c r="H735">
        <f>IF($D735="Consumption", -$C735*VLOOKUP($B735, Items!$A:$E, 5, FALSE), 0)</f>
        <v>0</v>
      </c>
    </row>
    <row r="736" spans="7:8">
      <c r="G736">
        <f>IF($D736="", "", IF($D736="Receipt", $C736*VLOOKUP($B736, Items!$A:$E, 5, FALSE), IF($D736="Consumption", -$C736*VLOOKUP($B736, Items!$A:$E, 5, FALSE), "")))</f>
        <v>0</v>
      </c>
      <c r="H736">
        <f>IF($D736="Consumption", -$C736*VLOOKUP($B736, Items!$A:$E, 5, FALSE), 0)</f>
        <v>0</v>
      </c>
    </row>
    <row r="737" spans="7:8">
      <c r="G737">
        <f>IF($D737="", "", IF($D737="Receipt", $C737*VLOOKUP($B737, Items!$A:$E, 5, FALSE), IF($D737="Consumption", -$C737*VLOOKUP($B737, Items!$A:$E, 5, FALSE), "")))</f>
        <v>0</v>
      </c>
      <c r="H737">
        <f>IF($D737="Consumption", -$C737*VLOOKUP($B737, Items!$A:$E, 5, FALSE), 0)</f>
        <v>0</v>
      </c>
    </row>
    <row r="738" spans="7:8">
      <c r="G738">
        <f>IF($D738="", "", IF($D738="Receipt", $C738*VLOOKUP($B738, Items!$A:$E, 5, FALSE), IF($D738="Consumption", -$C738*VLOOKUP($B738, Items!$A:$E, 5, FALSE), "")))</f>
        <v>0</v>
      </c>
      <c r="H738">
        <f>IF($D738="Consumption", -$C738*VLOOKUP($B738, Items!$A:$E, 5, FALSE), 0)</f>
        <v>0</v>
      </c>
    </row>
    <row r="739" spans="7:8">
      <c r="G739">
        <f>IF($D739="", "", IF($D739="Receipt", $C739*VLOOKUP($B739, Items!$A:$E, 5, FALSE), IF($D739="Consumption", -$C739*VLOOKUP($B739, Items!$A:$E, 5, FALSE), "")))</f>
        <v>0</v>
      </c>
      <c r="H739">
        <f>IF($D739="Consumption", -$C739*VLOOKUP($B739, Items!$A:$E, 5, FALSE), 0)</f>
        <v>0</v>
      </c>
    </row>
    <row r="740" spans="7:8">
      <c r="G740">
        <f>IF($D740="", "", IF($D740="Receipt", $C740*VLOOKUP($B740, Items!$A:$E, 5, FALSE), IF($D740="Consumption", -$C740*VLOOKUP($B740, Items!$A:$E, 5, FALSE), "")))</f>
        <v>0</v>
      </c>
      <c r="H740">
        <f>IF($D740="Consumption", -$C740*VLOOKUP($B740, Items!$A:$E, 5, FALSE), 0)</f>
        <v>0</v>
      </c>
    </row>
    <row r="741" spans="7:8">
      <c r="G741">
        <f>IF($D741="", "", IF($D741="Receipt", $C741*VLOOKUP($B741, Items!$A:$E, 5, FALSE), IF($D741="Consumption", -$C741*VLOOKUP($B741, Items!$A:$E, 5, FALSE), "")))</f>
        <v>0</v>
      </c>
      <c r="H741">
        <f>IF($D741="Consumption", -$C741*VLOOKUP($B741, Items!$A:$E, 5, FALSE), 0)</f>
        <v>0</v>
      </c>
    </row>
    <row r="742" spans="7:8">
      <c r="G742">
        <f>IF($D742="", "", IF($D742="Receipt", $C742*VLOOKUP($B742, Items!$A:$E, 5, FALSE), IF($D742="Consumption", -$C742*VLOOKUP($B742, Items!$A:$E, 5, FALSE), "")))</f>
        <v>0</v>
      </c>
      <c r="H742">
        <f>IF($D742="Consumption", -$C742*VLOOKUP($B742, Items!$A:$E, 5, FALSE), 0)</f>
        <v>0</v>
      </c>
    </row>
    <row r="743" spans="7:8">
      <c r="G743">
        <f>IF($D743="", "", IF($D743="Receipt", $C743*VLOOKUP($B743, Items!$A:$E, 5, FALSE), IF($D743="Consumption", -$C743*VLOOKUP($B743, Items!$A:$E, 5, FALSE), "")))</f>
        <v>0</v>
      </c>
      <c r="H743">
        <f>IF($D743="Consumption", -$C743*VLOOKUP($B743, Items!$A:$E, 5, FALSE), 0)</f>
        <v>0</v>
      </c>
    </row>
    <row r="744" spans="7:8">
      <c r="G744">
        <f>IF($D744="", "", IF($D744="Receipt", $C744*VLOOKUP($B744, Items!$A:$E, 5, FALSE), IF($D744="Consumption", -$C744*VLOOKUP($B744, Items!$A:$E, 5, FALSE), "")))</f>
        <v>0</v>
      </c>
      <c r="H744">
        <f>IF($D744="Consumption", -$C744*VLOOKUP($B744, Items!$A:$E, 5, FALSE), 0)</f>
        <v>0</v>
      </c>
    </row>
    <row r="745" spans="7:8">
      <c r="G745">
        <f>IF($D745="", "", IF($D745="Receipt", $C745*VLOOKUP($B745, Items!$A:$E, 5, FALSE), IF($D745="Consumption", -$C745*VLOOKUP($B745, Items!$A:$E, 5, FALSE), "")))</f>
        <v>0</v>
      </c>
      <c r="H745">
        <f>IF($D745="Consumption", -$C745*VLOOKUP($B745, Items!$A:$E, 5, FALSE), 0)</f>
        <v>0</v>
      </c>
    </row>
    <row r="746" spans="7:8">
      <c r="G746">
        <f>IF($D746="", "", IF($D746="Receipt", $C746*VLOOKUP($B746, Items!$A:$E, 5, FALSE), IF($D746="Consumption", -$C746*VLOOKUP($B746, Items!$A:$E, 5, FALSE), "")))</f>
        <v>0</v>
      </c>
      <c r="H746">
        <f>IF($D746="Consumption", -$C746*VLOOKUP($B746, Items!$A:$E, 5, FALSE), 0)</f>
        <v>0</v>
      </c>
    </row>
    <row r="747" spans="7:8">
      <c r="G747">
        <f>IF($D747="", "", IF($D747="Receipt", $C747*VLOOKUP($B747, Items!$A:$E, 5, FALSE), IF($D747="Consumption", -$C747*VLOOKUP($B747, Items!$A:$E, 5, FALSE), "")))</f>
        <v>0</v>
      </c>
      <c r="H747">
        <f>IF($D747="Consumption", -$C747*VLOOKUP($B747, Items!$A:$E, 5, FALSE), 0)</f>
        <v>0</v>
      </c>
    </row>
    <row r="748" spans="7:8">
      <c r="G748">
        <f>IF($D748="", "", IF($D748="Receipt", $C748*VLOOKUP($B748, Items!$A:$E, 5, FALSE), IF($D748="Consumption", -$C748*VLOOKUP($B748, Items!$A:$E, 5, FALSE), "")))</f>
        <v>0</v>
      </c>
      <c r="H748">
        <f>IF($D748="Consumption", -$C748*VLOOKUP($B748, Items!$A:$E, 5, FALSE), 0)</f>
        <v>0</v>
      </c>
    </row>
    <row r="749" spans="7:8">
      <c r="G749">
        <f>IF($D749="", "", IF($D749="Receipt", $C749*VLOOKUP($B749, Items!$A:$E, 5, FALSE), IF($D749="Consumption", -$C749*VLOOKUP($B749, Items!$A:$E, 5, FALSE), "")))</f>
        <v>0</v>
      </c>
      <c r="H749">
        <f>IF($D749="Consumption", -$C749*VLOOKUP($B749, Items!$A:$E, 5, FALSE), 0)</f>
        <v>0</v>
      </c>
    </row>
    <row r="750" spans="7:8">
      <c r="G750">
        <f>IF($D750="", "", IF($D750="Receipt", $C750*VLOOKUP($B750, Items!$A:$E, 5, FALSE), IF($D750="Consumption", -$C750*VLOOKUP($B750, Items!$A:$E, 5, FALSE), "")))</f>
        <v>0</v>
      </c>
      <c r="H750">
        <f>IF($D750="Consumption", -$C750*VLOOKUP($B750, Items!$A:$E, 5, FALSE), 0)</f>
        <v>0</v>
      </c>
    </row>
    <row r="751" spans="7:8">
      <c r="G751">
        <f>IF($D751="", "", IF($D751="Receipt", $C751*VLOOKUP($B751, Items!$A:$E, 5, FALSE), IF($D751="Consumption", -$C751*VLOOKUP($B751, Items!$A:$E, 5, FALSE), "")))</f>
        <v>0</v>
      </c>
      <c r="H751">
        <f>IF($D751="Consumption", -$C751*VLOOKUP($B751, Items!$A:$E, 5, FALSE), 0)</f>
        <v>0</v>
      </c>
    </row>
    <row r="752" spans="7:8">
      <c r="G752">
        <f>IF($D752="", "", IF($D752="Receipt", $C752*VLOOKUP($B752, Items!$A:$E, 5, FALSE), IF($D752="Consumption", -$C752*VLOOKUP($B752, Items!$A:$E, 5, FALSE), "")))</f>
        <v>0</v>
      </c>
      <c r="H752">
        <f>IF($D752="Consumption", -$C752*VLOOKUP($B752, Items!$A:$E, 5, FALSE), 0)</f>
        <v>0</v>
      </c>
    </row>
    <row r="753" spans="7:8">
      <c r="G753">
        <f>IF($D753="", "", IF($D753="Receipt", $C753*VLOOKUP($B753, Items!$A:$E, 5, FALSE), IF($D753="Consumption", -$C753*VLOOKUP($B753, Items!$A:$E, 5, FALSE), "")))</f>
        <v>0</v>
      </c>
      <c r="H753">
        <f>IF($D753="Consumption", -$C753*VLOOKUP($B753, Items!$A:$E, 5, FALSE), 0)</f>
        <v>0</v>
      </c>
    </row>
    <row r="754" spans="7:8">
      <c r="G754">
        <f>IF($D754="", "", IF($D754="Receipt", $C754*VLOOKUP($B754, Items!$A:$E, 5, FALSE), IF($D754="Consumption", -$C754*VLOOKUP($B754, Items!$A:$E, 5, FALSE), "")))</f>
        <v>0</v>
      </c>
      <c r="H754">
        <f>IF($D754="Consumption", -$C754*VLOOKUP($B754, Items!$A:$E, 5, FALSE), 0)</f>
        <v>0</v>
      </c>
    </row>
    <row r="755" spans="7:8">
      <c r="G755">
        <f>IF($D755="", "", IF($D755="Receipt", $C755*VLOOKUP($B755, Items!$A:$E, 5, FALSE), IF($D755="Consumption", -$C755*VLOOKUP($B755, Items!$A:$E, 5, FALSE), "")))</f>
        <v>0</v>
      </c>
      <c r="H755">
        <f>IF($D755="Consumption", -$C755*VLOOKUP($B755, Items!$A:$E, 5, FALSE), 0)</f>
        <v>0</v>
      </c>
    </row>
    <row r="756" spans="7:8">
      <c r="G756">
        <f>IF($D756="", "", IF($D756="Receipt", $C756*VLOOKUP($B756, Items!$A:$E, 5, FALSE), IF($D756="Consumption", -$C756*VLOOKUP($B756, Items!$A:$E, 5, FALSE), "")))</f>
        <v>0</v>
      </c>
      <c r="H756">
        <f>IF($D756="Consumption", -$C756*VLOOKUP($B756, Items!$A:$E, 5, FALSE), 0)</f>
        <v>0</v>
      </c>
    </row>
    <row r="757" spans="7:8">
      <c r="G757">
        <f>IF($D757="", "", IF($D757="Receipt", $C757*VLOOKUP($B757, Items!$A:$E, 5, FALSE), IF($D757="Consumption", -$C757*VLOOKUP($B757, Items!$A:$E, 5, FALSE), "")))</f>
        <v>0</v>
      </c>
      <c r="H757">
        <f>IF($D757="Consumption", -$C757*VLOOKUP($B757, Items!$A:$E, 5, FALSE), 0)</f>
        <v>0</v>
      </c>
    </row>
    <row r="758" spans="7:8">
      <c r="G758">
        <f>IF($D758="", "", IF($D758="Receipt", $C758*VLOOKUP($B758, Items!$A:$E, 5, FALSE), IF($D758="Consumption", -$C758*VLOOKUP($B758, Items!$A:$E, 5, FALSE), "")))</f>
        <v>0</v>
      </c>
      <c r="H758">
        <f>IF($D758="Consumption", -$C758*VLOOKUP($B758, Items!$A:$E, 5, FALSE), 0)</f>
        <v>0</v>
      </c>
    </row>
    <row r="759" spans="7:8">
      <c r="G759">
        <f>IF($D759="", "", IF($D759="Receipt", $C759*VLOOKUP($B759, Items!$A:$E, 5, FALSE), IF($D759="Consumption", -$C759*VLOOKUP($B759, Items!$A:$E, 5, FALSE), "")))</f>
        <v>0</v>
      </c>
      <c r="H759">
        <f>IF($D759="Consumption", -$C759*VLOOKUP($B759, Items!$A:$E, 5, FALSE), 0)</f>
        <v>0</v>
      </c>
    </row>
    <row r="760" spans="7:8">
      <c r="G760">
        <f>IF($D760="", "", IF($D760="Receipt", $C760*VLOOKUP($B760, Items!$A:$E, 5, FALSE), IF($D760="Consumption", -$C760*VLOOKUP($B760, Items!$A:$E, 5, FALSE), "")))</f>
        <v>0</v>
      </c>
      <c r="H760">
        <f>IF($D760="Consumption", -$C760*VLOOKUP($B760, Items!$A:$E, 5, FALSE), 0)</f>
        <v>0</v>
      </c>
    </row>
    <row r="761" spans="7:8">
      <c r="G761">
        <f>IF($D761="", "", IF($D761="Receipt", $C761*VLOOKUP($B761, Items!$A:$E, 5, FALSE), IF($D761="Consumption", -$C761*VLOOKUP($B761, Items!$A:$E, 5, FALSE), "")))</f>
        <v>0</v>
      </c>
      <c r="H761">
        <f>IF($D761="Consumption", -$C761*VLOOKUP($B761, Items!$A:$E, 5, FALSE), 0)</f>
        <v>0</v>
      </c>
    </row>
    <row r="762" spans="7:8">
      <c r="G762">
        <f>IF($D762="", "", IF($D762="Receipt", $C762*VLOOKUP($B762, Items!$A:$E, 5, FALSE), IF($D762="Consumption", -$C762*VLOOKUP($B762, Items!$A:$E, 5, FALSE), "")))</f>
        <v>0</v>
      </c>
      <c r="H762">
        <f>IF($D762="Consumption", -$C762*VLOOKUP($B762, Items!$A:$E, 5, FALSE), 0)</f>
        <v>0</v>
      </c>
    </row>
    <row r="763" spans="7:8">
      <c r="G763">
        <f>IF($D763="", "", IF($D763="Receipt", $C763*VLOOKUP($B763, Items!$A:$E, 5, FALSE), IF($D763="Consumption", -$C763*VLOOKUP($B763, Items!$A:$E, 5, FALSE), "")))</f>
        <v>0</v>
      </c>
      <c r="H763">
        <f>IF($D763="Consumption", -$C763*VLOOKUP($B763, Items!$A:$E, 5, FALSE), 0)</f>
        <v>0</v>
      </c>
    </row>
    <row r="764" spans="7:8">
      <c r="G764">
        <f>IF($D764="", "", IF($D764="Receipt", $C764*VLOOKUP($B764, Items!$A:$E, 5, FALSE), IF($D764="Consumption", -$C764*VLOOKUP($B764, Items!$A:$E, 5, FALSE), "")))</f>
        <v>0</v>
      </c>
      <c r="H764">
        <f>IF($D764="Consumption", -$C764*VLOOKUP($B764, Items!$A:$E, 5, FALSE), 0)</f>
        <v>0</v>
      </c>
    </row>
    <row r="765" spans="7:8">
      <c r="G765">
        <f>IF($D765="", "", IF($D765="Receipt", $C765*VLOOKUP($B765, Items!$A:$E, 5, FALSE), IF($D765="Consumption", -$C765*VLOOKUP($B765, Items!$A:$E, 5, FALSE), "")))</f>
        <v>0</v>
      </c>
      <c r="H765">
        <f>IF($D765="Consumption", -$C765*VLOOKUP($B765, Items!$A:$E, 5, FALSE), 0)</f>
        <v>0</v>
      </c>
    </row>
    <row r="766" spans="7:8">
      <c r="G766">
        <f>IF($D766="", "", IF($D766="Receipt", $C766*VLOOKUP($B766, Items!$A:$E, 5, FALSE), IF($D766="Consumption", -$C766*VLOOKUP($B766, Items!$A:$E, 5, FALSE), "")))</f>
        <v>0</v>
      </c>
      <c r="H766">
        <f>IF($D766="Consumption", -$C766*VLOOKUP($B766, Items!$A:$E, 5, FALSE), 0)</f>
        <v>0</v>
      </c>
    </row>
    <row r="767" spans="7:8">
      <c r="G767">
        <f>IF($D767="", "", IF($D767="Receipt", $C767*VLOOKUP($B767, Items!$A:$E, 5, FALSE), IF($D767="Consumption", -$C767*VLOOKUP($B767, Items!$A:$E, 5, FALSE), "")))</f>
        <v>0</v>
      </c>
      <c r="H767">
        <f>IF($D767="Consumption", -$C767*VLOOKUP($B767, Items!$A:$E, 5, FALSE), 0)</f>
        <v>0</v>
      </c>
    </row>
    <row r="768" spans="7:8">
      <c r="G768">
        <f>IF($D768="", "", IF($D768="Receipt", $C768*VLOOKUP($B768, Items!$A:$E, 5, FALSE), IF($D768="Consumption", -$C768*VLOOKUP($B768, Items!$A:$E, 5, FALSE), "")))</f>
        <v>0</v>
      </c>
      <c r="H768">
        <f>IF($D768="Consumption", -$C768*VLOOKUP($B768, Items!$A:$E, 5, FALSE), 0)</f>
        <v>0</v>
      </c>
    </row>
    <row r="769" spans="7:8">
      <c r="G769">
        <f>IF($D769="", "", IF($D769="Receipt", $C769*VLOOKUP($B769, Items!$A:$E, 5, FALSE), IF($D769="Consumption", -$C769*VLOOKUP($B769, Items!$A:$E, 5, FALSE), "")))</f>
        <v>0</v>
      </c>
      <c r="H769">
        <f>IF($D769="Consumption", -$C769*VLOOKUP($B769, Items!$A:$E, 5, FALSE), 0)</f>
        <v>0</v>
      </c>
    </row>
    <row r="770" spans="7:8">
      <c r="G770">
        <f>IF($D770="", "", IF($D770="Receipt", $C770*VLOOKUP($B770, Items!$A:$E, 5, FALSE), IF($D770="Consumption", -$C770*VLOOKUP($B770, Items!$A:$E, 5, FALSE), "")))</f>
        <v>0</v>
      </c>
      <c r="H770">
        <f>IF($D770="Consumption", -$C770*VLOOKUP($B770, Items!$A:$E, 5, FALSE), 0)</f>
        <v>0</v>
      </c>
    </row>
    <row r="771" spans="7:8">
      <c r="G771">
        <f>IF($D771="", "", IF($D771="Receipt", $C771*VLOOKUP($B771, Items!$A:$E, 5, FALSE), IF($D771="Consumption", -$C771*VLOOKUP($B771, Items!$A:$E, 5, FALSE), "")))</f>
        <v>0</v>
      </c>
      <c r="H771">
        <f>IF($D771="Consumption", -$C771*VLOOKUP($B771, Items!$A:$E, 5, FALSE), 0)</f>
        <v>0</v>
      </c>
    </row>
    <row r="772" spans="7:8">
      <c r="G772">
        <f>IF($D772="", "", IF($D772="Receipt", $C772*VLOOKUP($B772, Items!$A:$E, 5, FALSE), IF($D772="Consumption", -$C772*VLOOKUP($B772, Items!$A:$E, 5, FALSE), "")))</f>
        <v>0</v>
      </c>
      <c r="H772">
        <f>IF($D772="Consumption", -$C772*VLOOKUP($B772, Items!$A:$E, 5, FALSE), 0)</f>
        <v>0</v>
      </c>
    </row>
    <row r="773" spans="7:8">
      <c r="G773">
        <f>IF($D773="", "", IF($D773="Receipt", $C773*VLOOKUP($B773, Items!$A:$E, 5, FALSE), IF($D773="Consumption", -$C773*VLOOKUP($B773, Items!$A:$E, 5, FALSE), "")))</f>
        <v>0</v>
      </c>
      <c r="H773">
        <f>IF($D773="Consumption", -$C773*VLOOKUP($B773, Items!$A:$E, 5, FALSE), 0)</f>
        <v>0</v>
      </c>
    </row>
    <row r="774" spans="7:8">
      <c r="G774">
        <f>IF($D774="", "", IF($D774="Receipt", $C774*VLOOKUP($B774, Items!$A:$E, 5, FALSE), IF($D774="Consumption", -$C774*VLOOKUP($B774, Items!$A:$E, 5, FALSE), "")))</f>
        <v>0</v>
      </c>
      <c r="H774">
        <f>IF($D774="Consumption", -$C774*VLOOKUP($B774, Items!$A:$E, 5, FALSE), 0)</f>
        <v>0</v>
      </c>
    </row>
    <row r="775" spans="7:8">
      <c r="G775">
        <f>IF($D775="", "", IF($D775="Receipt", $C775*VLOOKUP($B775, Items!$A:$E, 5, FALSE), IF($D775="Consumption", -$C775*VLOOKUP($B775, Items!$A:$E, 5, FALSE), "")))</f>
        <v>0</v>
      </c>
      <c r="H775">
        <f>IF($D775="Consumption", -$C775*VLOOKUP($B775, Items!$A:$E, 5, FALSE), 0)</f>
        <v>0</v>
      </c>
    </row>
    <row r="776" spans="7:8">
      <c r="G776">
        <f>IF($D776="", "", IF($D776="Receipt", $C776*VLOOKUP($B776, Items!$A:$E, 5, FALSE), IF($D776="Consumption", -$C776*VLOOKUP($B776, Items!$A:$E, 5, FALSE), "")))</f>
        <v>0</v>
      </c>
      <c r="H776">
        <f>IF($D776="Consumption", -$C776*VLOOKUP($B776, Items!$A:$E, 5, FALSE), 0)</f>
        <v>0</v>
      </c>
    </row>
    <row r="777" spans="7:8">
      <c r="G777">
        <f>IF($D777="", "", IF($D777="Receipt", $C777*VLOOKUP($B777, Items!$A:$E, 5, FALSE), IF($D777="Consumption", -$C777*VLOOKUP($B777, Items!$A:$E, 5, FALSE), "")))</f>
        <v>0</v>
      </c>
      <c r="H777">
        <f>IF($D777="Consumption", -$C777*VLOOKUP($B777, Items!$A:$E, 5, FALSE), 0)</f>
        <v>0</v>
      </c>
    </row>
    <row r="778" spans="7:8">
      <c r="G778">
        <f>IF($D778="", "", IF($D778="Receipt", $C778*VLOOKUP($B778, Items!$A:$E, 5, FALSE), IF($D778="Consumption", -$C778*VLOOKUP($B778, Items!$A:$E, 5, FALSE), "")))</f>
        <v>0</v>
      </c>
      <c r="H778">
        <f>IF($D778="Consumption", -$C778*VLOOKUP($B778, Items!$A:$E, 5, FALSE), 0)</f>
        <v>0</v>
      </c>
    </row>
    <row r="779" spans="7:8">
      <c r="G779">
        <f>IF($D779="", "", IF($D779="Receipt", $C779*VLOOKUP($B779, Items!$A:$E, 5, FALSE), IF($D779="Consumption", -$C779*VLOOKUP($B779, Items!$A:$E, 5, FALSE), "")))</f>
        <v>0</v>
      </c>
      <c r="H779">
        <f>IF($D779="Consumption", -$C779*VLOOKUP($B779, Items!$A:$E, 5, FALSE), 0)</f>
        <v>0</v>
      </c>
    </row>
    <row r="780" spans="7:8">
      <c r="G780">
        <f>IF($D780="", "", IF($D780="Receipt", $C780*VLOOKUP($B780, Items!$A:$E, 5, FALSE), IF($D780="Consumption", -$C780*VLOOKUP($B780, Items!$A:$E, 5, FALSE), "")))</f>
        <v>0</v>
      </c>
      <c r="H780">
        <f>IF($D780="Consumption", -$C780*VLOOKUP($B780, Items!$A:$E, 5, FALSE), 0)</f>
        <v>0</v>
      </c>
    </row>
    <row r="781" spans="7:8">
      <c r="G781">
        <f>IF($D781="", "", IF($D781="Receipt", $C781*VLOOKUP($B781, Items!$A:$E, 5, FALSE), IF($D781="Consumption", -$C781*VLOOKUP($B781, Items!$A:$E, 5, FALSE), "")))</f>
        <v>0</v>
      </c>
      <c r="H781">
        <f>IF($D781="Consumption", -$C781*VLOOKUP($B781, Items!$A:$E, 5, FALSE), 0)</f>
        <v>0</v>
      </c>
    </row>
    <row r="782" spans="7:8">
      <c r="G782">
        <f>IF($D782="", "", IF($D782="Receipt", $C782*VLOOKUP($B782, Items!$A:$E, 5, FALSE), IF($D782="Consumption", -$C782*VLOOKUP($B782, Items!$A:$E, 5, FALSE), "")))</f>
        <v>0</v>
      </c>
      <c r="H782">
        <f>IF($D782="Consumption", -$C782*VLOOKUP($B782, Items!$A:$E, 5, FALSE), 0)</f>
        <v>0</v>
      </c>
    </row>
    <row r="783" spans="7:8">
      <c r="G783">
        <f>IF($D783="", "", IF($D783="Receipt", $C783*VLOOKUP($B783, Items!$A:$E, 5, FALSE), IF($D783="Consumption", -$C783*VLOOKUP($B783, Items!$A:$E, 5, FALSE), "")))</f>
        <v>0</v>
      </c>
      <c r="H783">
        <f>IF($D783="Consumption", -$C783*VLOOKUP($B783, Items!$A:$E, 5, FALSE), 0)</f>
        <v>0</v>
      </c>
    </row>
    <row r="784" spans="7:8">
      <c r="G784">
        <f>IF($D784="", "", IF($D784="Receipt", $C784*VLOOKUP($B784, Items!$A:$E, 5, FALSE), IF($D784="Consumption", -$C784*VLOOKUP($B784, Items!$A:$E, 5, FALSE), "")))</f>
        <v>0</v>
      </c>
      <c r="H784">
        <f>IF($D784="Consumption", -$C784*VLOOKUP($B784, Items!$A:$E, 5, FALSE), 0)</f>
        <v>0</v>
      </c>
    </row>
    <row r="785" spans="7:8">
      <c r="G785">
        <f>IF($D785="", "", IF($D785="Receipt", $C785*VLOOKUP($B785, Items!$A:$E, 5, FALSE), IF($D785="Consumption", -$C785*VLOOKUP($B785, Items!$A:$E, 5, FALSE), "")))</f>
        <v>0</v>
      </c>
      <c r="H785">
        <f>IF($D785="Consumption", -$C785*VLOOKUP($B785, Items!$A:$E, 5, FALSE), 0)</f>
        <v>0</v>
      </c>
    </row>
    <row r="786" spans="7:8">
      <c r="G786">
        <f>IF($D786="", "", IF($D786="Receipt", $C786*VLOOKUP($B786, Items!$A:$E, 5, FALSE), IF($D786="Consumption", -$C786*VLOOKUP($B786, Items!$A:$E, 5, FALSE), "")))</f>
        <v>0</v>
      </c>
      <c r="H786">
        <f>IF($D786="Consumption", -$C786*VLOOKUP($B786, Items!$A:$E, 5, FALSE), 0)</f>
        <v>0</v>
      </c>
    </row>
    <row r="787" spans="7:8">
      <c r="G787">
        <f>IF($D787="", "", IF($D787="Receipt", $C787*VLOOKUP($B787, Items!$A:$E, 5, FALSE), IF($D787="Consumption", -$C787*VLOOKUP($B787, Items!$A:$E, 5, FALSE), "")))</f>
        <v>0</v>
      </c>
      <c r="H787">
        <f>IF($D787="Consumption", -$C787*VLOOKUP($B787, Items!$A:$E, 5, FALSE), 0)</f>
        <v>0</v>
      </c>
    </row>
    <row r="788" spans="7:8">
      <c r="G788">
        <f>IF($D788="", "", IF($D788="Receipt", $C788*VLOOKUP($B788, Items!$A:$E, 5, FALSE), IF($D788="Consumption", -$C788*VLOOKUP($B788, Items!$A:$E, 5, FALSE), "")))</f>
        <v>0</v>
      </c>
      <c r="H788">
        <f>IF($D788="Consumption", -$C788*VLOOKUP($B788, Items!$A:$E, 5, FALSE), 0)</f>
        <v>0</v>
      </c>
    </row>
    <row r="789" spans="7:8">
      <c r="G789">
        <f>IF($D789="", "", IF($D789="Receipt", $C789*VLOOKUP($B789, Items!$A:$E, 5, FALSE), IF($D789="Consumption", -$C789*VLOOKUP($B789, Items!$A:$E, 5, FALSE), "")))</f>
        <v>0</v>
      </c>
      <c r="H789">
        <f>IF($D789="Consumption", -$C789*VLOOKUP($B789, Items!$A:$E, 5, FALSE), 0)</f>
        <v>0</v>
      </c>
    </row>
    <row r="790" spans="7:8">
      <c r="G790">
        <f>IF($D790="", "", IF($D790="Receipt", $C790*VLOOKUP($B790, Items!$A:$E, 5, FALSE), IF($D790="Consumption", -$C790*VLOOKUP($B790, Items!$A:$E, 5, FALSE), "")))</f>
        <v>0</v>
      </c>
      <c r="H790">
        <f>IF($D790="Consumption", -$C790*VLOOKUP($B790, Items!$A:$E, 5, FALSE), 0)</f>
        <v>0</v>
      </c>
    </row>
    <row r="791" spans="7:8">
      <c r="G791">
        <f>IF($D791="", "", IF($D791="Receipt", $C791*VLOOKUP($B791, Items!$A:$E, 5, FALSE), IF($D791="Consumption", -$C791*VLOOKUP($B791, Items!$A:$E, 5, FALSE), "")))</f>
        <v>0</v>
      </c>
      <c r="H791">
        <f>IF($D791="Consumption", -$C791*VLOOKUP($B791, Items!$A:$E, 5, FALSE), 0)</f>
        <v>0</v>
      </c>
    </row>
    <row r="792" spans="7:8">
      <c r="G792">
        <f>IF($D792="", "", IF($D792="Receipt", $C792*VLOOKUP($B792, Items!$A:$E, 5, FALSE), IF($D792="Consumption", -$C792*VLOOKUP($B792, Items!$A:$E, 5, FALSE), "")))</f>
        <v>0</v>
      </c>
      <c r="H792">
        <f>IF($D792="Consumption", -$C792*VLOOKUP($B792, Items!$A:$E, 5, FALSE), 0)</f>
        <v>0</v>
      </c>
    </row>
    <row r="793" spans="7:8">
      <c r="G793">
        <f>IF($D793="", "", IF($D793="Receipt", $C793*VLOOKUP($B793, Items!$A:$E, 5, FALSE), IF($D793="Consumption", -$C793*VLOOKUP($B793, Items!$A:$E, 5, FALSE), "")))</f>
        <v>0</v>
      </c>
      <c r="H793">
        <f>IF($D793="Consumption", -$C793*VLOOKUP($B793, Items!$A:$E, 5, FALSE), 0)</f>
        <v>0</v>
      </c>
    </row>
    <row r="794" spans="7:8">
      <c r="G794">
        <f>IF($D794="", "", IF($D794="Receipt", $C794*VLOOKUP($B794, Items!$A:$E, 5, FALSE), IF($D794="Consumption", -$C794*VLOOKUP($B794, Items!$A:$E, 5, FALSE), "")))</f>
        <v>0</v>
      </c>
      <c r="H794">
        <f>IF($D794="Consumption", -$C794*VLOOKUP($B794, Items!$A:$E, 5, FALSE), 0)</f>
        <v>0</v>
      </c>
    </row>
    <row r="795" spans="7:8">
      <c r="G795">
        <f>IF($D795="", "", IF($D795="Receipt", $C795*VLOOKUP($B795, Items!$A:$E, 5, FALSE), IF($D795="Consumption", -$C795*VLOOKUP($B795, Items!$A:$E, 5, FALSE), "")))</f>
        <v>0</v>
      </c>
      <c r="H795">
        <f>IF($D795="Consumption", -$C795*VLOOKUP($B795, Items!$A:$E, 5, FALSE), 0)</f>
        <v>0</v>
      </c>
    </row>
    <row r="796" spans="7:8">
      <c r="G796">
        <f>IF($D796="", "", IF($D796="Receipt", $C796*VLOOKUP($B796, Items!$A:$E, 5, FALSE), IF($D796="Consumption", -$C796*VLOOKUP($B796, Items!$A:$E, 5, FALSE), "")))</f>
        <v>0</v>
      </c>
      <c r="H796">
        <f>IF($D796="Consumption", -$C796*VLOOKUP($B796, Items!$A:$E, 5, FALSE), 0)</f>
        <v>0</v>
      </c>
    </row>
    <row r="797" spans="7:8">
      <c r="G797">
        <f>IF($D797="", "", IF($D797="Receipt", $C797*VLOOKUP($B797, Items!$A:$E, 5, FALSE), IF($D797="Consumption", -$C797*VLOOKUP($B797, Items!$A:$E, 5, FALSE), "")))</f>
        <v>0</v>
      </c>
      <c r="H797">
        <f>IF($D797="Consumption", -$C797*VLOOKUP($B797, Items!$A:$E, 5, FALSE), 0)</f>
        <v>0</v>
      </c>
    </row>
    <row r="798" spans="7:8">
      <c r="G798">
        <f>IF($D798="", "", IF($D798="Receipt", $C798*VLOOKUP($B798, Items!$A:$E, 5, FALSE), IF($D798="Consumption", -$C798*VLOOKUP($B798, Items!$A:$E, 5, FALSE), "")))</f>
        <v>0</v>
      </c>
      <c r="H798">
        <f>IF($D798="Consumption", -$C798*VLOOKUP($B798, Items!$A:$E, 5, FALSE), 0)</f>
        <v>0</v>
      </c>
    </row>
    <row r="799" spans="7:8">
      <c r="G799">
        <f>IF($D799="", "", IF($D799="Receipt", $C799*VLOOKUP($B799, Items!$A:$E, 5, FALSE), IF($D799="Consumption", -$C799*VLOOKUP($B799, Items!$A:$E, 5, FALSE), "")))</f>
        <v>0</v>
      </c>
      <c r="H799">
        <f>IF($D799="Consumption", -$C799*VLOOKUP($B799, Items!$A:$E, 5, FALSE), 0)</f>
        <v>0</v>
      </c>
    </row>
    <row r="800" spans="7:8">
      <c r="G800">
        <f>IF($D800="", "", IF($D800="Receipt", $C800*VLOOKUP($B800, Items!$A:$E, 5, FALSE), IF($D800="Consumption", -$C800*VLOOKUP($B800, Items!$A:$E, 5, FALSE), "")))</f>
        <v>0</v>
      </c>
      <c r="H800">
        <f>IF($D800="Consumption", -$C800*VLOOKUP($B800, Items!$A:$E, 5, FALSE), 0)</f>
        <v>0</v>
      </c>
    </row>
    <row r="801" spans="7:8">
      <c r="G801">
        <f>IF($D801="", "", IF($D801="Receipt", $C801*VLOOKUP($B801, Items!$A:$E, 5, FALSE), IF($D801="Consumption", -$C801*VLOOKUP($B801, Items!$A:$E, 5, FALSE), "")))</f>
        <v>0</v>
      </c>
      <c r="H801">
        <f>IF($D801="Consumption", -$C801*VLOOKUP($B801, Items!$A:$E, 5, FALSE), 0)</f>
        <v>0</v>
      </c>
    </row>
    <row r="802" spans="7:8">
      <c r="G802">
        <f>IF($D802="", "", IF($D802="Receipt", $C802*VLOOKUP($B802, Items!$A:$E, 5, FALSE), IF($D802="Consumption", -$C802*VLOOKUP($B802, Items!$A:$E, 5, FALSE), "")))</f>
        <v>0</v>
      </c>
      <c r="H802">
        <f>IF($D802="Consumption", -$C802*VLOOKUP($B802, Items!$A:$E, 5, FALSE), 0)</f>
        <v>0</v>
      </c>
    </row>
    <row r="803" spans="7:8">
      <c r="G803">
        <f>IF($D803="", "", IF($D803="Receipt", $C803*VLOOKUP($B803, Items!$A:$E, 5, FALSE), IF($D803="Consumption", -$C803*VLOOKUP($B803, Items!$A:$E, 5, FALSE), "")))</f>
        <v>0</v>
      </c>
      <c r="H803">
        <f>IF($D803="Consumption", -$C803*VLOOKUP($B803, Items!$A:$E, 5, FALSE), 0)</f>
        <v>0</v>
      </c>
    </row>
    <row r="804" spans="7:8">
      <c r="G804">
        <f>IF($D804="", "", IF($D804="Receipt", $C804*VLOOKUP($B804, Items!$A:$E, 5, FALSE), IF($D804="Consumption", -$C804*VLOOKUP($B804, Items!$A:$E, 5, FALSE), "")))</f>
        <v>0</v>
      </c>
      <c r="H804">
        <f>IF($D804="Consumption", -$C804*VLOOKUP($B804, Items!$A:$E, 5, FALSE), 0)</f>
        <v>0</v>
      </c>
    </row>
    <row r="805" spans="7:8">
      <c r="G805">
        <f>IF($D805="", "", IF($D805="Receipt", $C805*VLOOKUP($B805, Items!$A:$E, 5, FALSE), IF($D805="Consumption", -$C805*VLOOKUP($B805, Items!$A:$E, 5, FALSE), "")))</f>
        <v>0</v>
      </c>
      <c r="H805">
        <f>IF($D805="Consumption", -$C805*VLOOKUP($B805, Items!$A:$E, 5, FALSE), 0)</f>
        <v>0</v>
      </c>
    </row>
    <row r="806" spans="7:8">
      <c r="G806">
        <f>IF($D806="", "", IF($D806="Receipt", $C806*VLOOKUP($B806, Items!$A:$E, 5, FALSE), IF($D806="Consumption", -$C806*VLOOKUP($B806, Items!$A:$E, 5, FALSE), "")))</f>
        <v>0</v>
      </c>
      <c r="H806">
        <f>IF($D806="Consumption", -$C806*VLOOKUP($B806, Items!$A:$E, 5, FALSE), 0)</f>
        <v>0</v>
      </c>
    </row>
    <row r="807" spans="7:8">
      <c r="G807">
        <f>IF($D807="", "", IF($D807="Receipt", $C807*VLOOKUP($B807, Items!$A:$E, 5, FALSE), IF($D807="Consumption", -$C807*VLOOKUP($B807, Items!$A:$E, 5, FALSE), "")))</f>
        <v>0</v>
      </c>
      <c r="H807">
        <f>IF($D807="Consumption", -$C807*VLOOKUP($B807, Items!$A:$E, 5, FALSE), 0)</f>
        <v>0</v>
      </c>
    </row>
    <row r="808" spans="7:8">
      <c r="G808">
        <f>IF($D808="", "", IF($D808="Receipt", $C808*VLOOKUP($B808, Items!$A:$E, 5, FALSE), IF($D808="Consumption", -$C808*VLOOKUP($B808, Items!$A:$E, 5, FALSE), "")))</f>
        <v>0</v>
      </c>
      <c r="H808">
        <f>IF($D808="Consumption", -$C808*VLOOKUP($B808, Items!$A:$E, 5, FALSE), 0)</f>
        <v>0</v>
      </c>
    </row>
    <row r="809" spans="7:8">
      <c r="G809">
        <f>IF($D809="", "", IF($D809="Receipt", $C809*VLOOKUP($B809, Items!$A:$E, 5, FALSE), IF($D809="Consumption", -$C809*VLOOKUP($B809, Items!$A:$E, 5, FALSE), "")))</f>
        <v>0</v>
      </c>
      <c r="H809">
        <f>IF($D809="Consumption", -$C809*VLOOKUP($B809, Items!$A:$E, 5, FALSE), 0)</f>
        <v>0</v>
      </c>
    </row>
    <row r="810" spans="7:8">
      <c r="G810">
        <f>IF($D810="", "", IF($D810="Receipt", $C810*VLOOKUP($B810, Items!$A:$E, 5, FALSE), IF($D810="Consumption", -$C810*VLOOKUP($B810, Items!$A:$E, 5, FALSE), "")))</f>
        <v>0</v>
      </c>
      <c r="H810">
        <f>IF($D810="Consumption", -$C810*VLOOKUP($B810, Items!$A:$E, 5, FALSE), 0)</f>
        <v>0</v>
      </c>
    </row>
    <row r="811" spans="7:8">
      <c r="G811">
        <f>IF($D811="", "", IF($D811="Receipt", $C811*VLOOKUP($B811, Items!$A:$E, 5, FALSE), IF($D811="Consumption", -$C811*VLOOKUP($B811, Items!$A:$E, 5, FALSE), "")))</f>
        <v>0</v>
      </c>
      <c r="H811">
        <f>IF($D811="Consumption", -$C811*VLOOKUP($B811, Items!$A:$E, 5, FALSE), 0)</f>
        <v>0</v>
      </c>
    </row>
    <row r="812" spans="7:8">
      <c r="G812">
        <f>IF($D812="", "", IF($D812="Receipt", $C812*VLOOKUP($B812, Items!$A:$E, 5, FALSE), IF($D812="Consumption", -$C812*VLOOKUP($B812, Items!$A:$E, 5, FALSE), "")))</f>
        <v>0</v>
      </c>
      <c r="H812">
        <f>IF($D812="Consumption", -$C812*VLOOKUP($B812, Items!$A:$E, 5, FALSE), 0)</f>
        <v>0</v>
      </c>
    </row>
    <row r="813" spans="7:8">
      <c r="G813">
        <f>IF($D813="", "", IF($D813="Receipt", $C813*VLOOKUP($B813, Items!$A:$E, 5, FALSE), IF($D813="Consumption", -$C813*VLOOKUP($B813, Items!$A:$E, 5, FALSE), "")))</f>
        <v>0</v>
      </c>
      <c r="H813">
        <f>IF($D813="Consumption", -$C813*VLOOKUP($B813, Items!$A:$E, 5, FALSE), 0)</f>
        <v>0</v>
      </c>
    </row>
    <row r="814" spans="7:8">
      <c r="G814">
        <f>IF($D814="", "", IF($D814="Receipt", $C814*VLOOKUP($B814, Items!$A:$E, 5, FALSE), IF($D814="Consumption", -$C814*VLOOKUP($B814, Items!$A:$E, 5, FALSE), "")))</f>
        <v>0</v>
      </c>
      <c r="H814">
        <f>IF($D814="Consumption", -$C814*VLOOKUP($B814, Items!$A:$E, 5, FALSE), 0)</f>
        <v>0</v>
      </c>
    </row>
    <row r="815" spans="7:8">
      <c r="G815">
        <f>IF($D815="", "", IF($D815="Receipt", $C815*VLOOKUP($B815, Items!$A:$E, 5, FALSE), IF($D815="Consumption", -$C815*VLOOKUP($B815, Items!$A:$E, 5, FALSE), "")))</f>
        <v>0</v>
      </c>
      <c r="H815">
        <f>IF($D815="Consumption", -$C815*VLOOKUP($B815, Items!$A:$E, 5, FALSE), 0)</f>
        <v>0</v>
      </c>
    </row>
    <row r="816" spans="7:8">
      <c r="G816">
        <f>IF($D816="", "", IF($D816="Receipt", $C816*VLOOKUP($B816, Items!$A:$E, 5, FALSE), IF($D816="Consumption", -$C816*VLOOKUP($B816, Items!$A:$E, 5, FALSE), "")))</f>
        <v>0</v>
      </c>
      <c r="H816">
        <f>IF($D816="Consumption", -$C816*VLOOKUP($B816, Items!$A:$E, 5, FALSE), 0)</f>
        <v>0</v>
      </c>
    </row>
    <row r="817" spans="7:8">
      <c r="G817">
        <f>IF($D817="", "", IF($D817="Receipt", $C817*VLOOKUP($B817, Items!$A:$E, 5, FALSE), IF($D817="Consumption", -$C817*VLOOKUP($B817, Items!$A:$E, 5, FALSE), "")))</f>
        <v>0</v>
      </c>
      <c r="H817">
        <f>IF($D817="Consumption", -$C817*VLOOKUP($B817, Items!$A:$E, 5, FALSE), 0)</f>
        <v>0</v>
      </c>
    </row>
    <row r="818" spans="7:8">
      <c r="G818">
        <f>IF($D818="", "", IF($D818="Receipt", $C818*VLOOKUP($B818, Items!$A:$E, 5, FALSE), IF($D818="Consumption", -$C818*VLOOKUP($B818, Items!$A:$E, 5, FALSE), "")))</f>
        <v>0</v>
      </c>
      <c r="H818">
        <f>IF($D818="Consumption", -$C818*VLOOKUP($B818, Items!$A:$E, 5, FALSE), 0)</f>
        <v>0</v>
      </c>
    </row>
    <row r="819" spans="7:8">
      <c r="G819">
        <f>IF($D819="", "", IF($D819="Receipt", $C819*VLOOKUP($B819, Items!$A:$E, 5, FALSE), IF($D819="Consumption", -$C819*VLOOKUP($B819, Items!$A:$E, 5, FALSE), "")))</f>
        <v>0</v>
      </c>
      <c r="H819">
        <f>IF($D819="Consumption", -$C819*VLOOKUP($B819, Items!$A:$E, 5, FALSE), 0)</f>
        <v>0</v>
      </c>
    </row>
    <row r="820" spans="7:8">
      <c r="G820">
        <f>IF($D820="", "", IF($D820="Receipt", $C820*VLOOKUP($B820, Items!$A:$E, 5, FALSE), IF($D820="Consumption", -$C820*VLOOKUP($B820, Items!$A:$E, 5, FALSE), "")))</f>
        <v>0</v>
      </c>
      <c r="H820">
        <f>IF($D820="Consumption", -$C820*VLOOKUP($B820, Items!$A:$E, 5, FALSE), 0)</f>
        <v>0</v>
      </c>
    </row>
    <row r="821" spans="7:8">
      <c r="G821">
        <f>IF($D821="", "", IF($D821="Receipt", $C821*VLOOKUP($B821, Items!$A:$E, 5, FALSE), IF($D821="Consumption", -$C821*VLOOKUP($B821, Items!$A:$E, 5, FALSE), "")))</f>
        <v>0</v>
      </c>
      <c r="H821">
        <f>IF($D821="Consumption", -$C821*VLOOKUP($B821, Items!$A:$E, 5, FALSE), 0)</f>
        <v>0</v>
      </c>
    </row>
    <row r="822" spans="7:8">
      <c r="G822">
        <f>IF($D822="", "", IF($D822="Receipt", $C822*VLOOKUP($B822, Items!$A:$E, 5, FALSE), IF($D822="Consumption", -$C822*VLOOKUP($B822, Items!$A:$E, 5, FALSE), "")))</f>
        <v>0</v>
      </c>
      <c r="H822">
        <f>IF($D822="Consumption", -$C822*VLOOKUP($B822, Items!$A:$E, 5, FALSE), 0)</f>
        <v>0</v>
      </c>
    </row>
    <row r="823" spans="7:8">
      <c r="G823">
        <f>IF($D823="", "", IF($D823="Receipt", $C823*VLOOKUP($B823, Items!$A:$E, 5, FALSE), IF($D823="Consumption", -$C823*VLOOKUP($B823, Items!$A:$E, 5, FALSE), "")))</f>
        <v>0</v>
      </c>
      <c r="H823">
        <f>IF($D823="Consumption", -$C823*VLOOKUP($B823, Items!$A:$E, 5, FALSE), 0)</f>
        <v>0</v>
      </c>
    </row>
    <row r="824" spans="7:8">
      <c r="G824">
        <f>IF($D824="", "", IF($D824="Receipt", $C824*VLOOKUP($B824, Items!$A:$E, 5, FALSE), IF($D824="Consumption", -$C824*VLOOKUP($B824, Items!$A:$E, 5, FALSE), "")))</f>
        <v>0</v>
      </c>
      <c r="H824">
        <f>IF($D824="Consumption", -$C824*VLOOKUP($B824, Items!$A:$E, 5, FALSE), 0)</f>
        <v>0</v>
      </c>
    </row>
    <row r="825" spans="7:8">
      <c r="G825">
        <f>IF($D825="", "", IF($D825="Receipt", $C825*VLOOKUP($B825, Items!$A:$E, 5, FALSE), IF($D825="Consumption", -$C825*VLOOKUP($B825, Items!$A:$E, 5, FALSE), "")))</f>
        <v>0</v>
      </c>
      <c r="H825">
        <f>IF($D825="Consumption", -$C825*VLOOKUP($B825, Items!$A:$E, 5, FALSE), 0)</f>
        <v>0</v>
      </c>
    </row>
    <row r="826" spans="7:8">
      <c r="G826">
        <f>IF($D826="", "", IF($D826="Receipt", $C826*VLOOKUP($B826, Items!$A:$E, 5, FALSE), IF($D826="Consumption", -$C826*VLOOKUP($B826, Items!$A:$E, 5, FALSE), "")))</f>
        <v>0</v>
      </c>
      <c r="H826">
        <f>IF($D826="Consumption", -$C826*VLOOKUP($B826, Items!$A:$E, 5, FALSE), 0)</f>
        <v>0</v>
      </c>
    </row>
    <row r="827" spans="7:8">
      <c r="G827">
        <f>IF($D827="", "", IF($D827="Receipt", $C827*VLOOKUP($B827, Items!$A:$E, 5, FALSE), IF($D827="Consumption", -$C827*VLOOKUP($B827, Items!$A:$E, 5, FALSE), "")))</f>
        <v>0</v>
      </c>
      <c r="H827">
        <f>IF($D827="Consumption", -$C827*VLOOKUP($B827, Items!$A:$E, 5, FALSE), 0)</f>
        <v>0</v>
      </c>
    </row>
    <row r="828" spans="7:8">
      <c r="G828">
        <f>IF($D828="", "", IF($D828="Receipt", $C828*VLOOKUP($B828, Items!$A:$E, 5, FALSE), IF($D828="Consumption", -$C828*VLOOKUP($B828, Items!$A:$E, 5, FALSE), "")))</f>
        <v>0</v>
      </c>
      <c r="H828">
        <f>IF($D828="Consumption", -$C828*VLOOKUP($B828, Items!$A:$E, 5, FALSE), 0)</f>
        <v>0</v>
      </c>
    </row>
    <row r="829" spans="7:8">
      <c r="G829">
        <f>IF($D829="", "", IF($D829="Receipt", $C829*VLOOKUP($B829, Items!$A:$E, 5, FALSE), IF($D829="Consumption", -$C829*VLOOKUP($B829, Items!$A:$E, 5, FALSE), "")))</f>
        <v>0</v>
      </c>
      <c r="H829">
        <f>IF($D829="Consumption", -$C829*VLOOKUP($B829, Items!$A:$E, 5, FALSE), 0)</f>
        <v>0</v>
      </c>
    </row>
    <row r="830" spans="7:8">
      <c r="G830">
        <f>IF($D830="", "", IF($D830="Receipt", $C830*VLOOKUP($B830, Items!$A:$E, 5, FALSE), IF($D830="Consumption", -$C830*VLOOKUP($B830, Items!$A:$E, 5, FALSE), "")))</f>
        <v>0</v>
      </c>
      <c r="H830">
        <f>IF($D830="Consumption", -$C830*VLOOKUP($B830, Items!$A:$E, 5, FALSE), 0)</f>
        <v>0</v>
      </c>
    </row>
    <row r="831" spans="7:8">
      <c r="G831">
        <f>IF($D831="", "", IF($D831="Receipt", $C831*VLOOKUP($B831, Items!$A:$E, 5, FALSE), IF($D831="Consumption", -$C831*VLOOKUP($B831, Items!$A:$E, 5, FALSE), "")))</f>
        <v>0</v>
      </c>
      <c r="H831">
        <f>IF($D831="Consumption", -$C831*VLOOKUP($B831, Items!$A:$E, 5, FALSE), 0)</f>
        <v>0</v>
      </c>
    </row>
    <row r="832" spans="7:8">
      <c r="G832">
        <f>IF($D832="", "", IF($D832="Receipt", $C832*VLOOKUP($B832, Items!$A:$E, 5, FALSE), IF($D832="Consumption", -$C832*VLOOKUP($B832, Items!$A:$E, 5, FALSE), "")))</f>
        <v>0</v>
      </c>
      <c r="H832">
        <f>IF($D832="Consumption", -$C832*VLOOKUP($B832, Items!$A:$E, 5, FALSE), 0)</f>
        <v>0</v>
      </c>
    </row>
    <row r="833" spans="7:8">
      <c r="G833">
        <f>IF($D833="", "", IF($D833="Receipt", $C833*VLOOKUP($B833, Items!$A:$E, 5, FALSE), IF($D833="Consumption", -$C833*VLOOKUP($B833, Items!$A:$E, 5, FALSE), "")))</f>
        <v>0</v>
      </c>
      <c r="H833">
        <f>IF($D833="Consumption", -$C833*VLOOKUP($B833, Items!$A:$E, 5, FALSE), 0)</f>
        <v>0</v>
      </c>
    </row>
    <row r="834" spans="7:8">
      <c r="G834">
        <f>IF($D834="", "", IF($D834="Receipt", $C834*VLOOKUP($B834, Items!$A:$E, 5, FALSE), IF($D834="Consumption", -$C834*VLOOKUP($B834, Items!$A:$E, 5, FALSE), "")))</f>
        <v>0</v>
      </c>
      <c r="H834">
        <f>IF($D834="Consumption", -$C834*VLOOKUP($B834, Items!$A:$E, 5, FALSE), 0)</f>
        <v>0</v>
      </c>
    </row>
    <row r="835" spans="7:8">
      <c r="G835">
        <f>IF($D835="", "", IF($D835="Receipt", $C835*VLOOKUP($B835, Items!$A:$E, 5, FALSE), IF($D835="Consumption", -$C835*VLOOKUP($B835, Items!$A:$E, 5, FALSE), "")))</f>
        <v>0</v>
      </c>
      <c r="H835">
        <f>IF($D835="Consumption", -$C835*VLOOKUP($B835, Items!$A:$E, 5, FALSE), 0)</f>
        <v>0</v>
      </c>
    </row>
    <row r="836" spans="7:8">
      <c r="G836">
        <f>IF($D836="", "", IF($D836="Receipt", $C836*VLOOKUP($B836, Items!$A:$E, 5, FALSE), IF($D836="Consumption", -$C836*VLOOKUP($B836, Items!$A:$E, 5, FALSE), "")))</f>
        <v>0</v>
      </c>
      <c r="H836">
        <f>IF($D836="Consumption", -$C836*VLOOKUP($B836, Items!$A:$E, 5, FALSE), 0)</f>
        <v>0</v>
      </c>
    </row>
    <row r="837" spans="7:8">
      <c r="G837">
        <f>IF($D837="", "", IF($D837="Receipt", $C837*VLOOKUP($B837, Items!$A:$E, 5, FALSE), IF($D837="Consumption", -$C837*VLOOKUP($B837, Items!$A:$E, 5, FALSE), "")))</f>
        <v>0</v>
      </c>
      <c r="H837">
        <f>IF($D837="Consumption", -$C837*VLOOKUP($B837, Items!$A:$E, 5, FALSE), 0)</f>
        <v>0</v>
      </c>
    </row>
    <row r="838" spans="7:8">
      <c r="G838">
        <f>IF($D838="", "", IF($D838="Receipt", $C838*VLOOKUP($B838, Items!$A:$E, 5, FALSE), IF($D838="Consumption", -$C838*VLOOKUP($B838, Items!$A:$E, 5, FALSE), "")))</f>
        <v>0</v>
      </c>
      <c r="H838">
        <f>IF($D838="Consumption", -$C838*VLOOKUP($B838, Items!$A:$E, 5, FALSE), 0)</f>
        <v>0</v>
      </c>
    </row>
    <row r="839" spans="7:8">
      <c r="G839">
        <f>IF($D839="", "", IF($D839="Receipt", $C839*VLOOKUP($B839, Items!$A:$E, 5, FALSE), IF($D839="Consumption", -$C839*VLOOKUP($B839, Items!$A:$E, 5, FALSE), "")))</f>
        <v>0</v>
      </c>
      <c r="H839">
        <f>IF($D839="Consumption", -$C839*VLOOKUP($B839, Items!$A:$E, 5, FALSE), 0)</f>
        <v>0</v>
      </c>
    </row>
    <row r="840" spans="7:8">
      <c r="G840">
        <f>IF($D840="", "", IF($D840="Receipt", $C840*VLOOKUP($B840, Items!$A:$E, 5, FALSE), IF($D840="Consumption", -$C840*VLOOKUP($B840, Items!$A:$E, 5, FALSE), "")))</f>
        <v>0</v>
      </c>
      <c r="H840">
        <f>IF($D840="Consumption", -$C840*VLOOKUP($B840, Items!$A:$E, 5, FALSE), 0)</f>
        <v>0</v>
      </c>
    </row>
    <row r="841" spans="7:8">
      <c r="G841">
        <f>IF($D841="", "", IF($D841="Receipt", $C841*VLOOKUP($B841, Items!$A:$E, 5, FALSE), IF($D841="Consumption", -$C841*VLOOKUP($B841, Items!$A:$E, 5, FALSE), "")))</f>
        <v>0</v>
      </c>
      <c r="H841">
        <f>IF($D841="Consumption", -$C841*VLOOKUP($B841, Items!$A:$E, 5, FALSE), 0)</f>
        <v>0</v>
      </c>
    </row>
    <row r="842" spans="7:8">
      <c r="G842">
        <f>IF($D842="", "", IF($D842="Receipt", $C842*VLOOKUP($B842, Items!$A:$E, 5, FALSE), IF($D842="Consumption", -$C842*VLOOKUP($B842, Items!$A:$E, 5, FALSE), "")))</f>
        <v>0</v>
      </c>
      <c r="H842">
        <f>IF($D842="Consumption", -$C842*VLOOKUP($B842, Items!$A:$E, 5, FALSE), 0)</f>
        <v>0</v>
      </c>
    </row>
    <row r="843" spans="7:8">
      <c r="G843">
        <f>IF($D843="", "", IF($D843="Receipt", $C843*VLOOKUP($B843, Items!$A:$E, 5, FALSE), IF($D843="Consumption", -$C843*VLOOKUP($B843, Items!$A:$E, 5, FALSE), "")))</f>
        <v>0</v>
      </c>
      <c r="H843">
        <f>IF($D843="Consumption", -$C843*VLOOKUP($B843, Items!$A:$E, 5, FALSE), 0)</f>
        <v>0</v>
      </c>
    </row>
    <row r="844" spans="7:8">
      <c r="G844">
        <f>IF($D844="", "", IF($D844="Receipt", $C844*VLOOKUP($B844, Items!$A:$E, 5, FALSE), IF($D844="Consumption", -$C844*VLOOKUP($B844, Items!$A:$E, 5, FALSE), "")))</f>
        <v>0</v>
      </c>
      <c r="H844">
        <f>IF($D844="Consumption", -$C844*VLOOKUP($B844, Items!$A:$E, 5, FALSE), 0)</f>
        <v>0</v>
      </c>
    </row>
    <row r="845" spans="7:8">
      <c r="G845">
        <f>IF($D845="", "", IF($D845="Receipt", $C845*VLOOKUP($B845, Items!$A:$E, 5, FALSE), IF($D845="Consumption", -$C845*VLOOKUP($B845, Items!$A:$E, 5, FALSE), "")))</f>
        <v>0</v>
      </c>
      <c r="H845">
        <f>IF($D845="Consumption", -$C845*VLOOKUP($B845, Items!$A:$E, 5, FALSE), 0)</f>
        <v>0</v>
      </c>
    </row>
    <row r="846" spans="7:8">
      <c r="G846">
        <f>IF($D846="", "", IF($D846="Receipt", $C846*VLOOKUP($B846, Items!$A:$E, 5, FALSE), IF($D846="Consumption", -$C846*VLOOKUP($B846, Items!$A:$E, 5, FALSE), "")))</f>
        <v>0</v>
      </c>
      <c r="H846">
        <f>IF($D846="Consumption", -$C846*VLOOKUP($B846, Items!$A:$E, 5, FALSE), 0)</f>
        <v>0</v>
      </c>
    </row>
    <row r="847" spans="7:8">
      <c r="G847">
        <f>IF($D847="", "", IF($D847="Receipt", $C847*VLOOKUP($B847, Items!$A:$E, 5, FALSE), IF($D847="Consumption", -$C847*VLOOKUP($B847, Items!$A:$E, 5, FALSE), "")))</f>
        <v>0</v>
      </c>
      <c r="H847">
        <f>IF($D847="Consumption", -$C847*VLOOKUP($B847, Items!$A:$E, 5, FALSE), 0)</f>
        <v>0</v>
      </c>
    </row>
    <row r="848" spans="7:8">
      <c r="G848">
        <f>IF($D848="", "", IF($D848="Receipt", $C848*VLOOKUP($B848, Items!$A:$E, 5, FALSE), IF($D848="Consumption", -$C848*VLOOKUP($B848, Items!$A:$E, 5, FALSE), "")))</f>
        <v>0</v>
      </c>
      <c r="H848">
        <f>IF($D848="Consumption", -$C848*VLOOKUP($B848, Items!$A:$E, 5, FALSE), 0)</f>
        <v>0</v>
      </c>
    </row>
    <row r="849" spans="7:8">
      <c r="G849">
        <f>IF($D849="", "", IF($D849="Receipt", $C849*VLOOKUP($B849, Items!$A:$E, 5, FALSE), IF($D849="Consumption", -$C849*VLOOKUP($B849, Items!$A:$E, 5, FALSE), "")))</f>
        <v>0</v>
      </c>
      <c r="H849">
        <f>IF($D849="Consumption", -$C849*VLOOKUP($B849, Items!$A:$E, 5, FALSE), 0)</f>
        <v>0</v>
      </c>
    </row>
    <row r="850" spans="7:8">
      <c r="G850">
        <f>IF($D850="", "", IF($D850="Receipt", $C850*VLOOKUP($B850, Items!$A:$E, 5, FALSE), IF($D850="Consumption", -$C850*VLOOKUP($B850, Items!$A:$E, 5, FALSE), "")))</f>
        <v>0</v>
      </c>
      <c r="H850">
        <f>IF($D850="Consumption", -$C850*VLOOKUP($B850, Items!$A:$E, 5, FALSE), 0)</f>
        <v>0</v>
      </c>
    </row>
    <row r="851" spans="7:8">
      <c r="G851">
        <f>IF($D851="", "", IF($D851="Receipt", $C851*VLOOKUP($B851, Items!$A:$E, 5, FALSE), IF($D851="Consumption", -$C851*VLOOKUP($B851, Items!$A:$E, 5, FALSE), "")))</f>
        <v>0</v>
      </c>
      <c r="H851">
        <f>IF($D851="Consumption", -$C851*VLOOKUP($B851, Items!$A:$E, 5, FALSE), 0)</f>
        <v>0</v>
      </c>
    </row>
    <row r="852" spans="7:8">
      <c r="G852">
        <f>IF($D852="", "", IF($D852="Receipt", $C852*VLOOKUP($B852, Items!$A:$E, 5, FALSE), IF($D852="Consumption", -$C852*VLOOKUP($B852, Items!$A:$E, 5, FALSE), "")))</f>
        <v>0</v>
      </c>
      <c r="H852">
        <f>IF($D852="Consumption", -$C852*VLOOKUP($B852, Items!$A:$E, 5, FALSE), 0)</f>
        <v>0</v>
      </c>
    </row>
    <row r="853" spans="7:8">
      <c r="G853">
        <f>IF($D853="", "", IF($D853="Receipt", $C853*VLOOKUP($B853, Items!$A:$E, 5, FALSE), IF($D853="Consumption", -$C853*VLOOKUP($B853, Items!$A:$E, 5, FALSE), "")))</f>
        <v>0</v>
      </c>
      <c r="H853">
        <f>IF($D853="Consumption", -$C853*VLOOKUP($B853, Items!$A:$E, 5, FALSE), 0)</f>
        <v>0</v>
      </c>
    </row>
    <row r="854" spans="7:8">
      <c r="G854">
        <f>IF($D854="", "", IF($D854="Receipt", $C854*VLOOKUP($B854, Items!$A:$E, 5, FALSE), IF($D854="Consumption", -$C854*VLOOKUP($B854, Items!$A:$E, 5, FALSE), "")))</f>
        <v>0</v>
      </c>
      <c r="H854">
        <f>IF($D854="Consumption", -$C854*VLOOKUP($B854, Items!$A:$E, 5, FALSE), 0)</f>
        <v>0</v>
      </c>
    </row>
    <row r="855" spans="7:8">
      <c r="G855">
        <f>IF($D855="", "", IF($D855="Receipt", $C855*VLOOKUP($B855, Items!$A:$E, 5, FALSE), IF($D855="Consumption", -$C855*VLOOKUP($B855, Items!$A:$E, 5, FALSE), "")))</f>
        <v>0</v>
      </c>
      <c r="H855">
        <f>IF($D855="Consumption", -$C855*VLOOKUP($B855, Items!$A:$E, 5, FALSE), 0)</f>
        <v>0</v>
      </c>
    </row>
    <row r="856" spans="7:8">
      <c r="G856">
        <f>IF($D856="", "", IF($D856="Receipt", $C856*VLOOKUP($B856, Items!$A:$E, 5, FALSE), IF($D856="Consumption", -$C856*VLOOKUP($B856, Items!$A:$E, 5, FALSE), "")))</f>
        <v>0</v>
      </c>
      <c r="H856">
        <f>IF($D856="Consumption", -$C856*VLOOKUP($B856, Items!$A:$E, 5, FALSE), 0)</f>
        <v>0</v>
      </c>
    </row>
    <row r="857" spans="7:8">
      <c r="G857">
        <f>IF($D857="", "", IF($D857="Receipt", $C857*VLOOKUP($B857, Items!$A:$E, 5, FALSE), IF($D857="Consumption", -$C857*VLOOKUP($B857, Items!$A:$E, 5, FALSE), "")))</f>
        <v>0</v>
      </c>
      <c r="H857">
        <f>IF($D857="Consumption", -$C857*VLOOKUP($B857, Items!$A:$E, 5, FALSE), 0)</f>
        <v>0</v>
      </c>
    </row>
    <row r="858" spans="7:8">
      <c r="G858">
        <f>IF($D858="", "", IF($D858="Receipt", $C858*VLOOKUP($B858, Items!$A:$E, 5, FALSE), IF($D858="Consumption", -$C858*VLOOKUP($B858, Items!$A:$E, 5, FALSE), "")))</f>
        <v>0</v>
      </c>
      <c r="H858">
        <f>IF($D858="Consumption", -$C858*VLOOKUP($B858, Items!$A:$E, 5, FALSE), 0)</f>
        <v>0</v>
      </c>
    </row>
    <row r="859" spans="7:8">
      <c r="G859">
        <f>IF($D859="", "", IF($D859="Receipt", $C859*VLOOKUP($B859, Items!$A:$E, 5, FALSE), IF($D859="Consumption", -$C859*VLOOKUP($B859, Items!$A:$E, 5, FALSE), "")))</f>
        <v>0</v>
      </c>
      <c r="H859">
        <f>IF($D859="Consumption", -$C859*VLOOKUP($B859, Items!$A:$E, 5, FALSE), 0)</f>
        <v>0</v>
      </c>
    </row>
    <row r="860" spans="7:8">
      <c r="G860">
        <f>IF($D860="", "", IF($D860="Receipt", $C860*VLOOKUP($B860, Items!$A:$E, 5, FALSE), IF($D860="Consumption", -$C860*VLOOKUP($B860, Items!$A:$E, 5, FALSE), "")))</f>
        <v>0</v>
      </c>
      <c r="H860">
        <f>IF($D860="Consumption", -$C860*VLOOKUP($B860, Items!$A:$E, 5, FALSE), 0)</f>
        <v>0</v>
      </c>
    </row>
    <row r="861" spans="7:8">
      <c r="G861">
        <f>IF($D861="", "", IF($D861="Receipt", $C861*VLOOKUP($B861, Items!$A:$E, 5, FALSE), IF($D861="Consumption", -$C861*VLOOKUP($B861, Items!$A:$E, 5, FALSE), "")))</f>
        <v>0</v>
      </c>
      <c r="H861">
        <f>IF($D861="Consumption", -$C861*VLOOKUP($B861, Items!$A:$E, 5, FALSE), 0)</f>
        <v>0</v>
      </c>
    </row>
    <row r="862" spans="7:8">
      <c r="G862">
        <f>IF($D862="", "", IF($D862="Receipt", $C862*VLOOKUP($B862, Items!$A:$E, 5, FALSE), IF($D862="Consumption", -$C862*VLOOKUP($B862, Items!$A:$E, 5, FALSE), "")))</f>
        <v>0</v>
      </c>
      <c r="H862">
        <f>IF($D862="Consumption", -$C862*VLOOKUP($B862, Items!$A:$E, 5, FALSE), 0)</f>
        <v>0</v>
      </c>
    </row>
    <row r="863" spans="7:8">
      <c r="G863">
        <f>IF($D863="", "", IF($D863="Receipt", $C863*VLOOKUP($B863, Items!$A:$E, 5, FALSE), IF($D863="Consumption", -$C863*VLOOKUP($B863, Items!$A:$E, 5, FALSE), "")))</f>
        <v>0</v>
      </c>
      <c r="H863">
        <f>IF($D863="Consumption", -$C863*VLOOKUP($B863, Items!$A:$E, 5, FALSE), 0)</f>
        <v>0</v>
      </c>
    </row>
    <row r="864" spans="7:8">
      <c r="G864">
        <f>IF($D864="", "", IF($D864="Receipt", $C864*VLOOKUP($B864, Items!$A:$E, 5, FALSE), IF($D864="Consumption", -$C864*VLOOKUP($B864, Items!$A:$E, 5, FALSE), "")))</f>
        <v>0</v>
      </c>
      <c r="H864">
        <f>IF($D864="Consumption", -$C864*VLOOKUP($B864, Items!$A:$E, 5, FALSE), 0)</f>
        <v>0</v>
      </c>
    </row>
    <row r="865" spans="7:8">
      <c r="G865">
        <f>IF($D865="", "", IF($D865="Receipt", $C865*VLOOKUP($B865, Items!$A:$E, 5, FALSE), IF($D865="Consumption", -$C865*VLOOKUP($B865, Items!$A:$E, 5, FALSE), "")))</f>
        <v>0</v>
      </c>
      <c r="H865">
        <f>IF($D865="Consumption", -$C865*VLOOKUP($B865, Items!$A:$E, 5, FALSE), 0)</f>
        <v>0</v>
      </c>
    </row>
    <row r="866" spans="7:8">
      <c r="G866">
        <f>IF($D866="", "", IF($D866="Receipt", $C866*VLOOKUP($B866, Items!$A:$E, 5, FALSE), IF($D866="Consumption", -$C866*VLOOKUP($B866, Items!$A:$E, 5, FALSE), "")))</f>
        <v>0</v>
      </c>
      <c r="H866">
        <f>IF($D866="Consumption", -$C866*VLOOKUP($B866, Items!$A:$E, 5, FALSE), 0)</f>
        <v>0</v>
      </c>
    </row>
    <row r="867" spans="7:8">
      <c r="G867">
        <f>IF($D867="", "", IF($D867="Receipt", $C867*VLOOKUP($B867, Items!$A:$E, 5, FALSE), IF($D867="Consumption", -$C867*VLOOKUP($B867, Items!$A:$E, 5, FALSE), "")))</f>
        <v>0</v>
      </c>
      <c r="H867">
        <f>IF($D867="Consumption", -$C867*VLOOKUP($B867, Items!$A:$E, 5, FALSE), 0)</f>
        <v>0</v>
      </c>
    </row>
    <row r="868" spans="7:8">
      <c r="G868">
        <f>IF($D868="", "", IF($D868="Receipt", $C868*VLOOKUP($B868, Items!$A:$E, 5, FALSE), IF($D868="Consumption", -$C868*VLOOKUP($B868, Items!$A:$E, 5, FALSE), "")))</f>
        <v>0</v>
      </c>
      <c r="H868">
        <f>IF($D868="Consumption", -$C868*VLOOKUP($B868, Items!$A:$E, 5, FALSE), 0)</f>
        <v>0</v>
      </c>
    </row>
    <row r="869" spans="7:8">
      <c r="G869">
        <f>IF($D869="", "", IF($D869="Receipt", $C869*VLOOKUP($B869, Items!$A:$E, 5, FALSE), IF($D869="Consumption", -$C869*VLOOKUP($B869, Items!$A:$E, 5, FALSE), "")))</f>
        <v>0</v>
      </c>
      <c r="H869">
        <f>IF($D869="Consumption", -$C869*VLOOKUP($B869, Items!$A:$E, 5, FALSE), 0)</f>
        <v>0</v>
      </c>
    </row>
    <row r="870" spans="7:8">
      <c r="G870">
        <f>IF($D870="", "", IF($D870="Receipt", $C870*VLOOKUP($B870, Items!$A:$E, 5, FALSE), IF($D870="Consumption", -$C870*VLOOKUP($B870, Items!$A:$E, 5, FALSE), "")))</f>
        <v>0</v>
      </c>
      <c r="H870">
        <f>IF($D870="Consumption", -$C870*VLOOKUP($B870, Items!$A:$E, 5, FALSE), 0)</f>
        <v>0</v>
      </c>
    </row>
    <row r="871" spans="7:8">
      <c r="G871">
        <f>IF($D871="", "", IF($D871="Receipt", $C871*VLOOKUP($B871, Items!$A:$E, 5, FALSE), IF($D871="Consumption", -$C871*VLOOKUP($B871, Items!$A:$E, 5, FALSE), "")))</f>
        <v>0</v>
      </c>
      <c r="H871">
        <f>IF($D871="Consumption", -$C871*VLOOKUP($B871, Items!$A:$E, 5, FALSE), 0)</f>
        <v>0</v>
      </c>
    </row>
    <row r="872" spans="7:8">
      <c r="G872">
        <f>IF($D872="", "", IF($D872="Receipt", $C872*VLOOKUP($B872, Items!$A:$E, 5, FALSE), IF($D872="Consumption", -$C872*VLOOKUP($B872, Items!$A:$E, 5, FALSE), "")))</f>
        <v>0</v>
      </c>
      <c r="H872">
        <f>IF($D872="Consumption", -$C872*VLOOKUP($B872, Items!$A:$E, 5, FALSE), 0)</f>
        <v>0</v>
      </c>
    </row>
    <row r="873" spans="7:8">
      <c r="G873">
        <f>IF($D873="", "", IF($D873="Receipt", $C873*VLOOKUP($B873, Items!$A:$E, 5, FALSE), IF($D873="Consumption", -$C873*VLOOKUP($B873, Items!$A:$E, 5, FALSE), "")))</f>
        <v>0</v>
      </c>
      <c r="H873">
        <f>IF($D873="Consumption", -$C873*VLOOKUP($B873, Items!$A:$E, 5, FALSE), 0)</f>
        <v>0</v>
      </c>
    </row>
    <row r="874" spans="7:8">
      <c r="G874">
        <f>IF($D874="", "", IF($D874="Receipt", $C874*VLOOKUP($B874, Items!$A:$E, 5, FALSE), IF($D874="Consumption", -$C874*VLOOKUP($B874, Items!$A:$E, 5, FALSE), "")))</f>
        <v>0</v>
      </c>
      <c r="H874">
        <f>IF($D874="Consumption", -$C874*VLOOKUP($B874, Items!$A:$E, 5, FALSE), 0)</f>
        <v>0</v>
      </c>
    </row>
    <row r="875" spans="7:8">
      <c r="G875">
        <f>IF($D875="", "", IF($D875="Receipt", $C875*VLOOKUP($B875, Items!$A:$E, 5, FALSE), IF($D875="Consumption", -$C875*VLOOKUP($B875, Items!$A:$E, 5, FALSE), "")))</f>
        <v>0</v>
      </c>
      <c r="H875">
        <f>IF($D875="Consumption", -$C875*VLOOKUP($B875, Items!$A:$E, 5, FALSE), 0)</f>
        <v>0</v>
      </c>
    </row>
    <row r="876" spans="7:8">
      <c r="G876">
        <f>IF($D876="", "", IF($D876="Receipt", $C876*VLOOKUP($B876, Items!$A:$E, 5, FALSE), IF($D876="Consumption", -$C876*VLOOKUP($B876, Items!$A:$E, 5, FALSE), "")))</f>
        <v>0</v>
      </c>
      <c r="H876">
        <f>IF($D876="Consumption", -$C876*VLOOKUP($B876, Items!$A:$E, 5, FALSE), 0)</f>
        <v>0</v>
      </c>
    </row>
    <row r="877" spans="7:8">
      <c r="G877">
        <f>IF($D877="", "", IF($D877="Receipt", $C877*VLOOKUP($B877, Items!$A:$E, 5, FALSE), IF($D877="Consumption", -$C877*VLOOKUP($B877, Items!$A:$E, 5, FALSE), "")))</f>
        <v>0</v>
      </c>
      <c r="H877">
        <f>IF($D877="Consumption", -$C877*VLOOKUP($B877, Items!$A:$E, 5, FALSE), 0)</f>
        <v>0</v>
      </c>
    </row>
    <row r="878" spans="7:8">
      <c r="G878">
        <f>IF($D878="", "", IF($D878="Receipt", $C878*VLOOKUP($B878, Items!$A:$E, 5, FALSE), IF($D878="Consumption", -$C878*VLOOKUP($B878, Items!$A:$E, 5, FALSE), "")))</f>
        <v>0</v>
      </c>
      <c r="H878">
        <f>IF($D878="Consumption", -$C878*VLOOKUP($B878, Items!$A:$E, 5, FALSE), 0)</f>
        <v>0</v>
      </c>
    </row>
    <row r="879" spans="7:8">
      <c r="G879">
        <f>IF($D879="", "", IF($D879="Receipt", $C879*VLOOKUP($B879, Items!$A:$E, 5, FALSE), IF($D879="Consumption", -$C879*VLOOKUP($B879, Items!$A:$E, 5, FALSE), "")))</f>
        <v>0</v>
      </c>
      <c r="H879">
        <f>IF($D879="Consumption", -$C879*VLOOKUP($B879, Items!$A:$E, 5, FALSE), 0)</f>
        <v>0</v>
      </c>
    </row>
    <row r="880" spans="7:8">
      <c r="G880">
        <f>IF($D880="", "", IF($D880="Receipt", $C880*VLOOKUP($B880, Items!$A:$E, 5, FALSE), IF($D880="Consumption", -$C880*VLOOKUP($B880, Items!$A:$E, 5, FALSE), "")))</f>
        <v>0</v>
      </c>
      <c r="H880">
        <f>IF($D880="Consumption", -$C880*VLOOKUP($B880, Items!$A:$E, 5, FALSE), 0)</f>
        <v>0</v>
      </c>
    </row>
    <row r="881" spans="7:8">
      <c r="G881">
        <f>IF($D881="", "", IF($D881="Receipt", $C881*VLOOKUP($B881, Items!$A:$E, 5, FALSE), IF($D881="Consumption", -$C881*VLOOKUP($B881, Items!$A:$E, 5, FALSE), "")))</f>
        <v>0</v>
      </c>
      <c r="H881">
        <f>IF($D881="Consumption", -$C881*VLOOKUP($B881, Items!$A:$E, 5, FALSE), 0)</f>
        <v>0</v>
      </c>
    </row>
    <row r="882" spans="7:8">
      <c r="G882">
        <f>IF($D882="", "", IF($D882="Receipt", $C882*VLOOKUP($B882, Items!$A:$E, 5, FALSE), IF($D882="Consumption", -$C882*VLOOKUP($B882, Items!$A:$E, 5, FALSE), "")))</f>
        <v>0</v>
      </c>
      <c r="H882">
        <f>IF($D882="Consumption", -$C882*VLOOKUP($B882, Items!$A:$E, 5, FALSE), 0)</f>
        <v>0</v>
      </c>
    </row>
    <row r="883" spans="7:8">
      <c r="G883">
        <f>IF($D883="", "", IF($D883="Receipt", $C883*VLOOKUP($B883, Items!$A:$E, 5, FALSE), IF($D883="Consumption", -$C883*VLOOKUP($B883, Items!$A:$E, 5, FALSE), "")))</f>
        <v>0</v>
      </c>
      <c r="H883">
        <f>IF($D883="Consumption", -$C883*VLOOKUP($B883, Items!$A:$E, 5, FALSE), 0)</f>
        <v>0</v>
      </c>
    </row>
    <row r="884" spans="7:8">
      <c r="G884">
        <f>IF($D884="", "", IF($D884="Receipt", $C884*VLOOKUP($B884, Items!$A:$E, 5, FALSE), IF($D884="Consumption", -$C884*VLOOKUP($B884, Items!$A:$E, 5, FALSE), "")))</f>
        <v>0</v>
      </c>
      <c r="H884">
        <f>IF($D884="Consumption", -$C884*VLOOKUP($B884, Items!$A:$E, 5, FALSE), 0)</f>
        <v>0</v>
      </c>
    </row>
    <row r="885" spans="7:8">
      <c r="G885">
        <f>IF($D885="", "", IF($D885="Receipt", $C885*VLOOKUP($B885, Items!$A:$E, 5, FALSE), IF($D885="Consumption", -$C885*VLOOKUP($B885, Items!$A:$E, 5, FALSE), "")))</f>
        <v>0</v>
      </c>
      <c r="H885">
        <f>IF($D885="Consumption", -$C885*VLOOKUP($B885, Items!$A:$E, 5, FALSE), 0)</f>
        <v>0</v>
      </c>
    </row>
    <row r="886" spans="7:8">
      <c r="G886">
        <f>IF($D886="", "", IF($D886="Receipt", $C886*VLOOKUP($B886, Items!$A:$E, 5, FALSE), IF($D886="Consumption", -$C886*VLOOKUP($B886, Items!$A:$E, 5, FALSE), "")))</f>
        <v>0</v>
      </c>
      <c r="H886">
        <f>IF($D886="Consumption", -$C886*VLOOKUP($B886, Items!$A:$E, 5, FALSE), 0)</f>
        <v>0</v>
      </c>
    </row>
    <row r="887" spans="7:8">
      <c r="G887">
        <f>IF($D887="", "", IF($D887="Receipt", $C887*VLOOKUP($B887, Items!$A:$E, 5, FALSE), IF($D887="Consumption", -$C887*VLOOKUP($B887, Items!$A:$E, 5, FALSE), "")))</f>
        <v>0</v>
      </c>
      <c r="H887">
        <f>IF($D887="Consumption", -$C887*VLOOKUP($B887, Items!$A:$E, 5, FALSE), 0)</f>
        <v>0</v>
      </c>
    </row>
    <row r="888" spans="7:8">
      <c r="G888">
        <f>IF($D888="", "", IF($D888="Receipt", $C888*VLOOKUP($B888, Items!$A:$E, 5, FALSE), IF($D888="Consumption", -$C888*VLOOKUP($B888, Items!$A:$E, 5, FALSE), "")))</f>
        <v>0</v>
      </c>
      <c r="H888">
        <f>IF($D888="Consumption", -$C888*VLOOKUP($B888, Items!$A:$E, 5, FALSE), 0)</f>
        <v>0</v>
      </c>
    </row>
    <row r="889" spans="7:8">
      <c r="G889">
        <f>IF($D889="", "", IF($D889="Receipt", $C889*VLOOKUP($B889, Items!$A:$E, 5, FALSE), IF($D889="Consumption", -$C889*VLOOKUP($B889, Items!$A:$E, 5, FALSE), "")))</f>
        <v>0</v>
      </c>
      <c r="H889">
        <f>IF($D889="Consumption", -$C889*VLOOKUP($B889, Items!$A:$E, 5, FALSE), 0)</f>
        <v>0</v>
      </c>
    </row>
    <row r="890" spans="7:8">
      <c r="G890">
        <f>IF($D890="", "", IF($D890="Receipt", $C890*VLOOKUP($B890, Items!$A:$E, 5, FALSE), IF($D890="Consumption", -$C890*VLOOKUP($B890, Items!$A:$E, 5, FALSE), "")))</f>
        <v>0</v>
      </c>
      <c r="H890">
        <f>IF($D890="Consumption", -$C890*VLOOKUP($B890, Items!$A:$E, 5, FALSE), 0)</f>
        <v>0</v>
      </c>
    </row>
    <row r="891" spans="7:8">
      <c r="G891">
        <f>IF($D891="", "", IF($D891="Receipt", $C891*VLOOKUP($B891, Items!$A:$E, 5, FALSE), IF($D891="Consumption", -$C891*VLOOKUP($B891, Items!$A:$E, 5, FALSE), "")))</f>
        <v>0</v>
      </c>
      <c r="H891">
        <f>IF($D891="Consumption", -$C891*VLOOKUP($B891, Items!$A:$E, 5, FALSE), 0)</f>
        <v>0</v>
      </c>
    </row>
    <row r="892" spans="7:8">
      <c r="G892">
        <f>IF($D892="", "", IF($D892="Receipt", $C892*VLOOKUP($B892, Items!$A:$E, 5, FALSE), IF($D892="Consumption", -$C892*VLOOKUP($B892, Items!$A:$E, 5, FALSE), "")))</f>
        <v>0</v>
      </c>
      <c r="H892">
        <f>IF($D892="Consumption", -$C892*VLOOKUP($B892, Items!$A:$E, 5, FALSE), 0)</f>
        <v>0</v>
      </c>
    </row>
    <row r="893" spans="7:8">
      <c r="G893">
        <f>IF($D893="", "", IF($D893="Receipt", $C893*VLOOKUP($B893, Items!$A:$E, 5, FALSE), IF($D893="Consumption", -$C893*VLOOKUP($B893, Items!$A:$E, 5, FALSE), "")))</f>
        <v>0</v>
      </c>
      <c r="H893">
        <f>IF($D893="Consumption", -$C893*VLOOKUP($B893, Items!$A:$E, 5, FALSE), 0)</f>
        <v>0</v>
      </c>
    </row>
    <row r="894" spans="7:8">
      <c r="G894">
        <f>IF($D894="", "", IF($D894="Receipt", $C894*VLOOKUP($B894, Items!$A:$E, 5, FALSE), IF($D894="Consumption", -$C894*VLOOKUP($B894, Items!$A:$E, 5, FALSE), "")))</f>
        <v>0</v>
      </c>
      <c r="H894">
        <f>IF($D894="Consumption", -$C894*VLOOKUP($B894, Items!$A:$E, 5, FALSE), 0)</f>
        <v>0</v>
      </c>
    </row>
    <row r="895" spans="7:8">
      <c r="G895">
        <f>IF($D895="", "", IF($D895="Receipt", $C895*VLOOKUP($B895, Items!$A:$E, 5, FALSE), IF($D895="Consumption", -$C895*VLOOKUP($B895, Items!$A:$E, 5, FALSE), "")))</f>
        <v>0</v>
      </c>
      <c r="H895">
        <f>IF($D895="Consumption", -$C895*VLOOKUP($B895, Items!$A:$E, 5, FALSE), 0)</f>
        <v>0</v>
      </c>
    </row>
    <row r="896" spans="7:8">
      <c r="G896">
        <f>IF($D896="", "", IF($D896="Receipt", $C896*VLOOKUP($B896, Items!$A:$E, 5, FALSE), IF($D896="Consumption", -$C896*VLOOKUP($B896, Items!$A:$E, 5, FALSE), "")))</f>
        <v>0</v>
      </c>
      <c r="H896">
        <f>IF($D896="Consumption", -$C896*VLOOKUP($B896, Items!$A:$E, 5, FALSE), 0)</f>
        <v>0</v>
      </c>
    </row>
    <row r="897" spans="7:8">
      <c r="G897">
        <f>IF($D897="", "", IF($D897="Receipt", $C897*VLOOKUP($B897, Items!$A:$E, 5, FALSE), IF($D897="Consumption", -$C897*VLOOKUP($B897, Items!$A:$E, 5, FALSE), "")))</f>
        <v>0</v>
      </c>
      <c r="H897">
        <f>IF($D897="Consumption", -$C897*VLOOKUP($B897, Items!$A:$E, 5, FALSE), 0)</f>
        <v>0</v>
      </c>
    </row>
    <row r="898" spans="7:8">
      <c r="G898">
        <f>IF($D898="", "", IF($D898="Receipt", $C898*VLOOKUP($B898, Items!$A:$E, 5, FALSE), IF($D898="Consumption", -$C898*VLOOKUP($B898, Items!$A:$E, 5, FALSE), "")))</f>
        <v>0</v>
      </c>
      <c r="H898">
        <f>IF($D898="Consumption", -$C898*VLOOKUP($B898, Items!$A:$E, 5, FALSE), 0)</f>
        <v>0</v>
      </c>
    </row>
    <row r="899" spans="7:8">
      <c r="G899">
        <f>IF($D899="", "", IF($D899="Receipt", $C899*VLOOKUP($B899, Items!$A:$E, 5, FALSE), IF($D899="Consumption", -$C899*VLOOKUP($B899, Items!$A:$E, 5, FALSE), "")))</f>
        <v>0</v>
      </c>
      <c r="H899">
        <f>IF($D899="Consumption", -$C899*VLOOKUP($B899, Items!$A:$E, 5, FALSE), 0)</f>
        <v>0</v>
      </c>
    </row>
    <row r="900" spans="7:8">
      <c r="G900">
        <f>IF($D900="", "", IF($D900="Receipt", $C900*VLOOKUP($B900, Items!$A:$E, 5, FALSE), IF($D900="Consumption", -$C900*VLOOKUP($B900, Items!$A:$E, 5, FALSE), "")))</f>
        <v>0</v>
      </c>
      <c r="H900">
        <f>IF($D900="Consumption", -$C900*VLOOKUP($B900, Items!$A:$E, 5, FALSE), 0)</f>
        <v>0</v>
      </c>
    </row>
    <row r="901" spans="7:8">
      <c r="G901">
        <f>IF($D901="", "", IF($D901="Receipt", $C901*VLOOKUP($B901, Items!$A:$E, 5, FALSE), IF($D901="Consumption", -$C901*VLOOKUP($B901, Items!$A:$E, 5, FALSE), "")))</f>
        <v>0</v>
      </c>
      <c r="H901">
        <f>IF($D901="Consumption", -$C901*VLOOKUP($B901, Items!$A:$E, 5, FALSE), 0)</f>
        <v>0</v>
      </c>
    </row>
    <row r="902" spans="7:8">
      <c r="G902">
        <f>IF($D902="", "", IF($D902="Receipt", $C902*VLOOKUP($B902, Items!$A:$E, 5, FALSE), IF($D902="Consumption", -$C902*VLOOKUP($B902, Items!$A:$E, 5, FALSE), "")))</f>
        <v>0</v>
      </c>
      <c r="H902">
        <f>IF($D902="Consumption", -$C902*VLOOKUP($B902, Items!$A:$E, 5, FALSE), 0)</f>
        <v>0</v>
      </c>
    </row>
    <row r="903" spans="7:8">
      <c r="G903">
        <f>IF($D903="", "", IF($D903="Receipt", $C903*VLOOKUP($B903, Items!$A:$E, 5, FALSE), IF($D903="Consumption", -$C903*VLOOKUP($B903, Items!$A:$E, 5, FALSE), "")))</f>
        <v>0</v>
      </c>
      <c r="H903">
        <f>IF($D903="Consumption", -$C903*VLOOKUP($B903, Items!$A:$E, 5, FALSE), 0)</f>
        <v>0</v>
      </c>
    </row>
    <row r="904" spans="7:8">
      <c r="G904">
        <f>IF($D904="", "", IF($D904="Receipt", $C904*VLOOKUP($B904, Items!$A:$E, 5, FALSE), IF($D904="Consumption", -$C904*VLOOKUP($B904, Items!$A:$E, 5, FALSE), "")))</f>
        <v>0</v>
      </c>
      <c r="H904">
        <f>IF($D904="Consumption", -$C904*VLOOKUP($B904, Items!$A:$E, 5, FALSE), 0)</f>
        <v>0</v>
      </c>
    </row>
    <row r="905" spans="7:8">
      <c r="G905">
        <f>IF($D905="", "", IF($D905="Receipt", $C905*VLOOKUP($B905, Items!$A:$E, 5, FALSE), IF($D905="Consumption", -$C905*VLOOKUP($B905, Items!$A:$E, 5, FALSE), "")))</f>
        <v>0</v>
      </c>
      <c r="H905">
        <f>IF($D905="Consumption", -$C905*VLOOKUP($B905, Items!$A:$E, 5, FALSE), 0)</f>
        <v>0</v>
      </c>
    </row>
    <row r="906" spans="7:8">
      <c r="G906">
        <f>IF($D906="", "", IF($D906="Receipt", $C906*VLOOKUP($B906, Items!$A:$E, 5, FALSE), IF($D906="Consumption", -$C906*VLOOKUP($B906, Items!$A:$E, 5, FALSE), "")))</f>
        <v>0</v>
      </c>
      <c r="H906">
        <f>IF($D906="Consumption", -$C906*VLOOKUP($B906, Items!$A:$E, 5, FALSE), 0)</f>
        <v>0</v>
      </c>
    </row>
    <row r="907" spans="7:8">
      <c r="G907">
        <f>IF($D907="", "", IF($D907="Receipt", $C907*VLOOKUP($B907, Items!$A:$E, 5, FALSE), IF($D907="Consumption", -$C907*VLOOKUP($B907, Items!$A:$E, 5, FALSE), "")))</f>
        <v>0</v>
      </c>
      <c r="H907">
        <f>IF($D907="Consumption", -$C907*VLOOKUP($B907, Items!$A:$E, 5, FALSE), 0)</f>
        <v>0</v>
      </c>
    </row>
    <row r="908" spans="7:8">
      <c r="G908">
        <f>IF($D908="", "", IF($D908="Receipt", $C908*VLOOKUP($B908, Items!$A:$E, 5, FALSE), IF($D908="Consumption", -$C908*VLOOKUP($B908, Items!$A:$E, 5, FALSE), "")))</f>
        <v>0</v>
      </c>
      <c r="H908">
        <f>IF($D908="Consumption", -$C908*VLOOKUP($B908, Items!$A:$E, 5, FALSE), 0)</f>
        <v>0</v>
      </c>
    </row>
    <row r="909" spans="7:8">
      <c r="G909">
        <f>IF($D909="", "", IF($D909="Receipt", $C909*VLOOKUP($B909, Items!$A:$E, 5, FALSE), IF($D909="Consumption", -$C909*VLOOKUP($B909, Items!$A:$E, 5, FALSE), "")))</f>
        <v>0</v>
      </c>
      <c r="H909">
        <f>IF($D909="Consumption", -$C909*VLOOKUP($B909, Items!$A:$E, 5, FALSE), 0)</f>
        <v>0</v>
      </c>
    </row>
    <row r="910" spans="7:8">
      <c r="G910">
        <f>IF($D910="", "", IF($D910="Receipt", $C910*VLOOKUP($B910, Items!$A:$E, 5, FALSE), IF($D910="Consumption", -$C910*VLOOKUP($B910, Items!$A:$E, 5, FALSE), "")))</f>
        <v>0</v>
      </c>
      <c r="H910">
        <f>IF($D910="Consumption", -$C910*VLOOKUP($B910, Items!$A:$E, 5, FALSE), 0)</f>
        <v>0</v>
      </c>
    </row>
    <row r="911" spans="7:8">
      <c r="G911">
        <f>IF($D911="", "", IF($D911="Receipt", $C911*VLOOKUP($B911, Items!$A:$E, 5, FALSE), IF($D911="Consumption", -$C911*VLOOKUP($B911, Items!$A:$E, 5, FALSE), "")))</f>
        <v>0</v>
      </c>
      <c r="H911">
        <f>IF($D911="Consumption", -$C911*VLOOKUP($B911, Items!$A:$E, 5, FALSE), 0)</f>
        <v>0</v>
      </c>
    </row>
    <row r="912" spans="7:8">
      <c r="G912">
        <f>IF($D912="", "", IF($D912="Receipt", $C912*VLOOKUP($B912, Items!$A:$E, 5, FALSE), IF($D912="Consumption", -$C912*VLOOKUP($B912, Items!$A:$E, 5, FALSE), "")))</f>
        <v>0</v>
      </c>
      <c r="H912">
        <f>IF($D912="Consumption", -$C912*VLOOKUP($B912, Items!$A:$E, 5, FALSE), 0)</f>
        <v>0</v>
      </c>
    </row>
    <row r="913" spans="7:8">
      <c r="G913">
        <f>IF($D913="", "", IF($D913="Receipt", $C913*VLOOKUP($B913, Items!$A:$E, 5, FALSE), IF($D913="Consumption", -$C913*VLOOKUP($B913, Items!$A:$E, 5, FALSE), "")))</f>
        <v>0</v>
      </c>
      <c r="H913">
        <f>IF($D913="Consumption", -$C913*VLOOKUP($B913, Items!$A:$E, 5, FALSE), 0)</f>
        <v>0</v>
      </c>
    </row>
    <row r="914" spans="7:8">
      <c r="G914">
        <f>IF($D914="", "", IF($D914="Receipt", $C914*VLOOKUP($B914, Items!$A:$E, 5, FALSE), IF($D914="Consumption", -$C914*VLOOKUP($B914, Items!$A:$E, 5, FALSE), "")))</f>
        <v>0</v>
      </c>
      <c r="H914">
        <f>IF($D914="Consumption", -$C914*VLOOKUP($B914, Items!$A:$E, 5, FALSE), 0)</f>
        <v>0</v>
      </c>
    </row>
    <row r="915" spans="7:8">
      <c r="G915">
        <f>IF($D915="", "", IF($D915="Receipt", $C915*VLOOKUP($B915, Items!$A:$E, 5, FALSE), IF($D915="Consumption", -$C915*VLOOKUP($B915, Items!$A:$E, 5, FALSE), "")))</f>
        <v>0</v>
      </c>
      <c r="H915">
        <f>IF($D915="Consumption", -$C915*VLOOKUP($B915, Items!$A:$E, 5, FALSE), 0)</f>
        <v>0</v>
      </c>
    </row>
    <row r="916" spans="7:8">
      <c r="G916">
        <f>IF($D916="", "", IF($D916="Receipt", $C916*VLOOKUP($B916, Items!$A:$E, 5, FALSE), IF($D916="Consumption", -$C916*VLOOKUP($B916, Items!$A:$E, 5, FALSE), "")))</f>
        <v>0</v>
      </c>
      <c r="H916">
        <f>IF($D916="Consumption", -$C916*VLOOKUP($B916, Items!$A:$E, 5, FALSE), 0)</f>
        <v>0</v>
      </c>
    </row>
    <row r="917" spans="7:8">
      <c r="G917">
        <f>IF($D917="", "", IF($D917="Receipt", $C917*VLOOKUP($B917, Items!$A:$E, 5, FALSE), IF($D917="Consumption", -$C917*VLOOKUP($B917, Items!$A:$E, 5, FALSE), "")))</f>
        <v>0</v>
      </c>
      <c r="H917">
        <f>IF($D917="Consumption", -$C917*VLOOKUP($B917, Items!$A:$E, 5, FALSE), 0)</f>
        <v>0</v>
      </c>
    </row>
    <row r="918" spans="7:8">
      <c r="G918">
        <f>IF($D918="", "", IF($D918="Receipt", $C918*VLOOKUP($B918, Items!$A:$E, 5, FALSE), IF($D918="Consumption", -$C918*VLOOKUP($B918, Items!$A:$E, 5, FALSE), "")))</f>
        <v>0</v>
      </c>
      <c r="H918">
        <f>IF($D918="Consumption", -$C918*VLOOKUP($B918, Items!$A:$E, 5, FALSE), 0)</f>
        <v>0</v>
      </c>
    </row>
    <row r="919" spans="7:8">
      <c r="G919">
        <f>IF($D919="", "", IF($D919="Receipt", $C919*VLOOKUP($B919, Items!$A:$E, 5, FALSE), IF($D919="Consumption", -$C919*VLOOKUP($B919, Items!$A:$E, 5, FALSE), "")))</f>
        <v>0</v>
      </c>
      <c r="H919">
        <f>IF($D919="Consumption", -$C919*VLOOKUP($B919, Items!$A:$E, 5, FALSE), 0)</f>
        <v>0</v>
      </c>
    </row>
    <row r="920" spans="7:8">
      <c r="G920">
        <f>IF($D920="", "", IF($D920="Receipt", $C920*VLOOKUP($B920, Items!$A:$E, 5, FALSE), IF($D920="Consumption", -$C920*VLOOKUP($B920, Items!$A:$E, 5, FALSE), "")))</f>
        <v>0</v>
      </c>
      <c r="H920">
        <f>IF($D920="Consumption", -$C920*VLOOKUP($B920, Items!$A:$E, 5, FALSE), 0)</f>
        <v>0</v>
      </c>
    </row>
    <row r="921" spans="7:8">
      <c r="G921">
        <f>IF($D921="", "", IF($D921="Receipt", $C921*VLOOKUP($B921, Items!$A:$E, 5, FALSE), IF($D921="Consumption", -$C921*VLOOKUP($B921, Items!$A:$E, 5, FALSE), "")))</f>
        <v>0</v>
      </c>
      <c r="H921">
        <f>IF($D921="Consumption", -$C921*VLOOKUP($B921, Items!$A:$E, 5, FALSE), 0)</f>
        <v>0</v>
      </c>
    </row>
    <row r="922" spans="7:8">
      <c r="G922">
        <f>IF($D922="", "", IF($D922="Receipt", $C922*VLOOKUP($B922, Items!$A:$E, 5, FALSE), IF($D922="Consumption", -$C922*VLOOKUP($B922, Items!$A:$E, 5, FALSE), "")))</f>
        <v>0</v>
      </c>
      <c r="H922">
        <f>IF($D922="Consumption", -$C922*VLOOKUP($B922, Items!$A:$E, 5, FALSE), 0)</f>
        <v>0</v>
      </c>
    </row>
    <row r="923" spans="7:8">
      <c r="G923">
        <f>IF($D923="", "", IF($D923="Receipt", $C923*VLOOKUP($B923, Items!$A:$E, 5, FALSE), IF($D923="Consumption", -$C923*VLOOKUP($B923, Items!$A:$E, 5, FALSE), "")))</f>
        <v>0</v>
      </c>
      <c r="H923">
        <f>IF($D923="Consumption", -$C923*VLOOKUP($B923, Items!$A:$E, 5, FALSE), 0)</f>
        <v>0</v>
      </c>
    </row>
    <row r="924" spans="7:8">
      <c r="G924">
        <f>IF($D924="", "", IF($D924="Receipt", $C924*VLOOKUP($B924, Items!$A:$E, 5, FALSE), IF($D924="Consumption", -$C924*VLOOKUP($B924, Items!$A:$E, 5, FALSE), "")))</f>
        <v>0</v>
      </c>
      <c r="H924">
        <f>IF($D924="Consumption", -$C924*VLOOKUP($B924, Items!$A:$E, 5, FALSE), 0)</f>
        <v>0</v>
      </c>
    </row>
    <row r="925" spans="7:8">
      <c r="G925">
        <f>IF($D925="", "", IF($D925="Receipt", $C925*VLOOKUP($B925, Items!$A:$E, 5, FALSE), IF($D925="Consumption", -$C925*VLOOKUP($B925, Items!$A:$E, 5, FALSE), "")))</f>
        <v>0</v>
      </c>
      <c r="H925">
        <f>IF($D925="Consumption", -$C925*VLOOKUP($B925, Items!$A:$E, 5, FALSE), 0)</f>
        <v>0</v>
      </c>
    </row>
    <row r="926" spans="7:8">
      <c r="G926">
        <f>IF($D926="", "", IF($D926="Receipt", $C926*VLOOKUP($B926, Items!$A:$E, 5, FALSE), IF($D926="Consumption", -$C926*VLOOKUP($B926, Items!$A:$E, 5, FALSE), "")))</f>
        <v>0</v>
      </c>
      <c r="H926">
        <f>IF($D926="Consumption", -$C926*VLOOKUP($B926, Items!$A:$E, 5, FALSE), 0)</f>
        <v>0</v>
      </c>
    </row>
    <row r="927" spans="7:8">
      <c r="G927">
        <f>IF($D927="", "", IF($D927="Receipt", $C927*VLOOKUP($B927, Items!$A:$E, 5, FALSE), IF($D927="Consumption", -$C927*VLOOKUP($B927, Items!$A:$E, 5, FALSE), "")))</f>
        <v>0</v>
      </c>
      <c r="H927">
        <f>IF($D927="Consumption", -$C927*VLOOKUP($B927, Items!$A:$E, 5, FALSE), 0)</f>
        <v>0</v>
      </c>
    </row>
    <row r="928" spans="7:8">
      <c r="G928">
        <f>IF($D928="", "", IF($D928="Receipt", $C928*VLOOKUP($B928, Items!$A:$E, 5, FALSE), IF($D928="Consumption", -$C928*VLOOKUP($B928, Items!$A:$E, 5, FALSE), "")))</f>
        <v>0</v>
      </c>
      <c r="H928">
        <f>IF($D928="Consumption", -$C928*VLOOKUP($B928, Items!$A:$E, 5, FALSE), 0)</f>
        <v>0</v>
      </c>
    </row>
    <row r="929" spans="7:8">
      <c r="G929">
        <f>IF($D929="", "", IF($D929="Receipt", $C929*VLOOKUP($B929, Items!$A:$E, 5, FALSE), IF($D929="Consumption", -$C929*VLOOKUP($B929, Items!$A:$E, 5, FALSE), "")))</f>
        <v>0</v>
      </c>
      <c r="H929">
        <f>IF($D929="Consumption", -$C929*VLOOKUP($B929, Items!$A:$E, 5, FALSE), 0)</f>
        <v>0</v>
      </c>
    </row>
    <row r="930" spans="7:8">
      <c r="G930">
        <f>IF($D930="", "", IF($D930="Receipt", $C930*VLOOKUP($B930, Items!$A:$E, 5, FALSE), IF($D930="Consumption", -$C930*VLOOKUP($B930, Items!$A:$E, 5, FALSE), "")))</f>
        <v>0</v>
      </c>
      <c r="H930">
        <f>IF($D930="Consumption", -$C930*VLOOKUP($B930, Items!$A:$E, 5, FALSE), 0)</f>
        <v>0</v>
      </c>
    </row>
    <row r="931" spans="7:8">
      <c r="G931">
        <f>IF($D931="", "", IF($D931="Receipt", $C931*VLOOKUP($B931, Items!$A:$E, 5, FALSE), IF($D931="Consumption", -$C931*VLOOKUP($B931, Items!$A:$E, 5, FALSE), "")))</f>
        <v>0</v>
      </c>
      <c r="H931">
        <f>IF($D931="Consumption", -$C931*VLOOKUP($B931, Items!$A:$E, 5, FALSE), 0)</f>
        <v>0</v>
      </c>
    </row>
    <row r="932" spans="7:8">
      <c r="G932">
        <f>IF($D932="", "", IF($D932="Receipt", $C932*VLOOKUP($B932, Items!$A:$E, 5, FALSE), IF($D932="Consumption", -$C932*VLOOKUP($B932, Items!$A:$E, 5, FALSE), "")))</f>
        <v>0</v>
      </c>
      <c r="H932">
        <f>IF($D932="Consumption", -$C932*VLOOKUP($B932, Items!$A:$E, 5, FALSE), 0)</f>
        <v>0</v>
      </c>
    </row>
    <row r="933" spans="7:8">
      <c r="G933">
        <f>IF($D933="", "", IF($D933="Receipt", $C933*VLOOKUP($B933, Items!$A:$E, 5, FALSE), IF($D933="Consumption", -$C933*VLOOKUP($B933, Items!$A:$E, 5, FALSE), "")))</f>
        <v>0</v>
      </c>
      <c r="H933">
        <f>IF($D933="Consumption", -$C933*VLOOKUP($B933, Items!$A:$E, 5, FALSE), 0)</f>
        <v>0</v>
      </c>
    </row>
    <row r="934" spans="7:8">
      <c r="G934">
        <f>IF($D934="", "", IF($D934="Receipt", $C934*VLOOKUP($B934, Items!$A:$E, 5, FALSE), IF($D934="Consumption", -$C934*VLOOKUP($B934, Items!$A:$E, 5, FALSE), "")))</f>
        <v>0</v>
      </c>
      <c r="H934">
        <f>IF($D934="Consumption", -$C934*VLOOKUP($B934, Items!$A:$E, 5, FALSE), 0)</f>
        <v>0</v>
      </c>
    </row>
    <row r="935" spans="7:8">
      <c r="G935">
        <f>IF($D935="", "", IF($D935="Receipt", $C935*VLOOKUP($B935, Items!$A:$E, 5, FALSE), IF($D935="Consumption", -$C935*VLOOKUP($B935, Items!$A:$E, 5, FALSE), "")))</f>
        <v>0</v>
      </c>
      <c r="H935">
        <f>IF($D935="Consumption", -$C935*VLOOKUP($B935, Items!$A:$E, 5, FALSE), 0)</f>
        <v>0</v>
      </c>
    </row>
    <row r="936" spans="7:8">
      <c r="G936">
        <f>IF($D936="", "", IF($D936="Receipt", $C936*VLOOKUP($B936, Items!$A:$E, 5, FALSE), IF($D936="Consumption", -$C936*VLOOKUP($B936, Items!$A:$E, 5, FALSE), "")))</f>
        <v>0</v>
      </c>
      <c r="H936">
        <f>IF($D936="Consumption", -$C936*VLOOKUP($B936, Items!$A:$E, 5, FALSE), 0)</f>
        <v>0</v>
      </c>
    </row>
    <row r="937" spans="7:8">
      <c r="G937">
        <f>IF($D937="", "", IF($D937="Receipt", $C937*VLOOKUP($B937, Items!$A:$E, 5, FALSE), IF($D937="Consumption", -$C937*VLOOKUP($B937, Items!$A:$E, 5, FALSE), "")))</f>
        <v>0</v>
      </c>
      <c r="H937">
        <f>IF($D937="Consumption", -$C937*VLOOKUP($B937, Items!$A:$E, 5, FALSE), 0)</f>
        <v>0</v>
      </c>
    </row>
    <row r="938" spans="7:8">
      <c r="G938">
        <f>IF($D938="", "", IF($D938="Receipt", $C938*VLOOKUP($B938, Items!$A:$E, 5, FALSE), IF($D938="Consumption", -$C938*VLOOKUP($B938, Items!$A:$E, 5, FALSE), "")))</f>
        <v>0</v>
      </c>
      <c r="H938">
        <f>IF($D938="Consumption", -$C938*VLOOKUP($B938, Items!$A:$E, 5, FALSE), 0)</f>
        <v>0</v>
      </c>
    </row>
    <row r="939" spans="7:8">
      <c r="G939">
        <f>IF($D939="", "", IF($D939="Receipt", $C939*VLOOKUP($B939, Items!$A:$E, 5, FALSE), IF($D939="Consumption", -$C939*VLOOKUP($B939, Items!$A:$E, 5, FALSE), "")))</f>
        <v>0</v>
      </c>
      <c r="H939">
        <f>IF($D939="Consumption", -$C939*VLOOKUP($B939, Items!$A:$E, 5, FALSE), 0)</f>
        <v>0</v>
      </c>
    </row>
    <row r="940" spans="7:8">
      <c r="G940">
        <f>IF($D940="", "", IF($D940="Receipt", $C940*VLOOKUP($B940, Items!$A:$E, 5, FALSE), IF($D940="Consumption", -$C940*VLOOKUP($B940, Items!$A:$E, 5, FALSE), "")))</f>
        <v>0</v>
      </c>
      <c r="H940">
        <f>IF($D940="Consumption", -$C940*VLOOKUP($B940, Items!$A:$E, 5, FALSE), 0)</f>
        <v>0</v>
      </c>
    </row>
    <row r="941" spans="7:8">
      <c r="G941">
        <f>IF($D941="", "", IF($D941="Receipt", $C941*VLOOKUP($B941, Items!$A:$E, 5, FALSE), IF($D941="Consumption", -$C941*VLOOKUP($B941, Items!$A:$E, 5, FALSE), "")))</f>
        <v>0</v>
      </c>
      <c r="H941">
        <f>IF($D941="Consumption", -$C941*VLOOKUP($B941, Items!$A:$E, 5, FALSE), 0)</f>
        <v>0</v>
      </c>
    </row>
    <row r="942" spans="7:8">
      <c r="G942">
        <f>IF($D942="", "", IF($D942="Receipt", $C942*VLOOKUP($B942, Items!$A:$E, 5, FALSE), IF($D942="Consumption", -$C942*VLOOKUP($B942, Items!$A:$E, 5, FALSE), "")))</f>
        <v>0</v>
      </c>
      <c r="H942">
        <f>IF($D942="Consumption", -$C942*VLOOKUP($B942, Items!$A:$E, 5, FALSE), 0)</f>
        <v>0</v>
      </c>
    </row>
    <row r="943" spans="7:8">
      <c r="G943">
        <f>IF($D943="", "", IF($D943="Receipt", $C943*VLOOKUP($B943, Items!$A:$E, 5, FALSE), IF($D943="Consumption", -$C943*VLOOKUP($B943, Items!$A:$E, 5, FALSE), "")))</f>
        <v>0</v>
      </c>
      <c r="H943">
        <f>IF($D943="Consumption", -$C943*VLOOKUP($B943, Items!$A:$E, 5, FALSE), 0)</f>
        <v>0</v>
      </c>
    </row>
    <row r="944" spans="7:8">
      <c r="G944">
        <f>IF($D944="", "", IF($D944="Receipt", $C944*VLOOKUP($B944, Items!$A:$E, 5, FALSE), IF($D944="Consumption", -$C944*VLOOKUP($B944, Items!$A:$E, 5, FALSE), "")))</f>
        <v>0</v>
      </c>
      <c r="H944">
        <f>IF($D944="Consumption", -$C944*VLOOKUP($B944, Items!$A:$E, 5, FALSE), 0)</f>
        <v>0</v>
      </c>
    </row>
    <row r="945" spans="7:8">
      <c r="G945">
        <f>IF($D945="", "", IF($D945="Receipt", $C945*VLOOKUP($B945, Items!$A:$E, 5, FALSE), IF($D945="Consumption", -$C945*VLOOKUP($B945, Items!$A:$E, 5, FALSE), "")))</f>
        <v>0</v>
      </c>
      <c r="H945">
        <f>IF($D945="Consumption", -$C945*VLOOKUP($B945, Items!$A:$E, 5, FALSE), 0)</f>
        <v>0</v>
      </c>
    </row>
    <row r="946" spans="7:8">
      <c r="G946">
        <f>IF($D946="", "", IF($D946="Receipt", $C946*VLOOKUP($B946, Items!$A:$E, 5, FALSE), IF($D946="Consumption", -$C946*VLOOKUP($B946, Items!$A:$E, 5, FALSE), "")))</f>
        <v>0</v>
      </c>
      <c r="H946">
        <f>IF($D946="Consumption", -$C946*VLOOKUP($B946, Items!$A:$E, 5, FALSE), 0)</f>
        <v>0</v>
      </c>
    </row>
    <row r="947" spans="7:8">
      <c r="G947">
        <f>IF($D947="", "", IF($D947="Receipt", $C947*VLOOKUP($B947, Items!$A:$E, 5, FALSE), IF($D947="Consumption", -$C947*VLOOKUP($B947, Items!$A:$E, 5, FALSE), "")))</f>
        <v>0</v>
      </c>
      <c r="H947">
        <f>IF($D947="Consumption", -$C947*VLOOKUP($B947, Items!$A:$E, 5, FALSE), 0)</f>
        <v>0</v>
      </c>
    </row>
    <row r="948" spans="7:8">
      <c r="G948">
        <f>IF($D948="", "", IF($D948="Receipt", $C948*VLOOKUP($B948, Items!$A:$E, 5, FALSE), IF($D948="Consumption", -$C948*VLOOKUP($B948, Items!$A:$E, 5, FALSE), "")))</f>
        <v>0</v>
      </c>
      <c r="H948">
        <f>IF($D948="Consumption", -$C948*VLOOKUP($B948, Items!$A:$E, 5, FALSE), 0)</f>
        <v>0</v>
      </c>
    </row>
    <row r="949" spans="7:8">
      <c r="G949">
        <f>IF($D949="", "", IF($D949="Receipt", $C949*VLOOKUP($B949, Items!$A:$E, 5, FALSE), IF($D949="Consumption", -$C949*VLOOKUP($B949, Items!$A:$E, 5, FALSE), "")))</f>
        <v>0</v>
      </c>
      <c r="H949">
        <f>IF($D949="Consumption", -$C949*VLOOKUP($B949, Items!$A:$E, 5, FALSE), 0)</f>
        <v>0</v>
      </c>
    </row>
    <row r="950" spans="7:8">
      <c r="G950">
        <f>IF($D950="", "", IF($D950="Receipt", $C950*VLOOKUP($B950, Items!$A:$E, 5, FALSE), IF($D950="Consumption", -$C950*VLOOKUP($B950, Items!$A:$E, 5, FALSE), "")))</f>
        <v>0</v>
      </c>
      <c r="H950">
        <f>IF($D950="Consumption", -$C950*VLOOKUP($B950, Items!$A:$E, 5, FALSE), 0)</f>
        <v>0</v>
      </c>
    </row>
    <row r="951" spans="7:8">
      <c r="G951">
        <f>IF($D951="", "", IF($D951="Receipt", $C951*VLOOKUP($B951, Items!$A:$E, 5, FALSE), IF($D951="Consumption", -$C951*VLOOKUP($B951, Items!$A:$E, 5, FALSE), "")))</f>
        <v>0</v>
      </c>
      <c r="H951">
        <f>IF($D951="Consumption", -$C951*VLOOKUP($B951, Items!$A:$E, 5, FALSE), 0)</f>
        <v>0</v>
      </c>
    </row>
    <row r="952" spans="7:8">
      <c r="G952">
        <f>IF($D952="", "", IF($D952="Receipt", $C952*VLOOKUP($B952, Items!$A:$E, 5, FALSE), IF($D952="Consumption", -$C952*VLOOKUP($B952, Items!$A:$E, 5, FALSE), "")))</f>
        <v>0</v>
      </c>
      <c r="H952">
        <f>IF($D952="Consumption", -$C952*VLOOKUP($B952, Items!$A:$E, 5, FALSE), 0)</f>
        <v>0</v>
      </c>
    </row>
    <row r="953" spans="7:8">
      <c r="G953">
        <f>IF($D953="", "", IF($D953="Receipt", $C953*VLOOKUP($B953, Items!$A:$E, 5, FALSE), IF($D953="Consumption", -$C953*VLOOKUP($B953, Items!$A:$E, 5, FALSE), "")))</f>
        <v>0</v>
      </c>
      <c r="H953">
        <f>IF($D953="Consumption", -$C953*VLOOKUP($B953, Items!$A:$E, 5, FALSE), 0)</f>
        <v>0</v>
      </c>
    </row>
    <row r="954" spans="7:8">
      <c r="G954">
        <f>IF($D954="", "", IF($D954="Receipt", $C954*VLOOKUP($B954, Items!$A:$E, 5, FALSE), IF($D954="Consumption", -$C954*VLOOKUP($B954, Items!$A:$E, 5, FALSE), "")))</f>
        <v>0</v>
      </c>
      <c r="H954">
        <f>IF($D954="Consumption", -$C954*VLOOKUP($B954, Items!$A:$E, 5, FALSE), 0)</f>
        <v>0</v>
      </c>
    </row>
    <row r="955" spans="7:8">
      <c r="G955">
        <f>IF($D955="", "", IF($D955="Receipt", $C955*VLOOKUP($B955, Items!$A:$E, 5, FALSE), IF($D955="Consumption", -$C955*VLOOKUP($B955, Items!$A:$E, 5, FALSE), "")))</f>
        <v>0</v>
      </c>
      <c r="H955">
        <f>IF($D955="Consumption", -$C955*VLOOKUP($B955, Items!$A:$E, 5, FALSE), 0)</f>
        <v>0</v>
      </c>
    </row>
    <row r="956" spans="7:8">
      <c r="G956">
        <f>IF($D956="", "", IF($D956="Receipt", $C956*VLOOKUP($B956, Items!$A:$E, 5, FALSE), IF($D956="Consumption", -$C956*VLOOKUP($B956, Items!$A:$E, 5, FALSE), "")))</f>
        <v>0</v>
      </c>
      <c r="H956">
        <f>IF($D956="Consumption", -$C956*VLOOKUP($B956, Items!$A:$E, 5, FALSE), 0)</f>
        <v>0</v>
      </c>
    </row>
    <row r="957" spans="7:8">
      <c r="G957">
        <f>IF($D957="", "", IF($D957="Receipt", $C957*VLOOKUP($B957, Items!$A:$E, 5, FALSE), IF($D957="Consumption", -$C957*VLOOKUP($B957, Items!$A:$E, 5, FALSE), "")))</f>
        <v>0</v>
      </c>
      <c r="H957">
        <f>IF($D957="Consumption", -$C957*VLOOKUP($B957, Items!$A:$E, 5, FALSE), 0)</f>
        <v>0</v>
      </c>
    </row>
    <row r="958" spans="7:8">
      <c r="G958">
        <f>IF($D958="", "", IF($D958="Receipt", $C958*VLOOKUP($B958, Items!$A:$E, 5, FALSE), IF($D958="Consumption", -$C958*VLOOKUP($B958, Items!$A:$E, 5, FALSE), "")))</f>
        <v>0</v>
      </c>
      <c r="H958">
        <f>IF($D958="Consumption", -$C958*VLOOKUP($B958, Items!$A:$E, 5, FALSE), 0)</f>
        <v>0</v>
      </c>
    </row>
    <row r="959" spans="7:8">
      <c r="G959">
        <f>IF($D959="", "", IF($D959="Receipt", $C959*VLOOKUP($B959, Items!$A:$E, 5, FALSE), IF($D959="Consumption", -$C959*VLOOKUP($B959, Items!$A:$E, 5, FALSE), "")))</f>
        <v>0</v>
      </c>
      <c r="H959">
        <f>IF($D959="Consumption", -$C959*VLOOKUP($B959, Items!$A:$E, 5, FALSE), 0)</f>
        <v>0</v>
      </c>
    </row>
    <row r="960" spans="7:8">
      <c r="G960">
        <f>IF($D960="", "", IF($D960="Receipt", $C960*VLOOKUP($B960, Items!$A:$E, 5, FALSE), IF($D960="Consumption", -$C960*VLOOKUP($B960, Items!$A:$E, 5, FALSE), "")))</f>
        <v>0</v>
      </c>
      <c r="H960">
        <f>IF($D960="Consumption", -$C960*VLOOKUP($B960, Items!$A:$E, 5, FALSE), 0)</f>
        <v>0</v>
      </c>
    </row>
    <row r="961" spans="7:8">
      <c r="G961">
        <f>IF($D961="", "", IF($D961="Receipt", $C961*VLOOKUP($B961, Items!$A:$E, 5, FALSE), IF($D961="Consumption", -$C961*VLOOKUP($B961, Items!$A:$E, 5, FALSE), "")))</f>
        <v>0</v>
      </c>
      <c r="H961">
        <f>IF($D961="Consumption", -$C961*VLOOKUP($B961, Items!$A:$E, 5, FALSE), 0)</f>
        <v>0</v>
      </c>
    </row>
    <row r="962" spans="7:8">
      <c r="G962">
        <f>IF($D962="", "", IF($D962="Receipt", $C962*VLOOKUP($B962, Items!$A:$E, 5, FALSE), IF($D962="Consumption", -$C962*VLOOKUP($B962, Items!$A:$E, 5, FALSE), "")))</f>
        <v>0</v>
      </c>
      <c r="H962">
        <f>IF($D962="Consumption", -$C962*VLOOKUP($B962, Items!$A:$E, 5, FALSE), 0)</f>
        <v>0</v>
      </c>
    </row>
    <row r="963" spans="7:8">
      <c r="G963">
        <f>IF($D963="", "", IF($D963="Receipt", $C963*VLOOKUP($B963, Items!$A:$E, 5, FALSE), IF($D963="Consumption", -$C963*VLOOKUP($B963, Items!$A:$E, 5, FALSE), "")))</f>
        <v>0</v>
      </c>
      <c r="H963">
        <f>IF($D963="Consumption", -$C963*VLOOKUP($B963, Items!$A:$E, 5, FALSE), 0)</f>
        <v>0</v>
      </c>
    </row>
    <row r="964" spans="7:8">
      <c r="G964">
        <f>IF($D964="", "", IF($D964="Receipt", $C964*VLOOKUP($B964, Items!$A:$E, 5, FALSE), IF($D964="Consumption", -$C964*VLOOKUP($B964, Items!$A:$E, 5, FALSE), "")))</f>
        <v>0</v>
      </c>
      <c r="H964">
        <f>IF($D964="Consumption", -$C964*VLOOKUP($B964, Items!$A:$E, 5, FALSE), 0)</f>
        <v>0</v>
      </c>
    </row>
    <row r="965" spans="7:8">
      <c r="G965">
        <f>IF($D965="", "", IF($D965="Receipt", $C965*VLOOKUP($B965, Items!$A:$E, 5, FALSE), IF($D965="Consumption", -$C965*VLOOKUP($B965, Items!$A:$E, 5, FALSE), "")))</f>
        <v>0</v>
      </c>
      <c r="H965">
        <f>IF($D965="Consumption", -$C965*VLOOKUP($B965, Items!$A:$E, 5, FALSE), 0)</f>
        <v>0</v>
      </c>
    </row>
    <row r="966" spans="7:8">
      <c r="G966">
        <f>IF($D966="", "", IF($D966="Receipt", $C966*VLOOKUP($B966, Items!$A:$E, 5, FALSE), IF($D966="Consumption", -$C966*VLOOKUP($B966, Items!$A:$E, 5, FALSE), "")))</f>
        <v>0</v>
      </c>
      <c r="H966">
        <f>IF($D966="Consumption", -$C966*VLOOKUP($B966, Items!$A:$E, 5, FALSE), 0)</f>
        <v>0</v>
      </c>
    </row>
    <row r="967" spans="7:8">
      <c r="G967">
        <f>IF($D967="", "", IF($D967="Receipt", $C967*VLOOKUP($B967, Items!$A:$E, 5, FALSE), IF($D967="Consumption", -$C967*VLOOKUP($B967, Items!$A:$E, 5, FALSE), "")))</f>
        <v>0</v>
      </c>
      <c r="H967">
        <f>IF($D967="Consumption", -$C967*VLOOKUP($B967, Items!$A:$E, 5, FALSE), 0)</f>
        <v>0</v>
      </c>
    </row>
    <row r="968" spans="7:8">
      <c r="G968">
        <f>IF($D968="", "", IF($D968="Receipt", $C968*VLOOKUP($B968, Items!$A:$E, 5, FALSE), IF($D968="Consumption", -$C968*VLOOKUP($B968, Items!$A:$E, 5, FALSE), "")))</f>
        <v>0</v>
      </c>
      <c r="H968">
        <f>IF($D968="Consumption", -$C968*VLOOKUP($B968, Items!$A:$E, 5, FALSE), 0)</f>
        <v>0</v>
      </c>
    </row>
    <row r="969" spans="7:8">
      <c r="G969">
        <f>IF($D969="", "", IF($D969="Receipt", $C969*VLOOKUP($B969, Items!$A:$E, 5, FALSE), IF($D969="Consumption", -$C969*VLOOKUP($B969, Items!$A:$E, 5, FALSE), "")))</f>
        <v>0</v>
      </c>
      <c r="H969">
        <f>IF($D969="Consumption", -$C969*VLOOKUP($B969, Items!$A:$E, 5, FALSE), 0)</f>
        <v>0</v>
      </c>
    </row>
    <row r="970" spans="7:8">
      <c r="G970">
        <f>IF($D970="", "", IF($D970="Receipt", $C970*VLOOKUP($B970, Items!$A:$E, 5, FALSE), IF($D970="Consumption", -$C970*VLOOKUP($B970, Items!$A:$E, 5, FALSE), "")))</f>
        <v>0</v>
      </c>
      <c r="H970">
        <f>IF($D970="Consumption", -$C970*VLOOKUP($B970, Items!$A:$E, 5, FALSE), 0)</f>
        <v>0</v>
      </c>
    </row>
    <row r="971" spans="7:8">
      <c r="G971">
        <f>IF($D971="", "", IF($D971="Receipt", $C971*VLOOKUP($B971, Items!$A:$E, 5, FALSE), IF($D971="Consumption", -$C971*VLOOKUP($B971, Items!$A:$E, 5, FALSE), "")))</f>
        <v>0</v>
      </c>
      <c r="H971">
        <f>IF($D971="Consumption", -$C971*VLOOKUP($B971, Items!$A:$E, 5, FALSE), 0)</f>
        <v>0</v>
      </c>
    </row>
    <row r="972" spans="7:8">
      <c r="G972">
        <f>IF($D972="", "", IF($D972="Receipt", $C972*VLOOKUP($B972, Items!$A:$E, 5, FALSE), IF($D972="Consumption", -$C972*VLOOKUP($B972, Items!$A:$E, 5, FALSE), "")))</f>
        <v>0</v>
      </c>
      <c r="H972">
        <f>IF($D972="Consumption", -$C972*VLOOKUP($B972, Items!$A:$E, 5, FALSE), 0)</f>
        <v>0</v>
      </c>
    </row>
    <row r="973" spans="7:8">
      <c r="G973">
        <f>IF($D973="", "", IF($D973="Receipt", $C973*VLOOKUP($B973, Items!$A:$E, 5, FALSE), IF($D973="Consumption", -$C973*VLOOKUP($B973, Items!$A:$E, 5, FALSE), "")))</f>
        <v>0</v>
      </c>
      <c r="H973">
        <f>IF($D973="Consumption", -$C973*VLOOKUP($B973, Items!$A:$E, 5, FALSE), 0)</f>
        <v>0</v>
      </c>
    </row>
    <row r="974" spans="7:8">
      <c r="G974">
        <f>IF($D974="", "", IF($D974="Receipt", $C974*VLOOKUP($B974, Items!$A:$E, 5, FALSE), IF($D974="Consumption", -$C974*VLOOKUP($B974, Items!$A:$E, 5, FALSE), "")))</f>
        <v>0</v>
      </c>
      <c r="H974">
        <f>IF($D974="Consumption", -$C974*VLOOKUP($B974, Items!$A:$E, 5, FALSE), 0)</f>
        <v>0</v>
      </c>
    </row>
    <row r="975" spans="7:8">
      <c r="G975">
        <f>IF($D975="", "", IF($D975="Receipt", $C975*VLOOKUP($B975, Items!$A:$E, 5, FALSE), IF($D975="Consumption", -$C975*VLOOKUP($B975, Items!$A:$E, 5, FALSE), "")))</f>
        <v>0</v>
      </c>
      <c r="H975">
        <f>IF($D975="Consumption", -$C975*VLOOKUP($B975, Items!$A:$E, 5, FALSE), 0)</f>
        <v>0</v>
      </c>
    </row>
    <row r="976" spans="7:8">
      <c r="G976">
        <f>IF($D976="", "", IF($D976="Receipt", $C976*VLOOKUP($B976, Items!$A:$E, 5, FALSE), IF($D976="Consumption", -$C976*VLOOKUP($B976, Items!$A:$E, 5, FALSE), "")))</f>
        <v>0</v>
      </c>
      <c r="H976">
        <f>IF($D976="Consumption", -$C976*VLOOKUP($B976, Items!$A:$E, 5, FALSE), 0)</f>
        <v>0</v>
      </c>
    </row>
    <row r="977" spans="7:8">
      <c r="G977">
        <f>IF($D977="", "", IF($D977="Receipt", $C977*VLOOKUP($B977, Items!$A:$E, 5, FALSE), IF($D977="Consumption", -$C977*VLOOKUP($B977, Items!$A:$E, 5, FALSE), "")))</f>
        <v>0</v>
      </c>
      <c r="H977">
        <f>IF($D977="Consumption", -$C977*VLOOKUP($B977, Items!$A:$E, 5, FALSE), 0)</f>
        <v>0</v>
      </c>
    </row>
    <row r="978" spans="7:8">
      <c r="G978">
        <f>IF($D978="", "", IF($D978="Receipt", $C978*VLOOKUP($B978, Items!$A:$E, 5, FALSE), IF($D978="Consumption", -$C978*VLOOKUP($B978, Items!$A:$E, 5, FALSE), "")))</f>
        <v>0</v>
      </c>
      <c r="H978">
        <f>IF($D978="Consumption", -$C978*VLOOKUP($B978, Items!$A:$E, 5, FALSE), 0)</f>
        <v>0</v>
      </c>
    </row>
    <row r="979" spans="7:8">
      <c r="G979">
        <f>IF($D979="", "", IF($D979="Receipt", $C979*VLOOKUP($B979, Items!$A:$E, 5, FALSE), IF($D979="Consumption", -$C979*VLOOKUP($B979, Items!$A:$E, 5, FALSE), "")))</f>
        <v>0</v>
      </c>
      <c r="H979">
        <f>IF($D979="Consumption", -$C979*VLOOKUP($B979, Items!$A:$E, 5, FALSE), 0)</f>
        <v>0</v>
      </c>
    </row>
    <row r="980" spans="7:8">
      <c r="G980">
        <f>IF($D980="", "", IF($D980="Receipt", $C980*VLOOKUP($B980, Items!$A:$E, 5, FALSE), IF($D980="Consumption", -$C980*VLOOKUP($B980, Items!$A:$E, 5, FALSE), "")))</f>
        <v>0</v>
      </c>
      <c r="H980">
        <f>IF($D980="Consumption", -$C980*VLOOKUP($B980, Items!$A:$E, 5, FALSE), 0)</f>
        <v>0</v>
      </c>
    </row>
    <row r="981" spans="7:8">
      <c r="G981">
        <f>IF($D981="", "", IF($D981="Receipt", $C981*VLOOKUP($B981, Items!$A:$E, 5, FALSE), IF($D981="Consumption", -$C981*VLOOKUP($B981, Items!$A:$E, 5, FALSE), "")))</f>
        <v>0</v>
      </c>
      <c r="H981">
        <f>IF($D981="Consumption", -$C981*VLOOKUP($B981, Items!$A:$E, 5, FALSE), 0)</f>
        <v>0</v>
      </c>
    </row>
    <row r="982" spans="7:8">
      <c r="G982">
        <f>IF($D982="", "", IF($D982="Receipt", $C982*VLOOKUP($B982, Items!$A:$E, 5, FALSE), IF($D982="Consumption", -$C982*VLOOKUP($B982, Items!$A:$E, 5, FALSE), "")))</f>
        <v>0</v>
      </c>
      <c r="H982">
        <f>IF($D982="Consumption", -$C982*VLOOKUP($B982, Items!$A:$E, 5, FALSE), 0)</f>
        <v>0</v>
      </c>
    </row>
    <row r="983" spans="7:8">
      <c r="G983">
        <f>IF($D983="", "", IF($D983="Receipt", $C983*VLOOKUP($B983, Items!$A:$E, 5, FALSE), IF($D983="Consumption", -$C983*VLOOKUP($B983, Items!$A:$E, 5, FALSE), "")))</f>
        <v>0</v>
      </c>
      <c r="H983">
        <f>IF($D983="Consumption", -$C983*VLOOKUP($B983, Items!$A:$E, 5, FALSE), 0)</f>
        <v>0</v>
      </c>
    </row>
    <row r="984" spans="7:8">
      <c r="G984">
        <f>IF($D984="", "", IF($D984="Receipt", $C984*VLOOKUP($B984, Items!$A:$E, 5, FALSE), IF($D984="Consumption", -$C984*VLOOKUP($B984, Items!$A:$E, 5, FALSE), "")))</f>
        <v>0</v>
      </c>
      <c r="H984">
        <f>IF($D984="Consumption", -$C984*VLOOKUP($B984, Items!$A:$E, 5, FALSE), 0)</f>
        <v>0</v>
      </c>
    </row>
    <row r="985" spans="7:8">
      <c r="G985">
        <f>IF($D985="", "", IF($D985="Receipt", $C985*VLOOKUP($B985, Items!$A:$E, 5, FALSE), IF($D985="Consumption", -$C985*VLOOKUP($B985, Items!$A:$E, 5, FALSE), "")))</f>
        <v>0</v>
      </c>
      <c r="H985">
        <f>IF($D985="Consumption", -$C985*VLOOKUP($B985, Items!$A:$E, 5, FALSE), 0)</f>
        <v>0</v>
      </c>
    </row>
    <row r="986" spans="7:8">
      <c r="G986">
        <f>IF($D986="", "", IF($D986="Receipt", $C986*VLOOKUP($B986, Items!$A:$E, 5, FALSE), IF($D986="Consumption", -$C986*VLOOKUP($B986, Items!$A:$E, 5, FALSE), "")))</f>
        <v>0</v>
      </c>
      <c r="H986">
        <f>IF($D986="Consumption", -$C986*VLOOKUP($B986, Items!$A:$E, 5, FALSE), 0)</f>
        <v>0</v>
      </c>
    </row>
    <row r="987" spans="7:8">
      <c r="G987">
        <f>IF($D987="", "", IF($D987="Receipt", $C987*VLOOKUP($B987, Items!$A:$E, 5, FALSE), IF($D987="Consumption", -$C987*VLOOKUP($B987, Items!$A:$E, 5, FALSE), "")))</f>
        <v>0</v>
      </c>
      <c r="H987">
        <f>IF($D987="Consumption", -$C987*VLOOKUP($B987, Items!$A:$E, 5, FALSE), 0)</f>
        <v>0</v>
      </c>
    </row>
    <row r="988" spans="7:8">
      <c r="G988">
        <f>IF($D988="", "", IF($D988="Receipt", $C988*VLOOKUP($B988, Items!$A:$E, 5, FALSE), IF($D988="Consumption", -$C988*VLOOKUP($B988, Items!$A:$E, 5, FALSE), "")))</f>
        <v>0</v>
      </c>
      <c r="H988">
        <f>IF($D988="Consumption", -$C988*VLOOKUP($B988, Items!$A:$E, 5, FALSE), 0)</f>
        <v>0</v>
      </c>
    </row>
    <row r="989" spans="7:8">
      <c r="G989">
        <f>IF($D989="", "", IF($D989="Receipt", $C989*VLOOKUP($B989, Items!$A:$E, 5, FALSE), IF($D989="Consumption", -$C989*VLOOKUP($B989, Items!$A:$E, 5, FALSE), "")))</f>
        <v>0</v>
      </c>
      <c r="H989">
        <f>IF($D989="Consumption", -$C989*VLOOKUP($B989, Items!$A:$E, 5, FALSE), 0)</f>
        <v>0</v>
      </c>
    </row>
    <row r="990" spans="7:8">
      <c r="G990">
        <f>IF($D990="", "", IF($D990="Receipt", $C990*VLOOKUP($B990, Items!$A:$E, 5, FALSE), IF($D990="Consumption", -$C990*VLOOKUP($B990, Items!$A:$E, 5, FALSE), "")))</f>
        <v>0</v>
      </c>
      <c r="H990">
        <f>IF($D990="Consumption", -$C990*VLOOKUP($B990, Items!$A:$E, 5, FALSE), 0)</f>
        <v>0</v>
      </c>
    </row>
    <row r="991" spans="7:8">
      <c r="G991">
        <f>IF($D991="", "", IF($D991="Receipt", $C991*VLOOKUP($B991, Items!$A:$E, 5, FALSE), IF($D991="Consumption", -$C991*VLOOKUP($B991, Items!$A:$E, 5, FALSE), "")))</f>
        <v>0</v>
      </c>
      <c r="H991">
        <f>IF($D991="Consumption", -$C991*VLOOKUP($B991, Items!$A:$E, 5, FALSE), 0)</f>
        <v>0</v>
      </c>
    </row>
    <row r="992" spans="7:8">
      <c r="G992">
        <f>IF($D992="", "", IF($D992="Receipt", $C992*VLOOKUP($B992, Items!$A:$E, 5, FALSE), IF($D992="Consumption", -$C992*VLOOKUP($B992, Items!$A:$E, 5, FALSE), "")))</f>
        <v>0</v>
      </c>
      <c r="H992">
        <f>IF($D992="Consumption", -$C992*VLOOKUP($B992, Items!$A:$E, 5, FALSE), 0)</f>
        <v>0</v>
      </c>
    </row>
    <row r="993" spans="7:8">
      <c r="G993">
        <f>IF($D993="", "", IF($D993="Receipt", $C993*VLOOKUP($B993, Items!$A:$E, 5, FALSE), IF($D993="Consumption", -$C993*VLOOKUP($B993, Items!$A:$E, 5, FALSE), "")))</f>
        <v>0</v>
      </c>
      <c r="H993">
        <f>IF($D993="Consumption", -$C993*VLOOKUP($B993, Items!$A:$E, 5, FALSE), 0)</f>
        <v>0</v>
      </c>
    </row>
    <row r="994" spans="7:8">
      <c r="G994">
        <f>IF($D994="", "", IF($D994="Receipt", $C994*VLOOKUP($B994, Items!$A:$E, 5, FALSE), IF($D994="Consumption", -$C994*VLOOKUP($B994, Items!$A:$E, 5, FALSE), "")))</f>
        <v>0</v>
      </c>
      <c r="H994">
        <f>IF($D994="Consumption", -$C994*VLOOKUP($B994, Items!$A:$E, 5, FALSE), 0)</f>
        <v>0</v>
      </c>
    </row>
    <row r="995" spans="7:8">
      <c r="G995">
        <f>IF($D995="", "", IF($D995="Receipt", $C995*VLOOKUP($B995, Items!$A:$E, 5, FALSE), IF($D995="Consumption", -$C995*VLOOKUP($B995, Items!$A:$E, 5, FALSE), "")))</f>
        <v>0</v>
      </c>
      <c r="H995">
        <f>IF($D995="Consumption", -$C995*VLOOKUP($B995, Items!$A:$E, 5, FALSE), 0)</f>
        <v>0</v>
      </c>
    </row>
    <row r="996" spans="7:8">
      <c r="G996">
        <f>IF($D996="", "", IF($D996="Receipt", $C996*VLOOKUP($B996, Items!$A:$E, 5, FALSE), IF($D996="Consumption", -$C996*VLOOKUP($B996, Items!$A:$E, 5, FALSE), "")))</f>
        <v>0</v>
      </c>
      <c r="H996">
        <f>IF($D996="Consumption", -$C996*VLOOKUP($B996, Items!$A:$E, 5, FALSE), 0)</f>
        <v>0</v>
      </c>
    </row>
    <row r="997" spans="7:8">
      <c r="G997">
        <f>IF($D997="", "", IF($D997="Receipt", $C997*VLOOKUP($B997, Items!$A:$E, 5, FALSE), IF($D997="Consumption", -$C997*VLOOKUP($B997, Items!$A:$E, 5, FALSE), "")))</f>
        <v>0</v>
      </c>
      <c r="H997">
        <f>IF($D997="Consumption", -$C997*VLOOKUP($B997, Items!$A:$E, 5, FALSE), 0)</f>
        <v>0</v>
      </c>
    </row>
    <row r="998" spans="7:8">
      <c r="G998">
        <f>IF($D998="", "", IF($D998="Receipt", $C998*VLOOKUP($B998, Items!$A:$E, 5, FALSE), IF($D998="Consumption", -$C998*VLOOKUP($B998, Items!$A:$E, 5, FALSE), "")))</f>
        <v>0</v>
      </c>
      <c r="H998">
        <f>IF($D998="Consumption", -$C998*VLOOKUP($B998, Items!$A:$E, 5, FALSE), 0)</f>
        <v>0</v>
      </c>
    </row>
    <row r="999" spans="7:8">
      <c r="G999">
        <f>IF($D999="", "", IF($D999="Receipt", $C999*VLOOKUP($B999, Items!$A:$E, 5, FALSE), IF($D999="Consumption", -$C999*VLOOKUP($B999, Items!$A:$E, 5, FALSE), "")))</f>
        <v>0</v>
      </c>
      <c r="H999">
        <f>IF($D999="Consumption", -$C999*VLOOKUP($B999, Items!$A:$E, 5, FALSE), 0)</f>
        <v>0</v>
      </c>
    </row>
    <row r="1000" spans="7:8">
      <c r="G1000">
        <f>IF($D1000="", "", IF($D1000="Receipt", $C1000*VLOOKUP($B1000, Items!$A:$E, 5, FALSE), IF($D1000="Consumption", -$C1000*VLOOKUP($B1000, Items!$A:$E, 5, FALSE), "")))</f>
        <v>0</v>
      </c>
      <c r="H1000">
        <f>IF($D1000="Consumption", -$C1000*VLOOKUP($B1000, Items!$A:$E, 5, FALSE), 0)</f>
        <v>0</v>
      </c>
    </row>
    <row r="1001" spans="7:8">
      <c r="G1001">
        <f>IF($D1001="", "", IF($D1001="Receipt", $C1001*VLOOKUP($B1001, Items!$A:$E, 5, FALSE), IF($D1001="Consumption", -$C1001*VLOOKUP($B1001, Items!$A:$E, 5, FALSE), "")))</f>
        <v>0</v>
      </c>
      <c r="H1001">
        <f>IF($D1001="Consumption", -$C1001*VLOOKUP($B1001, Items!$A:$E, 5, FALSE), 0)</f>
        <v>0</v>
      </c>
    </row>
    <row r="1002" spans="7:8">
      <c r="G1002">
        <f>IF($D1002="", "", IF($D1002="Receipt", $C1002*VLOOKUP($B1002, Items!$A:$E, 5, FALSE), IF($D1002="Consumption", -$C1002*VLOOKUP($B1002, Items!$A:$E, 5, FALSE), "")))</f>
        <v>0</v>
      </c>
      <c r="H1002">
        <f>IF($D1002="Consumption", -$C1002*VLOOKUP($B1002, Items!$A:$E, 5, FALSE), 0)</f>
        <v>0</v>
      </c>
    </row>
    <row r="1003" spans="7:8">
      <c r="G1003">
        <f>IF($D1003="", "", IF($D1003="Receipt", $C1003*VLOOKUP($B1003, Items!$A:$E, 5, FALSE), IF($D1003="Consumption", -$C1003*VLOOKUP($B1003, Items!$A:$E, 5, FALSE), "")))</f>
        <v>0</v>
      </c>
      <c r="H1003">
        <f>IF($D1003="Consumption", -$C1003*VLOOKUP($B1003, Items!$A:$E, 5, FALSE), 0)</f>
        <v>0</v>
      </c>
    </row>
    <row r="1004" spans="7:8">
      <c r="G1004">
        <f>IF($D1004="", "", IF($D1004="Receipt", $C1004*VLOOKUP($B1004, Items!$A:$E, 5, FALSE), IF($D1004="Consumption", -$C1004*VLOOKUP($B1004, Items!$A:$E, 5, FALSE), "")))</f>
        <v>0</v>
      </c>
      <c r="H1004">
        <f>IF($D1004="Consumption", -$C1004*VLOOKUP($B1004, Items!$A:$E, 5, FALSE), 0)</f>
        <v>0</v>
      </c>
    </row>
    <row r="1005" spans="7:8">
      <c r="G1005">
        <f>IF($D1005="", "", IF($D1005="Receipt", $C1005*VLOOKUP($B1005, Items!$A:$E, 5, FALSE), IF($D1005="Consumption", -$C1005*VLOOKUP($B1005, Items!$A:$E, 5, FALSE), "")))</f>
        <v>0</v>
      </c>
      <c r="H1005">
        <f>IF($D1005="Consumption", -$C1005*VLOOKUP($B1005, Items!$A:$E, 5, FALSE), 0)</f>
        <v>0</v>
      </c>
    </row>
    <row r="1006" spans="7:8">
      <c r="G1006">
        <f>IF($D1006="", "", IF($D1006="Receipt", $C1006*VLOOKUP($B1006, Items!$A:$E, 5, FALSE), IF($D1006="Consumption", -$C1006*VLOOKUP($B1006, Items!$A:$E, 5, FALSE), "")))</f>
        <v>0</v>
      </c>
      <c r="H1006">
        <f>IF($D1006="Consumption", -$C1006*VLOOKUP($B1006, Items!$A:$E, 5, FALSE), 0)</f>
        <v>0</v>
      </c>
    </row>
    <row r="1007" spans="7:8">
      <c r="G1007">
        <f>IF($D1007="", "", IF($D1007="Receipt", $C1007*VLOOKUP($B1007, Items!$A:$E, 5, FALSE), IF($D1007="Consumption", -$C1007*VLOOKUP($B1007, Items!$A:$E, 5, FALSE), "")))</f>
        <v>0</v>
      </c>
      <c r="H1007">
        <f>IF($D1007="Consumption", -$C1007*VLOOKUP($B1007, Items!$A:$E, 5, FALSE), 0)</f>
        <v>0</v>
      </c>
    </row>
    <row r="1008" spans="7:8">
      <c r="G1008">
        <f>IF($D1008="", "", IF($D1008="Receipt", $C1008*VLOOKUP($B1008, Items!$A:$E, 5, FALSE), IF($D1008="Consumption", -$C1008*VLOOKUP($B1008, Items!$A:$E, 5, FALSE), "")))</f>
        <v>0</v>
      </c>
      <c r="H1008">
        <f>IF($D1008="Consumption", -$C1008*VLOOKUP($B1008, Items!$A:$E, 5, FALSE), 0)</f>
        <v>0</v>
      </c>
    </row>
    <row r="1009" spans="7:8">
      <c r="G1009">
        <f>IF($D1009="", "", IF($D1009="Receipt", $C1009*VLOOKUP($B1009, Items!$A:$E, 5, FALSE), IF($D1009="Consumption", -$C1009*VLOOKUP($B1009, Items!$A:$E, 5, FALSE), "")))</f>
        <v>0</v>
      </c>
      <c r="H1009">
        <f>IF($D1009="Consumption", -$C1009*VLOOKUP($B1009, Items!$A:$E, 5, FALSE), 0)</f>
        <v>0</v>
      </c>
    </row>
    <row r="1010" spans="7:8">
      <c r="G1010">
        <f>IF($D1010="", "", IF($D1010="Receipt", $C1010*VLOOKUP($B1010, Items!$A:$E, 5, FALSE), IF($D1010="Consumption", -$C1010*VLOOKUP($B1010, Items!$A:$E, 5, FALSE), "")))</f>
        <v>0</v>
      </c>
      <c r="H1010">
        <f>IF($D1010="Consumption", -$C1010*VLOOKUP($B1010, Items!$A:$E, 5, FALSE), 0)</f>
        <v>0</v>
      </c>
    </row>
    <row r="1011" spans="7:8">
      <c r="G1011">
        <f>IF($D1011="", "", IF($D1011="Receipt", $C1011*VLOOKUP($B1011, Items!$A:$E, 5, FALSE), IF($D1011="Consumption", -$C1011*VLOOKUP($B1011, Items!$A:$E, 5, FALSE), "")))</f>
        <v>0</v>
      </c>
      <c r="H1011">
        <f>IF($D1011="Consumption", -$C1011*VLOOKUP($B1011, Items!$A:$E, 5, FALSE), 0)</f>
        <v>0</v>
      </c>
    </row>
    <row r="1012" spans="7:8">
      <c r="G1012">
        <f>IF($D1012="", "", IF($D1012="Receipt", $C1012*VLOOKUP($B1012, Items!$A:$E, 5, FALSE), IF($D1012="Consumption", -$C1012*VLOOKUP($B1012, Items!$A:$E, 5, FALSE), "")))</f>
        <v>0</v>
      </c>
      <c r="H1012">
        <f>IF($D1012="Consumption", -$C1012*VLOOKUP($B1012, Items!$A:$E, 5, FALSE), 0)</f>
        <v>0</v>
      </c>
    </row>
    <row r="1013" spans="7:8">
      <c r="G1013">
        <f>IF($D1013="", "", IF($D1013="Receipt", $C1013*VLOOKUP($B1013, Items!$A:$E, 5, FALSE), IF($D1013="Consumption", -$C1013*VLOOKUP($B1013, Items!$A:$E, 5, FALSE), "")))</f>
        <v>0</v>
      </c>
      <c r="H1013">
        <f>IF($D1013="Consumption", -$C1013*VLOOKUP($B1013, Items!$A:$E, 5, FALSE), 0)</f>
        <v>0</v>
      </c>
    </row>
    <row r="1014" spans="7:8">
      <c r="G1014">
        <f>IF($D1014="", "", IF($D1014="Receipt", $C1014*VLOOKUP($B1014, Items!$A:$E, 5, FALSE), IF($D1014="Consumption", -$C1014*VLOOKUP($B1014, Items!$A:$E, 5, FALSE), "")))</f>
        <v>0</v>
      </c>
      <c r="H1014">
        <f>IF($D1014="Consumption", -$C1014*VLOOKUP($B1014, Items!$A:$E, 5, FALSE), 0)</f>
        <v>0</v>
      </c>
    </row>
    <row r="1015" spans="7:8">
      <c r="G1015">
        <f>IF($D1015="", "", IF($D1015="Receipt", $C1015*VLOOKUP($B1015, Items!$A:$E, 5, FALSE), IF($D1015="Consumption", -$C1015*VLOOKUP($B1015, Items!$A:$E, 5, FALSE), "")))</f>
        <v>0</v>
      </c>
      <c r="H1015">
        <f>IF($D1015="Consumption", -$C1015*VLOOKUP($B1015, Items!$A:$E, 5, FALSE), 0)</f>
        <v>0</v>
      </c>
    </row>
    <row r="1016" spans="7:8">
      <c r="G1016">
        <f>IF($D1016="", "", IF($D1016="Receipt", $C1016*VLOOKUP($B1016, Items!$A:$E, 5, FALSE), IF($D1016="Consumption", -$C1016*VLOOKUP($B1016, Items!$A:$E, 5, FALSE), "")))</f>
        <v>0</v>
      </c>
      <c r="H1016">
        <f>IF($D1016="Consumption", -$C1016*VLOOKUP($B1016, Items!$A:$E, 5, FALSE), 0)</f>
        <v>0</v>
      </c>
    </row>
    <row r="1017" spans="7:8">
      <c r="G1017">
        <f>IF($D1017="", "", IF($D1017="Receipt", $C1017*VLOOKUP($B1017, Items!$A:$E, 5, FALSE), IF($D1017="Consumption", -$C1017*VLOOKUP($B1017, Items!$A:$E, 5, FALSE), "")))</f>
        <v>0</v>
      </c>
      <c r="H1017">
        <f>IF($D1017="Consumption", -$C1017*VLOOKUP($B1017, Items!$A:$E, 5, FALSE), 0)</f>
        <v>0</v>
      </c>
    </row>
    <row r="1018" spans="7:8">
      <c r="G1018">
        <f>IF($D1018="", "", IF($D1018="Receipt", $C1018*VLOOKUP($B1018, Items!$A:$E, 5, FALSE), IF($D1018="Consumption", -$C1018*VLOOKUP($B1018, Items!$A:$E, 5, FALSE), "")))</f>
        <v>0</v>
      </c>
      <c r="H1018">
        <f>IF($D1018="Consumption", -$C1018*VLOOKUP($B1018, Items!$A:$E, 5, FALSE), 0)</f>
        <v>0</v>
      </c>
    </row>
    <row r="1019" spans="7:8">
      <c r="G1019">
        <f>IF($D1019="", "", IF($D1019="Receipt", $C1019*VLOOKUP($B1019, Items!$A:$E, 5, FALSE), IF($D1019="Consumption", -$C1019*VLOOKUP($B1019, Items!$A:$E, 5, FALSE), "")))</f>
        <v>0</v>
      </c>
      <c r="H1019">
        <f>IF($D1019="Consumption", -$C1019*VLOOKUP($B1019, Items!$A:$E, 5, FALSE), 0)</f>
        <v>0</v>
      </c>
    </row>
    <row r="1020" spans="7:8">
      <c r="G1020">
        <f>IF($D1020="", "", IF($D1020="Receipt", $C1020*VLOOKUP($B1020, Items!$A:$E, 5, FALSE), IF($D1020="Consumption", -$C1020*VLOOKUP($B1020, Items!$A:$E, 5, FALSE), "")))</f>
        <v>0</v>
      </c>
      <c r="H1020">
        <f>IF($D1020="Consumption", -$C1020*VLOOKUP($B1020, Items!$A:$E, 5, FALSE), 0)</f>
        <v>0</v>
      </c>
    </row>
    <row r="1021" spans="7:8">
      <c r="G1021">
        <f>IF($D1021="", "", IF($D1021="Receipt", $C1021*VLOOKUP($B1021, Items!$A:$E, 5, FALSE), IF($D1021="Consumption", -$C1021*VLOOKUP($B1021, Items!$A:$E, 5, FALSE), "")))</f>
        <v>0</v>
      </c>
      <c r="H1021">
        <f>IF($D1021="Consumption", -$C1021*VLOOKUP($B1021, Items!$A:$E, 5, FALSE), 0)</f>
        <v>0</v>
      </c>
    </row>
    <row r="1022" spans="7:8">
      <c r="G1022">
        <f>IF($D1022="", "", IF($D1022="Receipt", $C1022*VLOOKUP($B1022, Items!$A:$E, 5, FALSE), IF($D1022="Consumption", -$C1022*VLOOKUP($B1022, Items!$A:$E, 5, FALSE), "")))</f>
        <v>0</v>
      </c>
      <c r="H1022">
        <f>IF($D1022="Consumption", -$C1022*VLOOKUP($B1022, Items!$A:$E, 5, FALSE), 0)</f>
        <v>0</v>
      </c>
    </row>
    <row r="1023" spans="7:8">
      <c r="G1023">
        <f>IF($D1023="", "", IF($D1023="Receipt", $C1023*VLOOKUP($B1023, Items!$A:$E, 5, FALSE), IF($D1023="Consumption", -$C1023*VLOOKUP($B1023, Items!$A:$E, 5, FALSE), "")))</f>
        <v>0</v>
      </c>
      <c r="H1023">
        <f>IF($D1023="Consumption", -$C1023*VLOOKUP($B1023, Items!$A:$E, 5, FALSE), 0)</f>
        <v>0</v>
      </c>
    </row>
    <row r="1024" spans="7:8">
      <c r="G1024">
        <f>IF($D1024="", "", IF($D1024="Receipt", $C1024*VLOOKUP($B1024, Items!$A:$E, 5, FALSE), IF($D1024="Consumption", -$C1024*VLOOKUP($B1024, Items!$A:$E, 5, FALSE), "")))</f>
        <v>0</v>
      </c>
      <c r="H1024">
        <f>IF($D1024="Consumption", -$C1024*VLOOKUP($B1024, Items!$A:$E, 5, FALSE), 0)</f>
        <v>0</v>
      </c>
    </row>
    <row r="1025" spans="7:8">
      <c r="G1025">
        <f>IF($D1025="", "", IF($D1025="Receipt", $C1025*VLOOKUP($B1025, Items!$A:$E, 5, FALSE), IF($D1025="Consumption", -$C1025*VLOOKUP($B1025, Items!$A:$E, 5, FALSE), "")))</f>
        <v>0</v>
      </c>
      <c r="H1025">
        <f>IF($D1025="Consumption", -$C1025*VLOOKUP($B1025, Items!$A:$E, 5, FALSE), 0)</f>
        <v>0</v>
      </c>
    </row>
    <row r="1026" spans="7:8">
      <c r="G1026">
        <f>IF($D1026="", "", IF($D1026="Receipt", $C1026*VLOOKUP($B1026, Items!$A:$E, 5, FALSE), IF($D1026="Consumption", -$C1026*VLOOKUP($B1026, Items!$A:$E, 5, FALSE), "")))</f>
        <v>0</v>
      </c>
      <c r="H1026">
        <f>IF($D1026="Consumption", -$C1026*VLOOKUP($B1026, Items!$A:$E, 5, FALSE), 0)</f>
        <v>0</v>
      </c>
    </row>
    <row r="1027" spans="7:8">
      <c r="G1027">
        <f>IF($D1027="", "", IF($D1027="Receipt", $C1027*VLOOKUP($B1027, Items!$A:$E, 5, FALSE), IF($D1027="Consumption", -$C1027*VLOOKUP($B1027, Items!$A:$E, 5, FALSE), "")))</f>
        <v>0</v>
      </c>
      <c r="H1027">
        <f>IF($D1027="Consumption", -$C1027*VLOOKUP($B1027, Items!$A:$E, 5, FALSE), 0)</f>
        <v>0</v>
      </c>
    </row>
    <row r="1028" spans="7:8">
      <c r="G1028">
        <f>IF($D1028="", "", IF($D1028="Receipt", $C1028*VLOOKUP($B1028, Items!$A:$E, 5, FALSE), IF($D1028="Consumption", -$C1028*VLOOKUP($B1028, Items!$A:$E, 5, FALSE), "")))</f>
        <v>0</v>
      </c>
      <c r="H1028">
        <f>IF($D1028="Consumption", -$C1028*VLOOKUP($B1028, Items!$A:$E, 5, FALSE), 0)</f>
        <v>0</v>
      </c>
    </row>
    <row r="1029" spans="7:8">
      <c r="G1029">
        <f>IF($D1029="", "", IF($D1029="Receipt", $C1029*VLOOKUP($B1029, Items!$A:$E, 5, FALSE), IF($D1029="Consumption", -$C1029*VLOOKUP($B1029, Items!$A:$E, 5, FALSE), "")))</f>
        <v>0</v>
      </c>
      <c r="H1029">
        <f>IF($D1029="Consumption", -$C1029*VLOOKUP($B1029, Items!$A:$E, 5, FALSE), 0)</f>
        <v>0</v>
      </c>
    </row>
    <row r="1030" spans="7:8">
      <c r="G1030">
        <f>IF($D1030="", "", IF($D1030="Receipt", $C1030*VLOOKUP($B1030, Items!$A:$E, 5, FALSE), IF($D1030="Consumption", -$C1030*VLOOKUP($B1030, Items!$A:$E, 5, FALSE), "")))</f>
        <v>0</v>
      </c>
      <c r="H1030">
        <f>IF($D1030="Consumption", -$C1030*VLOOKUP($B1030, Items!$A:$E, 5, FALSE), 0)</f>
        <v>0</v>
      </c>
    </row>
    <row r="1031" spans="7:8">
      <c r="G1031">
        <f>IF($D1031="", "", IF($D1031="Receipt", $C1031*VLOOKUP($B1031, Items!$A:$E, 5, FALSE), IF($D1031="Consumption", -$C1031*VLOOKUP($B1031, Items!$A:$E, 5, FALSE), "")))</f>
        <v>0</v>
      </c>
      <c r="H1031">
        <f>IF($D1031="Consumption", -$C1031*VLOOKUP($B1031, Items!$A:$E, 5, FALSE), 0)</f>
        <v>0</v>
      </c>
    </row>
    <row r="1032" spans="7:8">
      <c r="G1032">
        <f>IF($D1032="", "", IF($D1032="Receipt", $C1032*VLOOKUP($B1032, Items!$A:$E, 5, FALSE), IF($D1032="Consumption", -$C1032*VLOOKUP($B1032, Items!$A:$E, 5, FALSE), "")))</f>
        <v>0</v>
      </c>
      <c r="H1032">
        <f>IF($D1032="Consumption", -$C1032*VLOOKUP($B1032, Items!$A:$E, 5, FALSE), 0)</f>
        <v>0</v>
      </c>
    </row>
    <row r="1033" spans="7:8">
      <c r="G1033">
        <f>IF($D1033="", "", IF($D1033="Receipt", $C1033*VLOOKUP($B1033, Items!$A:$E, 5, FALSE), IF($D1033="Consumption", -$C1033*VLOOKUP($B1033, Items!$A:$E, 5, FALSE), "")))</f>
        <v>0</v>
      </c>
      <c r="H1033">
        <f>IF($D1033="Consumption", -$C1033*VLOOKUP($B1033, Items!$A:$E, 5, FALSE), 0)</f>
        <v>0</v>
      </c>
    </row>
    <row r="1034" spans="7:8">
      <c r="G1034">
        <f>IF($D1034="", "", IF($D1034="Receipt", $C1034*VLOOKUP($B1034, Items!$A:$E, 5, FALSE), IF($D1034="Consumption", -$C1034*VLOOKUP($B1034, Items!$A:$E, 5, FALSE), "")))</f>
        <v>0</v>
      </c>
      <c r="H1034">
        <f>IF($D1034="Consumption", -$C1034*VLOOKUP($B1034, Items!$A:$E, 5, FALSE), 0)</f>
        <v>0</v>
      </c>
    </row>
    <row r="1035" spans="7:8">
      <c r="G1035">
        <f>IF($D1035="", "", IF($D1035="Receipt", $C1035*VLOOKUP($B1035, Items!$A:$E, 5, FALSE), IF($D1035="Consumption", -$C1035*VLOOKUP($B1035, Items!$A:$E, 5, FALSE), "")))</f>
        <v>0</v>
      </c>
      <c r="H1035">
        <f>IF($D1035="Consumption", -$C1035*VLOOKUP($B1035, Items!$A:$E, 5, FALSE), 0)</f>
        <v>0</v>
      </c>
    </row>
    <row r="1036" spans="7:8">
      <c r="G1036">
        <f>IF($D1036="", "", IF($D1036="Receipt", $C1036*VLOOKUP($B1036, Items!$A:$E, 5, FALSE), IF($D1036="Consumption", -$C1036*VLOOKUP($B1036, Items!$A:$E, 5, FALSE), "")))</f>
        <v>0</v>
      </c>
      <c r="H1036">
        <f>IF($D1036="Consumption", -$C1036*VLOOKUP($B1036, Items!$A:$E, 5, FALSE), 0)</f>
        <v>0</v>
      </c>
    </row>
    <row r="1037" spans="7:8">
      <c r="G1037">
        <f>IF($D1037="", "", IF($D1037="Receipt", $C1037*VLOOKUP($B1037, Items!$A:$E, 5, FALSE), IF($D1037="Consumption", -$C1037*VLOOKUP($B1037, Items!$A:$E, 5, FALSE), "")))</f>
        <v>0</v>
      </c>
      <c r="H1037">
        <f>IF($D1037="Consumption", -$C1037*VLOOKUP($B1037, Items!$A:$E, 5, FALSE), 0)</f>
        <v>0</v>
      </c>
    </row>
    <row r="1038" spans="7:8">
      <c r="G1038">
        <f>IF($D1038="", "", IF($D1038="Receipt", $C1038*VLOOKUP($B1038, Items!$A:$E, 5, FALSE), IF($D1038="Consumption", -$C1038*VLOOKUP($B1038, Items!$A:$E, 5, FALSE), "")))</f>
        <v>0</v>
      </c>
      <c r="H1038">
        <f>IF($D1038="Consumption", -$C1038*VLOOKUP($B1038, Items!$A:$E, 5, FALSE), 0)</f>
        <v>0</v>
      </c>
    </row>
    <row r="1039" spans="7:8">
      <c r="G1039">
        <f>IF($D1039="", "", IF($D1039="Receipt", $C1039*VLOOKUP($B1039, Items!$A:$E, 5, FALSE), IF($D1039="Consumption", -$C1039*VLOOKUP($B1039, Items!$A:$E, 5, FALSE), "")))</f>
        <v>0</v>
      </c>
      <c r="H1039">
        <f>IF($D1039="Consumption", -$C1039*VLOOKUP($B1039, Items!$A:$E, 5, FALSE), 0)</f>
        <v>0</v>
      </c>
    </row>
    <row r="1040" spans="7:8">
      <c r="G1040">
        <f>IF($D1040="", "", IF($D1040="Receipt", $C1040*VLOOKUP($B1040, Items!$A:$E, 5, FALSE), IF($D1040="Consumption", -$C1040*VLOOKUP($B1040, Items!$A:$E, 5, FALSE), "")))</f>
        <v>0</v>
      </c>
      <c r="H1040">
        <f>IF($D1040="Consumption", -$C1040*VLOOKUP($B1040, Items!$A:$E, 5, FALSE), 0)</f>
        <v>0</v>
      </c>
    </row>
    <row r="1041" spans="7:8">
      <c r="G1041">
        <f>IF($D1041="", "", IF($D1041="Receipt", $C1041*VLOOKUP($B1041, Items!$A:$E, 5, FALSE), IF($D1041="Consumption", -$C1041*VLOOKUP($B1041, Items!$A:$E, 5, FALSE), "")))</f>
        <v>0</v>
      </c>
      <c r="H1041">
        <f>IF($D1041="Consumption", -$C1041*VLOOKUP($B1041, Items!$A:$E, 5, FALSE), 0)</f>
        <v>0</v>
      </c>
    </row>
    <row r="1042" spans="7:8">
      <c r="G1042">
        <f>IF($D1042="", "", IF($D1042="Receipt", $C1042*VLOOKUP($B1042, Items!$A:$E, 5, FALSE), IF($D1042="Consumption", -$C1042*VLOOKUP($B1042, Items!$A:$E, 5, FALSE), "")))</f>
        <v>0</v>
      </c>
      <c r="H1042">
        <f>IF($D1042="Consumption", -$C1042*VLOOKUP($B1042, Items!$A:$E, 5, FALSE), 0)</f>
        <v>0</v>
      </c>
    </row>
    <row r="1043" spans="7:8">
      <c r="G1043">
        <f>IF($D1043="", "", IF($D1043="Receipt", $C1043*VLOOKUP($B1043, Items!$A:$E, 5, FALSE), IF($D1043="Consumption", -$C1043*VLOOKUP($B1043, Items!$A:$E, 5, FALSE), "")))</f>
        <v>0</v>
      </c>
      <c r="H1043">
        <f>IF($D1043="Consumption", -$C1043*VLOOKUP($B1043, Items!$A:$E, 5, FALSE), 0)</f>
        <v>0</v>
      </c>
    </row>
    <row r="1044" spans="7:8">
      <c r="G1044">
        <f>IF($D1044="", "", IF($D1044="Receipt", $C1044*VLOOKUP($B1044, Items!$A:$E, 5, FALSE), IF($D1044="Consumption", -$C1044*VLOOKUP($B1044, Items!$A:$E, 5, FALSE), "")))</f>
        <v>0</v>
      </c>
      <c r="H1044">
        <f>IF($D1044="Consumption", -$C1044*VLOOKUP($B1044, Items!$A:$E, 5, FALSE), 0)</f>
        <v>0</v>
      </c>
    </row>
    <row r="1045" spans="7:8">
      <c r="G1045">
        <f>IF($D1045="", "", IF($D1045="Receipt", $C1045*VLOOKUP($B1045, Items!$A:$E, 5, FALSE), IF($D1045="Consumption", -$C1045*VLOOKUP($B1045, Items!$A:$E, 5, FALSE), "")))</f>
        <v>0</v>
      </c>
      <c r="H1045">
        <f>IF($D1045="Consumption", -$C1045*VLOOKUP($B1045, Items!$A:$E, 5, FALSE), 0)</f>
        <v>0</v>
      </c>
    </row>
    <row r="1046" spans="7:8">
      <c r="G1046">
        <f>IF($D1046="", "", IF($D1046="Receipt", $C1046*VLOOKUP($B1046, Items!$A:$E, 5, FALSE), IF($D1046="Consumption", -$C1046*VLOOKUP($B1046, Items!$A:$E, 5, FALSE), "")))</f>
        <v>0</v>
      </c>
      <c r="H1046">
        <f>IF($D1046="Consumption", -$C1046*VLOOKUP($B1046, Items!$A:$E, 5, FALSE), 0)</f>
        <v>0</v>
      </c>
    </row>
    <row r="1047" spans="7:8">
      <c r="G1047">
        <f>IF($D1047="", "", IF($D1047="Receipt", $C1047*VLOOKUP($B1047, Items!$A:$E, 5, FALSE), IF($D1047="Consumption", -$C1047*VLOOKUP($B1047, Items!$A:$E, 5, FALSE), "")))</f>
        <v>0</v>
      </c>
      <c r="H1047">
        <f>IF($D1047="Consumption", -$C1047*VLOOKUP($B1047, Items!$A:$E, 5, FALSE), 0)</f>
        <v>0</v>
      </c>
    </row>
    <row r="1048" spans="7:8">
      <c r="G1048">
        <f>IF($D1048="", "", IF($D1048="Receipt", $C1048*VLOOKUP($B1048, Items!$A:$E, 5, FALSE), IF($D1048="Consumption", -$C1048*VLOOKUP($B1048, Items!$A:$E, 5, FALSE), "")))</f>
        <v>0</v>
      </c>
      <c r="H1048">
        <f>IF($D1048="Consumption", -$C1048*VLOOKUP($B1048, Items!$A:$E, 5, FALSE), 0)</f>
        <v>0</v>
      </c>
    </row>
    <row r="1049" spans="7:8">
      <c r="G1049">
        <f>IF($D1049="", "", IF($D1049="Receipt", $C1049*VLOOKUP($B1049, Items!$A:$E, 5, FALSE), IF($D1049="Consumption", -$C1049*VLOOKUP($B1049, Items!$A:$E, 5, FALSE), "")))</f>
        <v>0</v>
      </c>
      <c r="H1049">
        <f>IF($D1049="Consumption", -$C1049*VLOOKUP($B1049, Items!$A:$E, 5, FALSE), 0)</f>
        <v>0</v>
      </c>
    </row>
    <row r="1050" spans="7:8">
      <c r="G1050">
        <f>IF($D1050="", "", IF($D1050="Receipt", $C1050*VLOOKUP($B1050, Items!$A:$E, 5, FALSE), IF($D1050="Consumption", -$C1050*VLOOKUP($B1050, Items!$A:$E, 5, FALSE), "")))</f>
        <v>0</v>
      </c>
      <c r="H1050">
        <f>IF($D1050="Consumption", -$C1050*VLOOKUP($B1050, Items!$A:$E, 5, FALSE), 0)</f>
        <v>0</v>
      </c>
    </row>
    <row r="1051" spans="7:8">
      <c r="G1051">
        <f>IF($D1051="", "", IF($D1051="Receipt", $C1051*VLOOKUP($B1051, Items!$A:$E, 5, FALSE), IF($D1051="Consumption", -$C1051*VLOOKUP($B1051, Items!$A:$E, 5, FALSE), "")))</f>
        <v>0</v>
      </c>
      <c r="H1051">
        <f>IF($D1051="Consumption", -$C1051*VLOOKUP($B1051, Items!$A:$E, 5, FALSE), 0)</f>
        <v>0</v>
      </c>
    </row>
    <row r="1052" spans="7:8">
      <c r="G1052">
        <f>IF($D1052="", "", IF($D1052="Receipt", $C1052*VLOOKUP($B1052, Items!$A:$E, 5, FALSE), IF($D1052="Consumption", -$C1052*VLOOKUP($B1052, Items!$A:$E, 5, FALSE), "")))</f>
        <v>0</v>
      </c>
      <c r="H1052">
        <f>IF($D1052="Consumption", -$C1052*VLOOKUP($B1052, Items!$A:$E, 5, FALSE), 0)</f>
        <v>0</v>
      </c>
    </row>
    <row r="1053" spans="7:8">
      <c r="G1053">
        <f>IF($D1053="", "", IF($D1053="Receipt", $C1053*VLOOKUP($B1053, Items!$A:$E, 5, FALSE), IF($D1053="Consumption", -$C1053*VLOOKUP($B1053, Items!$A:$E, 5, FALSE), "")))</f>
        <v>0</v>
      </c>
      <c r="H1053">
        <f>IF($D1053="Consumption", -$C1053*VLOOKUP($B1053, Items!$A:$E, 5, FALSE), 0)</f>
        <v>0</v>
      </c>
    </row>
    <row r="1054" spans="7:8">
      <c r="G1054">
        <f>IF($D1054="", "", IF($D1054="Receipt", $C1054*VLOOKUP($B1054, Items!$A:$E, 5, FALSE), IF($D1054="Consumption", -$C1054*VLOOKUP($B1054, Items!$A:$E, 5, FALSE), "")))</f>
        <v>0</v>
      </c>
      <c r="H1054">
        <f>IF($D1054="Consumption", -$C1054*VLOOKUP($B1054, Items!$A:$E, 5, FALSE), 0)</f>
        <v>0</v>
      </c>
    </row>
    <row r="1055" spans="7:8">
      <c r="G1055">
        <f>IF($D1055="", "", IF($D1055="Receipt", $C1055*VLOOKUP($B1055, Items!$A:$E, 5, FALSE), IF($D1055="Consumption", -$C1055*VLOOKUP($B1055, Items!$A:$E, 5, FALSE), "")))</f>
        <v>0</v>
      </c>
      <c r="H1055">
        <f>IF($D1055="Consumption", -$C1055*VLOOKUP($B1055, Items!$A:$E, 5, FALSE), 0)</f>
        <v>0</v>
      </c>
    </row>
    <row r="1056" spans="7:8">
      <c r="G1056">
        <f>IF($D1056="", "", IF($D1056="Receipt", $C1056*VLOOKUP($B1056, Items!$A:$E, 5, FALSE), IF($D1056="Consumption", -$C1056*VLOOKUP($B1056, Items!$A:$E, 5, FALSE), "")))</f>
        <v>0</v>
      </c>
      <c r="H1056">
        <f>IF($D1056="Consumption", -$C1056*VLOOKUP($B1056, Items!$A:$E, 5, FALSE), 0)</f>
        <v>0</v>
      </c>
    </row>
    <row r="1057" spans="7:8">
      <c r="G1057">
        <f>IF($D1057="", "", IF($D1057="Receipt", $C1057*VLOOKUP($B1057, Items!$A:$E, 5, FALSE), IF($D1057="Consumption", -$C1057*VLOOKUP($B1057, Items!$A:$E, 5, FALSE), "")))</f>
        <v>0</v>
      </c>
      <c r="H1057">
        <f>IF($D1057="Consumption", -$C1057*VLOOKUP($B1057, Items!$A:$E, 5, FALSE), 0)</f>
        <v>0</v>
      </c>
    </row>
    <row r="1058" spans="7:8">
      <c r="G1058">
        <f>IF($D1058="", "", IF($D1058="Receipt", $C1058*VLOOKUP($B1058, Items!$A:$E, 5, FALSE), IF($D1058="Consumption", -$C1058*VLOOKUP($B1058, Items!$A:$E, 5, FALSE), "")))</f>
        <v>0</v>
      </c>
      <c r="H1058">
        <f>IF($D1058="Consumption", -$C1058*VLOOKUP($B1058, Items!$A:$E, 5, FALSE), 0)</f>
        <v>0</v>
      </c>
    </row>
    <row r="1059" spans="7:8">
      <c r="G1059">
        <f>IF($D1059="", "", IF($D1059="Receipt", $C1059*VLOOKUP($B1059, Items!$A:$E, 5, FALSE), IF($D1059="Consumption", -$C1059*VLOOKUP($B1059, Items!$A:$E, 5, FALSE), "")))</f>
        <v>0</v>
      </c>
      <c r="H1059">
        <f>IF($D1059="Consumption", -$C1059*VLOOKUP($B1059, Items!$A:$E, 5, FALSE), 0)</f>
        <v>0</v>
      </c>
    </row>
    <row r="1060" spans="7:8">
      <c r="G1060">
        <f>IF($D1060="", "", IF($D1060="Receipt", $C1060*VLOOKUP($B1060, Items!$A:$E, 5, FALSE), IF($D1060="Consumption", -$C1060*VLOOKUP($B1060, Items!$A:$E, 5, FALSE), "")))</f>
        <v>0</v>
      </c>
      <c r="H1060">
        <f>IF($D1060="Consumption", -$C1060*VLOOKUP($B1060, Items!$A:$E, 5, FALSE), 0)</f>
        <v>0</v>
      </c>
    </row>
    <row r="1061" spans="7:8">
      <c r="G1061">
        <f>IF($D1061="", "", IF($D1061="Receipt", $C1061*VLOOKUP($B1061, Items!$A:$E, 5, FALSE), IF($D1061="Consumption", -$C1061*VLOOKUP($B1061, Items!$A:$E, 5, FALSE), "")))</f>
        <v>0</v>
      </c>
      <c r="H1061">
        <f>IF($D1061="Consumption", -$C1061*VLOOKUP($B1061, Items!$A:$E, 5, FALSE), 0)</f>
        <v>0</v>
      </c>
    </row>
    <row r="1062" spans="7:8">
      <c r="G1062">
        <f>IF($D1062="", "", IF($D1062="Receipt", $C1062*VLOOKUP($B1062, Items!$A:$E, 5, FALSE), IF($D1062="Consumption", -$C1062*VLOOKUP($B1062, Items!$A:$E, 5, FALSE), "")))</f>
        <v>0</v>
      </c>
      <c r="H1062">
        <f>IF($D1062="Consumption", -$C1062*VLOOKUP($B1062, Items!$A:$E, 5, FALSE), 0)</f>
        <v>0</v>
      </c>
    </row>
    <row r="1063" spans="7:8">
      <c r="G1063">
        <f>IF($D1063="", "", IF($D1063="Receipt", $C1063*VLOOKUP($B1063, Items!$A:$E, 5, FALSE), IF($D1063="Consumption", -$C1063*VLOOKUP($B1063, Items!$A:$E, 5, FALSE), "")))</f>
        <v>0</v>
      </c>
      <c r="H1063">
        <f>IF($D1063="Consumption", -$C1063*VLOOKUP($B1063, Items!$A:$E, 5, FALSE), 0)</f>
        <v>0</v>
      </c>
    </row>
    <row r="1064" spans="7:8">
      <c r="G1064">
        <f>IF($D1064="", "", IF($D1064="Receipt", $C1064*VLOOKUP($B1064, Items!$A:$E, 5, FALSE), IF($D1064="Consumption", -$C1064*VLOOKUP($B1064, Items!$A:$E, 5, FALSE), "")))</f>
        <v>0</v>
      </c>
      <c r="H1064">
        <f>IF($D1064="Consumption", -$C1064*VLOOKUP($B1064, Items!$A:$E, 5, FALSE), 0)</f>
        <v>0</v>
      </c>
    </row>
    <row r="1065" spans="7:8">
      <c r="G1065">
        <f>IF($D1065="", "", IF($D1065="Receipt", $C1065*VLOOKUP($B1065, Items!$A:$E, 5, FALSE), IF($D1065="Consumption", -$C1065*VLOOKUP($B1065, Items!$A:$E, 5, FALSE), "")))</f>
        <v>0</v>
      </c>
      <c r="H1065">
        <f>IF($D1065="Consumption", -$C1065*VLOOKUP($B1065, Items!$A:$E, 5, FALSE), 0)</f>
        <v>0</v>
      </c>
    </row>
    <row r="1066" spans="7:8">
      <c r="G1066">
        <f>IF($D1066="", "", IF($D1066="Receipt", $C1066*VLOOKUP($B1066, Items!$A:$E, 5, FALSE), IF($D1066="Consumption", -$C1066*VLOOKUP($B1066, Items!$A:$E, 5, FALSE), "")))</f>
        <v>0</v>
      </c>
      <c r="H1066">
        <f>IF($D1066="Consumption", -$C1066*VLOOKUP($B1066, Items!$A:$E, 5, FALSE), 0)</f>
        <v>0</v>
      </c>
    </row>
    <row r="1067" spans="7:8">
      <c r="G1067">
        <f>IF($D1067="", "", IF($D1067="Receipt", $C1067*VLOOKUP($B1067, Items!$A:$E, 5, FALSE), IF($D1067="Consumption", -$C1067*VLOOKUP($B1067, Items!$A:$E, 5, FALSE), "")))</f>
        <v>0</v>
      </c>
      <c r="H1067">
        <f>IF($D1067="Consumption", -$C1067*VLOOKUP($B1067, Items!$A:$E, 5, FALSE), 0)</f>
        <v>0</v>
      </c>
    </row>
    <row r="1068" spans="7:8">
      <c r="G1068">
        <f>IF($D1068="", "", IF($D1068="Receipt", $C1068*VLOOKUP($B1068, Items!$A:$E, 5, FALSE), IF($D1068="Consumption", -$C1068*VLOOKUP($B1068, Items!$A:$E, 5, FALSE), "")))</f>
        <v>0</v>
      </c>
      <c r="H1068">
        <f>IF($D1068="Consumption", -$C1068*VLOOKUP($B1068, Items!$A:$E, 5, FALSE), 0)</f>
        <v>0</v>
      </c>
    </row>
    <row r="1069" spans="7:8">
      <c r="G1069">
        <f>IF($D1069="", "", IF($D1069="Receipt", $C1069*VLOOKUP($B1069, Items!$A:$E, 5, FALSE), IF($D1069="Consumption", -$C1069*VLOOKUP($B1069, Items!$A:$E, 5, FALSE), "")))</f>
        <v>0</v>
      </c>
      <c r="H1069">
        <f>IF($D1069="Consumption", -$C1069*VLOOKUP($B1069, Items!$A:$E, 5, FALSE), 0)</f>
        <v>0</v>
      </c>
    </row>
    <row r="1070" spans="7:8">
      <c r="G1070">
        <f>IF($D1070="", "", IF($D1070="Receipt", $C1070*VLOOKUP($B1070, Items!$A:$E, 5, FALSE), IF($D1070="Consumption", -$C1070*VLOOKUP($B1070, Items!$A:$E, 5, FALSE), "")))</f>
        <v>0</v>
      </c>
      <c r="H1070">
        <f>IF($D1070="Consumption", -$C1070*VLOOKUP($B1070, Items!$A:$E, 5, FALSE), 0)</f>
        <v>0</v>
      </c>
    </row>
    <row r="1071" spans="7:8">
      <c r="G1071">
        <f>IF($D1071="", "", IF($D1071="Receipt", $C1071*VLOOKUP($B1071, Items!$A:$E, 5, FALSE), IF($D1071="Consumption", -$C1071*VLOOKUP($B1071, Items!$A:$E, 5, FALSE), "")))</f>
        <v>0</v>
      </c>
      <c r="H1071">
        <f>IF($D1071="Consumption", -$C1071*VLOOKUP($B1071, Items!$A:$E, 5, FALSE), 0)</f>
        <v>0</v>
      </c>
    </row>
    <row r="1072" spans="7:8">
      <c r="G1072">
        <f>IF($D1072="", "", IF($D1072="Receipt", $C1072*VLOOKUP($B1072, Items!$A:$E, 5, FALSE), IF($D1072="Consumption", -$C1072*VLOOKUP($B1072, Items!$A:$E, 5, FALSE), "")))</f>
        <v>0</v>
      </c>
      <c r="H1072">
        <f>IF($D1072="Consumption", -$C1072*VLOOKUP($B1072, Items!$A:$E, 5, FALSE), 0)</f>
        <v>0</v>
      </c>
    </row>
    <row r="1073" spans="7:8">
      <c r="G1073">
        <f>IF($D1073="", "", IF($D1073="Receipt", $C1073*VLOOKUP($B1073, Items!$A:$E, 5, FALSE), IF($D1073="Consumption", -$C1073*VLOOKUP($B1073, Items!$A:$E, 5, FALSE), "")))</f>
        <v>0</v>
      </c>
      <c r="H1073">
        <f>IF($D1073="Consumption", -$C1073*VLOOKUP($B1073, Items!$A:$E, 5, FALSE), 0)</f>
        <v>0</v>
      </c>
    </row>
    <row r="1074" spans="7:8">
      <c r="G1074">
        <f>IF($D1074="", "", IF($D1074="Receipt", $C1074*VLOOKUP($B1074, Items!$A:$E, 5, FALSE), IF($D1074="Consumption", -$C1074*VLOOKUP($B1074, Items!$A:$E, 5, FALSE), "")))</f>
        <v>0</v>
      </c>
      <c r="H1074">
        <f>IF($D1074="Consumption", -$C1074*VLOOKUP($B1074, Items!$A:$E, 5, FALSE), 0)</f>
        <v>0</v>
      </c>
    </row>
    <row r="1075" spans="7:8">
      <c r="G1075">
        <f>IF($D1075="", "", IF($D1075="Receipt", $C1075*VLOOKUP($B1075, Items!$A:$E, 5, FALSE), IF($D1075="Consumption", -$C1075*VLOOKUP($B1075, Items!$A:$E, 5, FALSE), "")))</f>
        <v>0</v>
      </c>
      <c r="H1075">
        <f>IF($D1075="Consumption", -$C1075*VLOOKUP($B1075, Items!$A:$E, 5, FALSE), 0)</f>
        <v>0</v>
      </c>
    </row>
    <row r="1076" spans="7:8">
      <c r="G1076">
        <f>IF($D1076="", "", IF($D1076="Receipt", $C1076*VLOOKUP($B1076, Items!$A:$E, 5, FALSE), IF($D1076="Consumption", -$C1076*VLOOKUP($B1076, Items!$A:$E, 5, FALSE), "")))</f>
        <v>0</v>
      </c>
      <c r="H1076">
        <f>IF($D1076="Consumption", -$C1076*VLOOKUP($B1076, Items!$A:$E, 5, FALSE), 0)</f>
        <v>0</v>
      </c>
    </row>
    <row r="1077" spans="7:8">
      <c r="G1077">
        <f>IF($D1077="", "", IF($D1077="Receipt", $C1077*VLOOKUP($B1077, Items!$A:$E, 5, FALSE), IF($D1077="Consumption", -$C1077*VLOOKUP($B1077, Items!$A:$E, 5, FALSE), "")))</f>
        <v>0</v>
      </c>
      <c r="H1077">
        <f>IF($D1077="Consumption", -$C1077*VLOOKUP($B1077, Items!$A:$E, 5, FALSE), 0)</f>
        <v>0</v>
      </c>
    </row>
    <row r="1078" spans="7:8">
      <c r="G1078">
        <f>IF($D1078="", "", IF($D1078="Receipt", $C1078*VLOOKUP($B1078, Items!$A:$E, 5, FALSE), IF($D1078="Consumption", -$C1078*VLOOKUP($B1078, Items!$A:$E, 5, FALSE), "")))</f>
        <v>0</v>
      </c>
      <c r="H1078">
        <f>IF($D1078="Consumption", -$C1078*VLOOKUP($B1078, Items!$A:$E, 5, FALSE), 0)</f>
        <v>0</v>
      </c>
    </row>
    <row r="1079" spans="7:8">
      <c r="G1079">
        <f>IF($D1079="", "", IF($D1079="Receipt", $C1079*VLOOKUP($B1079, Items!$A:$E, 5, FALSE), IF($D1079="Consumption", -$C1079*VLOOKUP($B1079, Items!$A:$E, 5, FALSE), "")))</f>
        <v>0</v>
      </c>
      <c r="H1079">
        <f>IF($D1079="Consumption", -$C1079*VLOOKUP($B1079, Items!$A:$E, 5, FALSE), 0)</f>
        <v>0</v>
      </c>
    </row>
    <row r="1080" spans="7:8">
      <c r="G1080">
        <f>IF($D1080="", "", IF($D1080="Receipt", $C1080*VLOOKUP($B1080, Items!$A:$E, 5, FALSE), IF($D1080="Consumption", -$C1080*VLOOKUP($B1080, Items!$A:$E, 5, FALSE), "")))</f>
        <v>0</v>
      </c>
      <c r="H1080">
        <f>IF($D1080="Consumption", -$C1080*VLOOKUP($B1080, Items!$A:$E, 5, FALSE), 0)</f>
        <v>0</v>
      </c>
    </row>
    <row r="1081" spans="7:8">
      <c r="G1081">
        <f>IF($D1081="", "", IF($D1081="Receipt", $C1081*VLOOKUP($B1081, Items!$A:$E, 5, FALSE), IF($D1081="Consumption", -$C1081*VLOOKUP($B1081, Items!$A:$E, 5, FALSE), "")))</f>
        <v>0</v>
      </c>
      <c r="H1081">
        <f>IF($D1081="Consumption", -$C1081*VLOOKUP($B1081, Items!$A:$E, 5, FALSE), 0)</f>
        <v>0</v>
      </c>
    </row>
    <row r="1082" spans="7:8">
      <c r="G1082">
        <f>IF($D1082="", "", IF($D1082="Receipt", $C1082*VLOOKUP($B1082, Items!$A:$E, 5, FALSE), IF($D1082="Consumption", -$C1082*VLOOKUP($B1082, Items!$A:$E, 5, FALSE), "")))</f>
        <v>0</v>
      </c>
      <c r="H1082">
        <f>IF($D1082="Consumption", -$C1082*VLOOKUP($B1082, Items!$A:$E, 5, FALSE), 0)</f>
        <v>0</v>
      </c>
    </row>
    <row r="1083" spans="7:8">
      <c r="G1083">
        <f>IF($D1083="", "", IF($D1083="Receipt", $C1083*VLOOKUP($B1083, Items!$A:$E, 5, FALSE), IF($D1083="Consumption", -$C1083*VLOOKUP($B1083, Items!$A:$E, 5, FALSE), "")))</f>
        <v>0</v>
      </c>
      <c r="H1083">
        <f>IF($D1083="Consumption", -$C1083*VLOOKUP($B1083, Items!$A:$E, 5, FALSE), 0)</f>
        <v>0</v>
      </c>
    </row>
    <row r="1084" spans="7:8">
      <c r="G1084">
        <f>IF($D1084="", "", IF($D1084="Receipt", $C1084*VLOOKUP($B1084, Items!$A:$E, 5, FALSE), IF($D1084="Consumption", -$C1084*VLOOKUP($B1084, Items!$A:$E, 5, FALSE), "")))</f>
        <v>0</v>
      </c>
      <c r="H1084">
        <f>IF($D1084="Consumption", -$C1084*VLOOKUP($B1084, Items!$A:$E, 5, FALSE), 0)</f>
        <v>0</v>
      </c>
    </row>
    <row r="1085" spans="7:8">
      <c r="G1085">
        <f>IF($D1085="", "", IF($D1085="Receipt", $C1085*VLOOKUP($B1085, Items!$A:$E, 5, FALSE), IF($D1085="Consumption", -$C1085*VLOOKUP($B1085, Items!$A:$E, 5, FALSE), "")))</f>
        <v>0</v>
      </c>
      <c r="H1085">
        <f>IF($D1085="Consumption", -$C1085*VLOOKUP($B1085, Items!$A:$E, 5, FALSE), 0)</f>
        <v>0</v>
      </c>
    </row>
    <row r="1086" spans="7:8">
      <c r="G1086">
        <f>IF($D1086="", "", IF($D1086="Receipt", $C1086*VLOOKUP($B1086, Items!$A:$E, 5, FALSE), IF($D1086="Consumption", -$C1086*VLOOKUP($B1086, Items!$A:$E, 5, FALSE), "")))</f>
        <v>0</v>
      </c>
      <c r="H1086">
        <f>IF($D1086="Consumption", -$C1086*VLOOKUP($B1086, Items!$A:$E, 5, FALSE), 0)</f>
        <v>0</v>
      </c>
    </row>
    <row r="1087" spans="7:8">
      <c r="G1087">
        <f>IF($D1087="", "", IF($D1087="Receipt", $C1087*VLOOKUP($B1087, Items!$A:$E, 5, FALSE), IF($D1087="Consumption", -$C1087*VLOOKUP($B1087, Items!$A:$E, 5, FALSE), "")))</f>
        <v>0</v>
      </c>
      <c r="H1087">
        <f>IF($D1087="Consumption", -$C1087*VLOOKUP($B1087, Items!$A:$E, 5, FALSE), 0)</f>
        <v>0</v>
      </c>
    </row>
    <row r="1088" spans="7:8">
      <c r="G1088">
        <f>IF($D1088="", "", IF($D1088="Receipt", $C1088*VLOOKUP($B1088, Items!$A:$E, 5, FALSE), IF($D1088="Consumption", -$C1088*VLOOKUP($B1088, Items!$A:$E, 5, FALSE), "")))</f>
        <v>0</v>
      </c>
      <c r="H1088">
        <f>IF($D1088="Consumption", -$C1088*VLOOKUP($B1088, Items!$A:$E, 5, FALSE), 0)</f>
        <v>0</v>
      </c>
    </row>
    <row r="1089" spans="7:8">
      <c r="G1089">
        <f>IF($D1089="", "", IF($D1089="Receipt", $C1089*VLOOKUP($B1089, Items!$A:$E, 5, FALSE), IF($D1089="Consumption", -$C1089*VLOOKUP($B1089, Items!$A:$E, 5, FALSE), "")))</f>
        <v>0</v>
      </c>
      <c r="H1089">
        <f>IF($D1089="Consumption", -$C1089*VLOOKUP($B1089, Items!$A:$E, 5, FALSE), 0)</f>
        <v>0</v>
      </c>
    </row>
    <row r="1090" spans="7:8">
      <c r="G1090">
        <f>IF($D1090="", "", IF($D1090="Receipt", $C1090*VLOOKUP($B1090, Items!$A:$E, 5, FALSE), IF($D1090="Consumption", -$C1090*VLOOKUP($B1090, Items!$A:$E, 5, FALSE), "")))</f>
        <v>0</v>
      </c>
      <c r="H1090">
        <f>IF($D1090="Consumption", -$C1090*VLOOKUP($B1090, Items!$A:$E, 5, FALSE), 0)</f>
        <v>0</v>
      </c>
    </row>
    <row r="1091" spans="7:8">
      <c r="G1091">
        <f>IF($D1091="", "", IF($D1091="Receipt", $C1091*VLOOKUP($B1091, Items!$A:$E, 5, FALSE), IF($D1091="Consumption", -$C1091*VLOOKUP($B1091, Items!$A:$E, 5, FALSE), "")))</f>
        <v>0</v>
      </c>
      <c r="H1091">
        <f>IF($D1091="Consumption", -$C1091*VLOOKUP($B1091, Items!$A:$E, 5, FALSE), 0)</f>
        <v>0</v>
      </c>
    </row>
    <row r="1092" spans="7:8">
      <c r="G1092">
        <f>IF($D1092="", "", IF($D1092="Receipt", $C1092*VLOOKUP($B1092, Items!$A:$E, 5, FALSE), IF($D1092="Consumption", -$C1092*VLOOKUP($B1092, Items!$A:$E, 5, FALSE), "")))</f>
        <v>0</v>
      </c>
      <c r="H1092">
        <f>IF($D1092="Consumption", -$C1092*VLOOKUP($B1092, Items!$A:$E, 5, FALSE), 0)</f>
        <v>0</v>
      </c>
    </row>
    <row r="1093" spans="7:8">
      <c r="G1093">
        <f>IF($D1093="", "", IF($D1093="Receipt", $C1093*VLOOKUP($B1093, Items!$A:$E, 5, FALSE), IF($D1093="Consumption", -$C1093*VLOOKUP($B1093, Items!$A:$E, 5, FALSE), "")))</f>
        <v>0</v>
      </c>
      <c r="H1093">
        <f>IF($D1093="Consumption", -$C1093*VLOOKUP($B1093, Items!$A:$E, 5, FALSE), 0)</f>
        <v>0</v>
      </c>
    </row>
    <row r="1094" spans="7:8">
      <c r="G1094">
        <f>IF($D1094="", "", IF($D1094="Receipt", $C1094*VLOOKUP($B1094, Items!$A:$E, 5, FALSE), IF($D1094="Consumption", -$C1094*VLOOKUP($B1094, Items!$A:$E, 5, FALSE), "")))</f>
        <v>0</v>
      </c>
      <c r="H1094">
        <f>IF($D1094="Consumption", -$C1094*VLOOKUP($B1094, Items!$A:$E, 5, FALSE), 0)</f>
        <v>0</v>
      </c>
    </row>
    <row r="1095" spans="7:8">
      <c r="G1095">
        <f>IF($D1095="", "", IF($D1095="Receipt", $C1095*VLOOKUP($B1095, Items!$A:$E, 5, FALSE), IF($D1095="Consumption", -$C1095*VLOOKUP($B1095, Items!$A:$E, 5, FALSE), "")))</f>
        <v>0</v>
      </c>
      <c r="H1095">
        <f>IF($D1095="Consumption", -$C1095*VLOOKUP($B1095, Items!$A:$E, 5, FALSE), 0)</f>
        <v>0</v>
      </c>
    </row>
    <row r="1096" spans="7:8">
      <c r="G1096">
        <f>IF($D1096="", "", IF($D1096="Receipt", $C1096*VLOOKUP($B1096, Items!$A:$E, 5, FALSE), IF($D1096="Consumption", -$C1096*VLOOKUP($B1096, Items!$A:$E, 5, FALSE), "")))</f>
        <v>0</v>
      </c>
      <c r="H1096">
        <f>IF($D1096="Consumption", -$C1096*VLOOKUP($B1096, Items!$A:$E, 5, FALSE), 0)</f>
        <v>0</v>
      </c>
    </row>
    <row r="1097" spans="7:8">
      <c r="G1097">
        <f>IF($D1097="", "", IF($D1097="Receipt", $C1097*VLOOKUP($B1097, Items!$A:$E, 5, FALSE), IF($D1097="Consumption", -$C1097*VLOOKUP($B1097, Items!$A:$E, 5, FALSE), "")))</f>
        <v>0</v>
      </c>
      <c r="H1097">
        <f>IF($D1097="Consumption", -$C1097*VLOOKUP($B1097, Items!$A:$E, 5, FALSE), 0)</f>
        <v>0</v>
      </c>
    </row>
    <row r="1098" spans="7:8">
      <c r="G1098">
        <f>IF($D1098="", "", IF($D1098="Receipt", $C1098*VLOOKUP($B1098, Items!$A:$E, 5, FALSE), IF($D1098="Consumption", -$C1098*VLOOKUP($B1098, Items!$A:$E, 5, FALSE), "")))</f>
        <v>0</v>
      </c>
      <c r="H1098">
        <f>IF($D1098="Consumption", -$C1098*VLOOKUP($B1098, Items!$A:$E, 5, FALSE), 0)</f>
        <v>0</v>
      </c>
    </row>
    <row r="1099" spans="7:8">
      <c r="G1099">
        <f>IF($D1099="", "", IF($D1099="Receipt", $C1099*VLOOKUP($B1099, Items!$A:$E, 5, FALSE), IF($D1099="Consumption", -$C1099*VLOOKUP($B1099, Items!$A:$E, 5, FALSE), "")))</f>
        <v>0</v>
      </c>
      <c r="H1099">
        <f>IF($D1099="Consumption", -$C1099*VLOOKUP($B1099, Items!$A:$E, 5, FALSE), 0)</f>
        <v>0</v>
      </c>
    </row>
    <row r="1100" spans="7:8">
      <c r="G1100">
        <f>IF($D1100="", "", IF($D1100="Receipt", $C1100*VLOOKUP($B1100, Items!$A:$E, 5, FALSE), IF($D1100="Consumption", -$C1100*VLOOKUP($B1100, Items!$A:$E, 5, FALSE), "")))</f>
        <v>0</v>
      </c>
      <c r="H1100">
        <f>IF($D1100="Consumption", -$C1100*VLOOKUP($B1100, Items!$A:$E, 5, FALSE), 0)</f>
        <v>0</v>
      </c>
    </row>
    <row r="1101" spans="7:8">
      <c r="G1101">
        <f>IF($D1101="", "", IF($D1101="Receipt", $C1101*VLOOKUP($B1101, Items!$A:$E, 5, FALSE), IF($D1101="Consumption", -$C1101*VLOOKUP($B1101, Items!$A:$E, 5, FALSE), "")))</f>
        <v>0</v>
      </c>
      <c r="H1101">
        <f>IF($D1101="Consumption", -$C1101*VLOOKUP($B1101, Items!$A:$E, 5, FALSE), 0)</f>
        <v>0</v>
      </c>
    </row>
    <row r="1102" spans="7:8">
      <c r="G1102">
        <f>IF($D1102="", "", IF($D1102="Receipt", $C1102*VLOOKUP($B1102, Items!$A:$E, 5, FALSE), IF($D1102="Consumption", -$C1102*VLOOKUP($B1102, Items!$A:$E, 5, FALSE), "")))</f>
        <v>0</v>
      </c>
      <c r="H1102">
        <f>IF($D1102="Consumption", -$C1102*VLOOKUP($B1102, Items!$A:$E, 5, FALSE), 0)</f>
        <v>0</v>
      </c>
    </row>
    <row r="1103" spans="7:8">
      <c r="G1103">
        <f>IF($D1103="", "", IF($D1103="Receipt", $C1103*VLOOKUP($B1103, Items!$A:$E, 5, FALSE), IF($D1103="Consumption", -$C1103*VLOOKUP($B1103, Items!$A:$E, 5, FALSE), "")))</f>
        <v>0</v>
      </c>
      <c r="H1103">
        <f>IF($D1103="Consumption", -$C1103*VLOOKUP($B1103, Items!$A:$E, 5, FALSE), 0)</f>
        <v>0</v>
      </c>
    </row>
    <row r="1104" spans="7:8">
      <c r="G1104">
        <f>IF($D1104="", "", IF($D1104="Receipt", $C1104*VLOOKUP($B1104, Items!$A:$E, 5, FALSE), IF($D1104="Consumption", -$C1104*VLOOKUP($B1104, Items!$A:$E, 5, FALSE), "")))</f>
        <v>0</v>
      </c>
      <c r="H1104">
        <f>IF($D1104="Consumption", -$C1104*VLOOKUP($B1104, Items!$A:$E, 5, FALSE), 0)</f>
        <v>0</v>
      </c>
    </row>
    <row r="1105" spans="7:8">
      <c r="G1105">
        <f>IF($D1105="", "", IF($D1105="Receipt", $C1105*VLOOKUP($B1105, Items!$A:$E, 5, FALSE), IF($D1105="Consumption", -$C1105*VLOOKUP($B1105, Items!$A:$E, 5, FALSE), "")))</f>
        <v>0</v>
      </c>
      <c r="H1105">
        <f>IF($D1105="Consumption", -$C1105*VLOOKUP($B1105, Items!$A:$E, 5, FALSE), 0)</f>
        <v>0</v>
      </c>
    </row>
    <row r="1106" spans="7:8">
      <c r="G1106">
        <f>IF($D1106="", "", IF($D1106="Receipt", $C1106*VLOOKUP($B1106, Items!$A:$E, 5, FALSE), IF($D1106="Consumption", -$C1106*VLOOKUP($B1106, Items!$A:$E, 5, FALSE), "")))</f>
        <v>0</v>
      </c>
      <c r="H1106">
        <f>IF($D1106="Consumption", -$C1106*VLOOKUP($B1106, Items!$A:$E, 5, FALSE), 0)</f>
        <v>0</v>
      </c>
    </row>
    <row r="1107" spans="7:8">
      <c r="G1107">
        <f>IF($D1107="", "", IF($D1107="Receipt", $C1107*VLOOKUP($B1107, Items!$A:$E, 5, FALSE), IF($D1107="Consumption", -$C1107*VLOOKUP($B1107, Items!$A:$E, 5, FALSE), "")))</f>
        <v>0</v>
      </c>
      <c r="H1107">
        <f>IF($D1107="Consumption", -$C1107*VLOOKUP($B1107, Items!$A:$E, 5, FALSE), 0)</f>
        <v>0</v>
      </c>
    </row>
    <row r="1108" spans="7:8">
      <c r="G1108">
        <f>IF($D1108="", "", IF($D1108="Receipt", $C1108*VLOOKUP($B1108, Items!$A:$E, 5, FALSE), IF($D1108="Consumption", -$C1108*VLOOKUP($B1108, Items!$A:$E, 5, FALSE), "")))</f>
        <v>0</v>
      </c>
      <c r="H1108">
        <f>IF($D1108="Consumption", -$C1108*VLOOKUP($B1108, Items!$A:$E, 5, FALSE), 0)</f>
        <v>0</v>
      </c>
    </row>
    <row r="1109" spans="7:8">
      <c r="G1109">
        <f>IF($D1109="", "", IF($D1109="Receipt", $C1109*VLOOKUP($B1109, Items!$A:$E, 5, FALSE), IF($D1109="Consumption", -$C1109*VLOOKUP($B1109, Items!$A:$E, 5, FALSE), "")))</f>
        <v>0</v>
      </c>
      <c r="H1109">
        <f>IF($D1109="Consumption", -$C1109*VLOOKUP($B1109, Items!$A:$E, 5, FALSE), 0)</f>
        <v>0</v>
      </c>
    </row>
    <row r="1110" spans="7:8">
      <c r="G1110">
        <f>IF($D1110="", "", IF($D1110="Receipt", $C1110*VLOOKUP($B1110, Items!$A:$E, 5, FALSE), IF($D1110="Consumption", -$C1110*VLOOKUP($B1110, Items!$A:$E, 5, FALSE), "")))</f>
        <v>0</v>
      </c>
      <c r="H1110">
        <f>IF($D1110="Consumption", -$C1110*VLOOKUP($B1110, Items!$A:$E, 5, FALSE), 0)</f>
        <v>0</v>
      </c>
    </row>
    <row r="1111" spans="7:8">
      <c r="G1111">
        <f>IF($D1111="", "", IF($D1111="Receipt", $C1111*VLOOKUP($B1111, Items!$A:$E, 5, FALSE), IF($D1111="Consumption", -$C1111*VLOOKUP($B1111, Items!$A:$E, 5, FALSE), "")))</f>
        <v>0</v>
      </c>
      <c r="H1111">
        <f>IF($D1111="Consumption", -$C1111*VLOOKUP($B1111, Items!$A:$E, 5, FALSE), 0)</f>
        <v>0</v>
      </c>
    </row>
    <row r="1112" spans="7:8">
      <c r="G1112">
        <f>IF($D1112="", "", IF($D1112="Receipt", $C1112*VLOOKUP($B1112, Items!$A:$E, 5, FALSE), IF($D1112="Consumption", -$C1112*VLOOKUP($B1112, Items!$A:$E, 5, FALSE), "")))</f>
        <v>0</v>
      </c>
      <c r="H1112">
        <f>IF($D1112="Consumption", -$C1112*VLOOKUP($B1112, Items!$A:$E, 5, FALSE), 0)</f>
        <v>0</v>
      </c>
    </row>
    <row r="1113" spans="7:8">
      <c r="G1113">
        <f>IF($D1113="", "", IF($D1113="Receipt", $C1113*VLOOKUP($B1113, Items!$A:$E, 5, FALSE), IF($D1113="Consumption", -$C1113*VLOOKUP($B1113, Items!$A:$E, 5, FALSE), "")))</f>
        <v>0</v>
      </c>
      <c r="H1113">
        <f>IF($D1113="Consumption", -$C1113*VLOOKUP($B1113, Items!$A:$E, 5, FALSE), 0)</f>
        <v>0</v>
      </c>
    </row>
    <row r="1114" spans="7:8">
      <c r="G1114">
        <f>IF($D1114="", "", IF($D1114="Receipt", $C1114*VLOOKUP($B1114, Items!$A:$E, 5, FALSE), IF($D1114="Consumption", -$C1114*VLOOKUP($B1114, Items!$A:$E, 5, FALSE), "")))</f>
        <v>0</v>
      </c>
      <c r="H1114">
        <f>IF($D1114="Consumption", -$C1114*VLOOKUP($B1114, Items!$A:$E, 5, FALSE), 0)</f>
        <v>0</v>
      </c>
    </row>
    <row r="1115" spans="7:8">
      <c r="G1115">
        <f>IF($D1115="", "", IF($D1115="Receipt", $C1115*VLOOKUP($B1115, Items!$A:$E, 5, FALSE), IF($D1115="Consumption", -$C1115*VLOOKUP($B1115, Items!$A:$E, 5, FALSE), "")))</f>
        <v>0</v>
      </c>
      <c r="H1115">
        <f>IF($D1115="Consumption", -$C1115*VLOOKUP($B1115, Items!$A:$E, 5, FALSE), 0)</f>
        <v>0</v>
      </c>
    </row>
    <row r="1116" spans="7:8">
      <c r="G1116">
        <f>IF($D1116="", "", IF($D1116="Receipt", $C1116*VLOOKUP($B1116, Items!$A:$E, 5, FALSE), IF($D1116="Consumption", -$C1116*VLOOKUP($B1116, Items!$A:$E, 5, FALSE), "")))</f>
        <v>0</v>
      </c>
      <c r="H1116">
        <f>IF($D1116="Consumption", -$C1116*VLOOKUP($B1116, Items!$A:$E, 5, FALSE), 0)</f>
        <v>0</v>
      </c>
    </row>
    <row r="1117" spans="7:8">
      <c r="G1117">
        <f>IF($D1117="", "", IF($D1117="Receipt", $C1117*VLOOKUP($B1117, Items!$A:$E, 5, FALSE), IF($D1117="Consumption", -$C1117*VLOOKUP($B1117, Items!$A:$E, 5, FALSE), "")))</f>
        <v>0</v>
      </c>
      <c r="H1117">
        <f>IF($D1117="Consumption", -$C1117*VLOOKUP($B1117, Items!$A:$E, 5, FALSE), 0)</f>
        <v>0</v>
      </c>
    </row>
    <row r="1118" spans="7:8">
      <c r="G1118">
        <f>IF($D1118="", "", IF($D1118="Receipt", $C1118*VLOOKUP($B1118, Items!$A:$E, 5, FALSE), IF($D1118="Consumption", -$C1118*VLOOKUP($B1118, Items!$A:$E, 5, FALSE), "")))</f>
        <v>0</v>
      </c>
      <c r="H1118">
        <f>IF($D1118="Consumption", -$C1118*VLOOKUP($B1118, Items!$A:$E, 5, FALSE), 0)</f>
        <v>0</v>
      </c>
    </row>
    <row r="1119" spans="7:8">
      <c r="G1119">
        <f>IF($D1119="", "", IF($D1119="Receipt", $C1119*VLOOKUP($B1119, Items!$A:$E, 5, FALSE), IF($D1119="Consumption", -$C1119*VLOOKUP($B1119, Items!$A:$E, 5, FALSE), "")))</f>
        <v>0</v>
      </c>
      <c r="H1119">
        <f>IF($D1119="Consumption", -$C1119*VLOOKUP($B1119, Items!$A:$E, 5, FALSE), 0)</f>
        <v>0</v>
      </c>
    </row>
    <row r="1120" spans="7:8">
      <c r="G1120">
        <f>IF($D1120="", "", IF($D1120="Receipt", $C1120*VLOOKUP($B1120, Items!$A:$E, 5, FALSE), IF($D1120="Consumption", -$C1120*VLOOKUP($B1120, Items!$A:$E, 5, FALSE), "")))</f>
        <v>0</v>
      </c>
      <c r="H1120">
        <f>IF($D1120="Consumption", -$C1120*VLOOKUP($B1120, Items!$A:$E, 5, FALSE), 0)</f>
        <v>0</v>
      </c>
    </row>
    <row r="1121" spans="7:8">
      <c r="G1121">
        <f>IF($D1121="", "", IF($D1121="Receipt", $C1121*VLOOKUP($B1121, Items!$A:$E, 5, FALSE), IF($D1121="Consumption", -$C1121*VLOOKUP($B1121, Items!$A:$E, 5, FALSE), "")))</f>
        <v>0</v>
      </c>
      <c r="H1121">
        <f>IF($D1121="Consumption", -$C1121*VLOOKUP($B1121, Items!$A:$E, 5, FALSE), 0)</f>
        <v>0</v>
      </c>
    </row>
    <row r="1122" spans="7:8">
      <c r="G1122">
        <f>IF($D1122="", "", IF($D1122="Receipt", $C1122*VLOOKUP($B1122, Items!$A:$E, 5, FALSE), IF($D1122="Consumption", -$C1122*VLOOKUP($B1122, Items!$A:$E, 5, FALSE), "")))</f>
        <v>0</v>
      </c>
      <c r="H1122">
        <f>IF($D1122="Consumption", -$C1122*VLOOKUP($B1122, Items!$A:$E, 5, FALSE), 0)</f>
        <v>0</v>
      </c>
    </row>
    <row r="1123" spans="7:8">
      <c r="G1123">
        <f>IF($D1123="", "", IF($D1123="Receipt", $C1123*VLOOKUP($B1123, Items!$A:$E, 5, FALSE), IF($D1123="Consumption", -$C1123*VLOOKUP($B1123, Items!$A:$E, 5, FALSE), "")))</f>
        <v>0</v>
      </c>
      <c r="H1123">
        <f>IF($D1123="Consumption", -$C1123*VLOOKUP($B1123, Items!$A:$E, 5, FALSE), 0)</f>
        <v>0</v>
      </c>
    </row>
    <row r="1124" spans="7:8">
      <c r="G1124">
        <f>IF($D1124="", "", IF($D1124="Receipt", $C1124*VLOOKUP($B1124, Items!$A:$E, 5, FALSE), IF($D1124="Consumption", -$C1124*VLOOKUP($B1124, Items!$A:$E, 5, FALSE), "")))</f>
        <v>0</v>
      </c>
      <c r="H1124">
        <f>IF($D1124="Consumption", -$C1124*VLOOKUP($B1124, Items!$A:$E, 5, FALSE), 0)</f>
        <v>0</v>
      </c>
    </row>
    <row r="1125" spans="7:8">
      <c r="G1125">
        <f>IF($D1125="", "", IF($D1125="Receipt", $C1125*VLOOKUP($B1125, Items!$A:$E, 5, FALSE), IF($D1125="Consumption", -$C1125*VLOOKUP($B1125, Items!$A:$E, 5, FALSE), "")))</f>
        <v>0</v>
      </c>
      <c r="H1125">
        <f>IF($D1125="Consumption", -$C1125*VLOOKUP($B1125, Items!$A:$E, 5, FALSE), 0)</f>
        <v>0</v>
      </c>
    </row>
    <row r="1126" spans="7:8">
      <c r="G1126">
        <f>IF($D1126="", "", IF($D1126="Receipt", $C1126*VLOOKUP($B1126, Items!$A:$E, 5, FALSE), IF($D1126="Consumption", -$C1126*VLOOKUP($B1126, Items!$A:$E, 5, FALSE), "")))</f>
        <v>0</v>
      </c>
      <c r="H1126">
        <f>IF($D1126="Consumption", -$C1126*VLOOKUP($B1126, Items!$A:$E, 5, FALSE), 0)</f>
        <v>0</v>
      </c>
    </row>
    <row r="1127" spans="7:8">
      <c r="G1127">
        <f>IF($D1127="", "", IF($D1127="Receipt", $C1127*VLOOKUP($B1127, Items!$A:$E, 5, FALSE), IF($D1127="Consumption", -$C1127*VLOOKUP($B1127, Items!$A:$E, 5, FALSE), "")))</f>
        <v>0</v>
      </c>
      <c r="H1127">
        <f>IF($D1127="Consumption", -$C1127*VLOOKUP($B1127, Items!$A:$E, 5, FALSE), 0)</f>
        <v>0</v>
      </c>
    </row>
    <row r="1128" spans="7:8">
      <c r="G1128">
        <f>IF($D1128="", "", IF($D1128="Receipt", $C1128*VLOOKUP($B1128, Items!$A:$E, 5, FALSE), IF($D1128="Consumption", -$C1128*VLOOKUP($B1128, Items!$A:$E, 5, FALSE), "")))</f>
        <v>0</v>
      </c>
      <c r="H1128">
        <f>IF($D1128="Consumption", -$C1128*VLOOKUP($B1128, Items!$A:$E, 5, FALSE), 0)</f>
        <v>0</v>
      </c>
    </row>
    <row r="1129" spans="7:8">
      <c r="G1129">
        <f>IF($D1129="", "", IF($D1129="Receipt", $C1129*VLOOKUP($B1129, Items!$A:$E, 5, FALSE), IF($D1129="Consumption", -$C1129*VLOOKUP($B1129, Items!$A:$E, 5, FALSE), "")))</f>
        <v>0</v>
      </c>
      <c r="H1129">
        <f>IF($D1129="Consumption", -$C1129*VLOOKUP($B1129, Items!$A:$E, 5, FALSE), 0)</f>
        <v>0</v>
      </c>
    </row>
    <row r="1130" spans="7:8">
      <c r="G1130">
        <f>IF($D1130="", "", IF($D1130="Receipt", $C1130*VLOOKUP($B1130, Items!$A:$E, 5, FALSE), IF($D1130="Consumption", -$C1130*VLOOKUP($B1130, Items!$A:$E, 5, FALSE), "")))</f>
        <v>0</v>
      </c>
      <c r="H1130">
        <f>IF($D1130="Consumption", -$C1130*VLOOKUP($B1130, Items!$A:$E, 5, FALSE), 0)</f>
        <v>0</v>
      </c>
    </row>
    <row r="1131" spans="7:8">
      <c r="G1131">
        <f>IF($D1131="", "", IF($D1131="Receipt", $C1131*VLOOKUP($B1131, Items!$A:$E, 5, FALSE), IF($D1131="Consumption", -$C1131*VLOOKUP($B1131, Items!$A:$E, 5, FALSE), "")))</f>
        <v>0</v>
      </c>
      <c r="H1131">
        <f>IF($D1131="Consumption", -$C1131*VLOOKUP($B1131, Items!$A:$E, 5, FALSE), 0)</f>
        <v>0</v>
      </c>
    </row>
    <row r="1132" spans="7:8">
      <c r="G1132">
        <f>IF($D1132="", "", IF($D1132="Receipt", $C1132*VLOOKUP($B1132, Items!$A:$E, 5, FALSE), IF($D1132="Consumption", -$C1132*VLOOKUP($B1132, Items!$A:$E, 5, FALSE), "")))</f>
        <v>0</v>
      </c>
      <c r="H1132">
        <f>IF($D1132="Consumption", -$C1132*VLOOKUP($B1132, Items!$A:$E, 5, FALSE), 0)</f>
        <v>0</v>
      </c>
    </row>
    <row r="1133" spans="7:8">
      <c r="G1133">
        <f>IF($D1133="", "", IF($D1133="Receipt", $C1133*VLOOKUP($B1133, Items!$A:$E, 5, FALSE), IF($D1133="Consumption", -$C1133*VLOOKUP($B1133, Items!$A:$E, 5, FALSE), "")))</f>
        <v>0</v>
      </c>
      <c r="H1133">
        <f>IF($D1133="Consumption", -$C1133*VLOOKUP($B1133, Items!$A:$E, 5, FALSE), 0)</f>
        <v>0</v>
      </c>
    </row>
    <row r="1134" spans="7:8">
      <c r="G1134">
        <f>IF($D1134="", "", IF($D1134="Receipt", $C1134*VLOOKUP($B1134, Items!$A:$E, 5, FALSE), IF($D1134="Consumption", -$C1134*VLOOKUP($B1134, Items!$A:$E, 5, FALSE), "")))</f>
        <v>0</v>
      </c>
      <c r="H1134">
        <f>IF($D1134="Consumption", -$C1134*VLOOKUP($B1134, Items!$A:$E, 5, FALSE), 0)</f>
        <v>0</v>
      </c>
    </row>
    <row r="1135" spans="7:8">
      <c r="G1135">
        <f>IF($D1135="", "", IF($D1135="Receipt", $C1135*VLOOKUP($B1135, Items!$A:$E, 5, FALSE), IF($D1135="Consumption", -$C1135*VLOOKUP($B1135, Items!$A:$E, 5, FALSE), "")))</f>
        <v>0</v>
      </c>
      <c r="H1135">
        <f>IF($D1135="Consumption", -$C1135*VLOOKUP($B1135, Items!$A:$E, 5, FALSE), 0)</f>
        <v>0</v>
      </c>
    </row>
    <row r="1136" spans="7:8">
      <c r="G1136">
        <f>IF($D1136="", "", IF($D1136="Receipt", $C1136*VLOOKUP($B1136, Items!$A:$E, 5, FALSE), IF($D1136="Consumption", -$C1136*VLOOKUP($B1136, Items!$A:$E, 5, FALSE), "")))</f>
        <v>0</v>
      </c>
      <c r="H1136">
        <f>IF($D1136="Consumption", -$C1136*VLOOKUP($B1136, Items!$A:$E, 5, FALSE), 0)</f>
        <v>0</v>
      </c>
    </row>
    <row r="1137" spans="7:8">
      <c r="G1137">
        <f>IF($D1137="", "", IF($D1137="Receipt", $C1137*VLOOKUP($B1137, Items!$A:$E, 5, FALSE), IF($D1137="Consumption", -$C1137*VLOOKUP($B1137, Items!$A:$E, 5, FALSE), "")))</f>
        <v>0</v>
      </c>
      <c r="H1137">
        <f>IF($D1137="Consumption", -$C1137*VLOOKUP($B1137, Items!$A:$E, 5, FALSE), 0)</f>
        <v>0</v>
      </c>
    </row>
    <row r="1138" spans="7:8">
      <c r="G1138">
        <f>IF($D1138="", "", IF($D1138="Receipt", $C1138*VLOOKUP($B1138, Items!$A:$E, 5, FALSE), IF($D1138="Consumption", -$C1138*VLOOKUP($B1138, Items!$A:$E, 5, FALSE), "")))</f>
        <v>0</v>
      </c>
      <c r="H1138">
        <f>IF($D1138="Consumption", -$C1138*VLOOKUP($B1138, Items!$A:$E, 5, FALSE), 0)</f>
        <v>0</v>
      </c>
    </row>
    <row r="1139" spans="7:8">
      <c r="G1139">
        <f>IF($D1139="", "", IF($D1139="Receipt", $C1139*VLOOKUP($B1139, Items!$A:$E, 5, FALSE), IF($D1139="Consumption", -$C1139*VLOOKUP($B1139, Items!$A:$E, 5, FALSE), "")))</f>
        <v>0</v>
      </c>
      <c r="H1139">
        <f>IF($D1139="Consumption", -$C1139*VLOOKUP($B1139, Items!$A:$E, 5, FALSE), 0)</f>
        <v>0</v>
      </c>
    </row>
    <row r="1140" spans="7:8">
      <c r="G1140">
        <f>IF($D1140="", "", IF($D1140="Receipt", $C1140*VLOOKUP($B1140, Items!$A:$E, 5, FALSE), IF($D1140="Consumption", -$C1140*VLOOKUP($B1140, Items!$A:$E, 5, FALSE), "")))</f>
        <v>0</v>
      </c>
      <c r="H1140">
        <f>IF($D1140="Consumption", -$C1140*VLOOKUP($B1140, Items!$A:$E, 5, FALSE), 0)</f>
        <v>0</v>
      </c>
    </row>
    <row r="1141" spans="7:8">
      <c r="G1141">
        <f>IF($D1141="", "", IF($D1141="Receipt", $C1141*VLOOKUP($B1141, Items!$A:$E, 5, FALSE), IF($D1141="Consumption", -$C1141*VLOOKUP($B1141, Items!$A:$E, 5, FALSE), "")))</f>
        <v>0</v>
      </c>
      <c r="H1141">
        <f>IF($D1141="Consumption", -$C1141*VLOOKUP($B1141, Items!$A:$E, 5, FALSE), 0)</f>
        <v>0</v>
      </c>
    </row>
    <row r="1142" spans="7:8">
      <c r="G1142">
        <f>IF($D1142="", "", IF($D1142="Receipt", $C1142*VLOOKUP($B1142, Items!$A:$E, 5, FALSE), IF($D1142="Consumption", -$C1142*VLOOKUP($B1142, Items!$A:$E, 5, FALSE), "")))</f>
        <v>0</v>
      </c>
      <c r="H1142">
        <f>IF($D1142="Consumption", -$C1142*VLOOKUP($B1142, Items!$A:$E, 5, FALSE), 0)</f>
        <v>0</v>
      </c>
    </row>
    <row r="1143" spans="7:8">
      <c r="G1143">
        <f>IF($D1143="", "", IF($D1143="Receipt", $C1143*VLOOKUP($B1143, Items!$A:$E, 5, FALSE), IF($D1143="Consumption", -$C1143*VLOOKUP($B1143, Items!$A:$E, 5, FALSE), "")))</f>
        <v>0</v>
      </c>
      <c r="H1143">
        <f>IF($D1143="Consumption", -$C1143*VLOOKUP($B1143, Items!$A:$E, 5, FALSE), 0)</f>
        <v>0</v>
      </c>
    </row>
    <row r="1144" spans="7:8">
      <c r="G1144">
        <f>IF($D1144="", "", IF($D1144="Receipt", $C1144*VLOOKUP($B1144, Items!$A:$E, 5, FALSE), IF($D1144="Consumption", -$C1144*VLOOKUP($B1144, Items!$A:$E, 5, FALSE), "")))</f>
        <v>0</v>
      </c>
      <c r="H1144">
        <f>IF($D1144="Consumption", -$C1144*VLOOKUP($B1144, Items!$A:$E, 5, FALSE), 0)</f>
        <v>0</v>
      </c>
    </row>
    <row r="1145" spans="7:8">
      <c r="G1145">
        <f>IF($D1145="", "", IF($D1145="Receipt", $C1145*VLOOKUP($B1145, Items!$A:$E, 5, FALSE), IF($D1145="Consumption", -$C1145*VLOOKUP($B1145, Items!$A:$E, 5, FALSE), "")))</f>
        <v>0</v>
      </c>
      <c r="H1145">
        <f>IF($D1145="Consumption", -$C1145*VLOOKUP($B1145, Items!$A:$E, 5, FALSE), 0)</f>
        <v>0</v>
      </c>
    </row>
    <row r="1146" spans="7:8">
      <c r="G1146">
        <f>IF($D1146="", "", IF($D1146="Receipt", $C1146*VLOOKUP($B1146, Items!$A:$E, 5, FALSE), IF($D1146="Consumption", -$C1146*VLOOKUP($B1146, Items!$A:$E, 5, FALSE), "")))</f>
        <v>0</v>
      </c>
      <c r="H1146">
        <f>IF($D1146="Consumption", -$C1146*VLOOKUP($B1146, Items!$A:$E, 5, FALSE), 0)</f>
        <v>0</v>
      </c>
    </row>
    <row r="1147" spans="7:8">
      <c r="G1147">
        <f>IF($D1147="", "", IF($D1147="Receipt", $C1147*VLOOKUP($B1147, Items!$A:$E, 5, FALSE), IF($D1147="Consumption", -$C1147*VLOOKUP($B1147, Items!$A:$E, 5, FALSE), "")))</f>
        <v>0</v>
      </c>
      <c r="H1147">
        <f>IF($D1147="Consumption", -$C1147*VLOOKUP($B1147, Items!$A:$E, 5, FALSE), 0)</f>
        <v>0</v>
      </c>
    </row>
    <row r="1148" spans="7:8">
      <c r="G1148">
        <f>IF($D1148="", "", IF($D1148="Receipt", $C1148*VLOOKUP($B1148, Items!$A:$E, 5, FALSE), IF($D1148="Consumption", -$C1148*VLOOKUP($B1148, Items!$A:$E, 5, FALSE), "")))</f>
        <v>0</v>
      </c>
      <c r="H1148">
        <f>IF($D1148="Consumption", -$C1148*VLOOKUP($B1148, Items!$A:$E, 5, FALSE), 0)</f>
        <v>0</v>
      </c>
    </row>
    <row r="1149" spans="7:8">
      <c r="G1149">
        <f>IF($D1149="", "", IF($D1149="Receipt", $C1149*VLOOKUP($B1149, Items!$A:$E, 5, FALSE), IF($D1149="Consumption", -$C1149*VLOOKUP($B1149, Items!$A:$E, 5, FALSE), "")))</f>
        <v>0</v>
      </c>
      <c r="H1149">
        <f>IF($D1149="Consumption", -$C1149*VLOOKUP($B1149, Items!$A:$E, 5, FALSE), 0)</f>
        <v>0</v>
      </c>
    </row>
    <row r="1150" spans="7:8">
      <c r="G1150">
        <f>IF($D1150="", "", IF($D1150="Receipt", $C1150*VLOOKUP($B1150, Items!$A:$E, 5, FALSE), IF($D1150="Consumption", -$C1150*VLOOKUP($B1150, Items!$A:$E, 5, FALSE), "")))</f>
        <v>0</v>
      </c>
      <c r="H1150">
        <f>IF($D1150="Consumption", -$C1150*VLOOKUP($B1150, Items!$A:$E, 5, FALSE), 0)</f>
        <v>0</v>
      </c>
    </row>
    <row r="1151" spans="7:8">
      <c r="G1151">
        <f>IF($D1151="", "", IF($D1151="Receipt", $C1151*VLOOKUP($B1151, Items!$A:$E, 5, FALSE), IF($D1151="Consumption", -$C1151*VLOOKUP($B1151, Items!$A:$E, 5, FALSE), "")))</f>
        <v>0</v>
      </c>
      <c r="H1151">
        <f>IF($D1151="Consumption", -$C1151*VLOOKUP($B1151, Items!$A:$E, 5, FALSE), 0)</f>
        <v>0</v>
      </c>
    </row>
    <row r="1152" spans="7:8">
      <c r="G1152">
        <f>IF($D1152="", "", IF($D1152="Receipt", $C1152*VLOOKUP($B1152, Items!$A:$E, 5, FALSE), IF($D1152="Consumption", -$C1152*VLOOKUP($B1152, Items!$A:$E, 5, FALSE), "")))</f>
        <v>0</v>
      </c>
      <c r="H1152">
        <f>IF($D1152="Consumption", -$C1152*VLOOKUP($B1152, Items!$A:$E, 5, FALSE), 0)</f>
        <v>0</v>
      </c>
    </row>
    <row r="1153" spans="7:8">
      <c r="G1153">
        <f>IF($D1153="", "", IF($D1153="Receipt", $C1153*VLOOKUP($B1153, Items!$A:$E, 5, FALSE), IF($D1153="Consumption", -$C1153*VLOOKUP($B1153, Items!$A:$E, 5, FALSE), "")))</f>
        <v>0</v>
      </c>
      <c r="H1153">
        <f>IF($D1153="Consumption", -$C1153*VLOOKUP($B1153, Items!$A:$E, 5, FALSE), 0)</f>
        <v>0</v>
      </c>
    </row>
    <row r="1154" spans="7:8">
      <c r="G1154">
        <f>IF($D1154="", "", IF($D1154="Receipt", $C1154*VLOOKUP($B1154, Items!$A:$E, 5, FALSE), IF($D1154="Consumption", -$C1154*VLOOKUP($B1154, Items!$A:$E, 5, FALSE), "")))</f>
        <v>0</v>
      </c>
      <c r="H1154">
        <f>IF($D1154="Consumption", -$C1154*VLOOKUP($B1154, Items!$A:$E, 5, FALSE), 0)</f>
        <v>0</v>
      </c>
    </row>
    <row r="1155" spans="7:8">
      <c r="G1155">
        <f>IF($D1155="", "", IF($D1155="Receipt", $C1155*VLOOKUP($B1155, Items!$A:$E, 5, FALSE), IF($D1155="Consumption", -$C1155*VLOOKUP($B1155, Items!$A:$E, 5, FALSE), "")))</f>
        <v>0</v>
      </c>
      <c r="H1155">
        <f>IF($D1155="Consumption", -$C1155*VLOOKUP($B1155, Items!$A:$E, 5, FALSE), 0)</f>
        <v>0</v>
      </c>
    </row>
    <row r="1156" spans="7:8">
      <c r="G1156">
        <f>IF($D1156="", "", IF($D1156="Receipt", $C1156*VLOOKUP($B1156, Items!$A:$E, 5, FALSE), IF($D1156="Consumption", -$C1156*VLOOKUP($B1156, Items!$A:$E, 5, FALSE), "")))</f>
        <v>0</v>
      </c>
      <c r="H1156">
        <f>IF($D1156="Consumption", -$C1156*VLOOKUP($B1156, Items!$A:$E, 5, FALSE), 0)</f>
        <v>0</v>
      </c>
    </row>
    <row r="1157" spans="7:8">
      <c r="G1157">
        <f>IF($D1157="", "", IF($D1157="Receipt", $C1157*VLOOKUP($B1157, Items!$A:$E, 5, FALSE), IF($D1157="Consumption", -$C1157*VLOOKUP($B1157, Items!$A:$E, 5, FALSE), "")))</f>
        <v>0</v>
      </c>
      <c r="H1157">
        <f>IF($D1157="Consumption", -$C1157*VLOOKUP($B1157, Items!$A:$E, 5, FALSE), 0)</f>
        <v>0</v>
      </c>
    </row>
    <row r="1158" spans="7:8">
      <c r="G1158">
        <f>IF($D1158="", "", IF($D1158="Receipt", $C1158*VLOOKUP($B1158, Items!$A:$E, 5, FALSE), IF($D1158="Consumption", -$C1158*VLOOKUP($B1158, Items!$A:$E, 5, FALSE), "")))</f>
        <v>0</v>
      </c>
      <c r="H1158">
        <f>IF($D1158="Consumption", -$C1158*VLOOKUP($B1158, Items!$A:$E, 5, FALSE), 0)</f>
        <v>0</v>
      </c>
    </row>
    <row r="1159" spans="7:8">
      <c r="G1159">
        <f>IF($D1159="", "", IF($D1159="Receipt", $C1159*VLOOKUP($B1159, Items!$A:$E, 5, FALSE), IF($D1159="Consumption", -$C1159*VLOOKUP($B1159, Items!$A:$E, 5, FALSE), "")))</f>
        <v>0</v>
      </c>
      <c r="H1159">
        <f>IF($D1159="Consumption", -$C1159*VLOOKUP($B1159, Items!$A:$E, 5, FALSE), 0)</f>
        <v>0</v>
      </c>
    </row>
    <row r="1160" spans="7:8">
      <c r="G1160">
        <f>IF($D1160="", "", IF($D1160="Receipt", $C1160*VLOOKUP($B1160, Items!$A:$E, 5, FALSE), IF($D1160="Consumption", -$C1160*VLOOKUP($B1160, Items!$A:$E, 5, FALSE), "")))</f>
        <v>0</v>
      </c>
      <c r="H1160">
        <f>IF($D1160="Consumption", -$C1160*VLOOKUP($B1160, Items!$A:$E, 5, FALSE), 0)</f>
        <v>0</v>
      </c>
    </row>
    <row r="1161" spans="7:8">
      <c r="G1161">
        <f>IF($D1161="", "", IF($D1161="Receipt", $C1161*VLOOKUP($B1161, Items!$A:$E, 5, FALSE), IF($D1161="Consumption", -$C1161*VLOOKUP($B1161, Items!$A:$E, 5, FALSE), "")))</f>
        <v>0</v>
      </c>
      <c r="H1161">
        <f>IF($D1161="Consumption", -$C1161*VLOOKUP($B1161, Items!$A:$E, 5, FALSE), 0)</f>
        <v>0</v>
      </c>
    </row>
    <row r="1162" spans="7:8">
      <c r="G1162">
        <f>IF($D1162="", "", IF($D1162="Receipt", $C1162*VLOOKUP($B1162, Items!$A:$E, 5, FALSE), IF($D1162="Consumption", -$C1162*VLOOKUP($B1162, Items!$A:$E, 5, FALSE), "")))</f>
        <v>0</v>
      </c>
      <c r="H1162">
        <f>IF($D1162="Consumption", -$C1162*VLOOKUP($B1162, Items!$A:$E, 5, FALSE), 0)</f>
        <v>0</v>
      </c>
    </row>
    <row r="1163" spans="7:8">
      <c r="G1163">
        <f>IF($D1163="", "", IF($D1163="Receipt", $C1163*VLOOKUP($B1163, Items!$A:$E, 5, FALSE), IF($D1163="Consumption", -$C1163*VLOOKUP($B1163, Items!$A:$E, 5, FALSE), "")))</f>
        <v>0</v>
      </c>
      <c r="H1163">
        <f>IF($D1163="Consumption", -$C1163*VLOOKUP($B1163, Items!$A:$E, 5, FALSE), 0)</f>
        <v>0</v>
      </c>
    </row>
    <row r="1164" spans="7:8">
      <c r="G1164">
        <f>IF($D1164="", "", IF($D1164="Receipt", $C1164*VLOOKUP($B1164, Items!$A:$E, 5, FALSE), IF($D1164="Consumption", -$C1164*VLOOKUP($B1164, Items!$A:$E, 5, FALSE), "")))</f>
        <v>0</v>
      </c>
      <c r="H1164">
        <f>IF($D1164="Consumption", -$C1164*VLOOKUP($B1164, Items!$A:$E, 5, FALSE), 0)</f>
        <v>0</v>
      </c>
    </row>
    <row r="1165" spans="7:8">
      <c r="G1165">
        <f>IF($D1165="", "", IF($D1165="Receipt", $C1165*VLOOKUP($B1165, Items!$A:$E, 5, FALSE), IF($D1165="Consumption", -$C1165*VLOOKUP($B1165, Items!$A:$E, 5, FALSE), "")))</f>
        <v>0</v>
      </c>
      <c r="H1165">
        <f>IF($D1165="Consumption", -$C1165*VLOOKUP($B1165, Items!$A:$E, 5, FALSE), 0)</f>
        <v>0</v>
      </c>
    </row>
    <row r="1166" spans="7:8">
      <c r="G1166">
        <f>IF($D1166="", "", IF($D1166="Receipt", $C1166*VLOOKUP($B1166, Items!$A:$E, 5, FALSE), IF($D1166="Consumption", -$C1166*VLOOKUP($B1166, Items!$A:$E, 5, FALSE), "")))</f>
        <v>0</v>
      </c>
      <c r="H1166">
        <f>IF($D1166="Consumption", -$C1166*VLOOKUP($B1166, Items!$A:$E, 5, FALSE), 0)</f>
        <v>0</v>
      </c>
    </row>
    <row r="1167" spans="7:8">
      <c r="G1167">
        <f>IF($D1167="", "", IF($D1167="Receipt", $C1167*VLOOKUP($B1167, Items!$A:$E, 5, FALSE), IF($D1167="Consumption", -$C1167*VLOOKUP($B1167, Items!$A:$E, 5, FALSE), "")))</f>
        <v>0</v>
      </c>
      <c r="H1167">
        <f>IF($D1167="Consumption", -$C1167*VLOOKUP($B1167, Items!$A:$E, 5, FALSE), 0)</f>
        <v>0</v>
      </c>
    </row>
    <row r="1168" spans="7:8">
      <c r="G1168">
        <f>IF($D1168="", "", IF($D1168="Receipt", $C1168*VLOOKUP($B1168, Items!$A:$E, 5, FALSE), IF($D1168="Consumption", -$C1168*VLOOKUP($B1168, Items!$A:$E, 5, FALSE), "")))</f>
        <v>0</v>
      </c>
      <c r="H1168">
        <f>IF($D1168="Consumption", -$C1168*VLOOKUP($B1168, Items!$A:$E, 5, FALSE), 0)</f>
        <v>0</v>
      </c>
    </row>
    <row r="1169" spans="7:8">
      <c r="G1169">
        <f>IF($D1169="", "", IF($D1169="Receipt", $C1169*VLOOKUP($B1169, Items!$A:$E, 5, FALSE), IF($D1169="Consumption", -$C1169*VLOOKUP($B1169, Items!$A:$E, 5, FALSE), "")))</f>
        <v>0</v>
      </c>
      <c r="H1169">
        <f>IF($D1169="Consumption", -$C1169*VLOOKUP($B1169, Items!$A:$E, 5, FALSE), 0)</f>
        <v>0</v>
      </c>
    </row>
    <row r="1170" spans="7:8">
      <c r="G1170">
        <f>IF($D1170="", "", IF($D1170="Receipt", $C1170*VLOOKUP($B1170, Items!$A:$E, 5, FALSE), IF($D1170="Consumption", -$C1170*VLOOKUP($B1170, Items!$A:$E, 5, FALSE), "")))</f>
        <v>0</v>
      </c>
      <c r="H1170">
        <f>IF($D1170="Consumption", -$C1170*VLOOKUP($B1170, Items!$A:$E, 5, FALSE), 0)</f>
        <v>0</v>
      </c>
    </row>
    <row r="1171" spans="7:8">
      <c r="G1171">
        <f>IF($D1171="", "", IF($D1171="Receipt", $C1171*VLOOKUP($B1171, Items!$A:$E, 5, FALSE), IF($D1171="Consumption", -$C1171*VLOOKUP($B1171, Items!$A:$E, 5, FALSE), "")))</f>
        <v>0</v>
      </c>
      <c r="H1171">
        <f>IF($D1171="Consumption", -$C1171*VLOOKUP($B1171, Items!$A:$E, 5, FALSE), 0)</f>
        <v>0</v>
      </c>
    </row>
    <row r="1172" spans="7:8">
      <c r="G1172">
        <f>IF($D1172="", "", IF($D1172="Receipt", $C1172*VLOOKUP($B1172, Items!$A:$E, 5, FALSE), IF($D1172="Consumption", -$C1172*VLOOKUP($B1172, Items!$A:$E, 5, FALSE), "")))</f>
        <v>0</v>
      </c>
      <c r="H1172">
        <f>IF($D1172="Consumption", -$C1172*VLOOKUP($B1172, Items!$A:$E, 5, FALSE), 0)</f>
        <v>0</v>
      </c>
    </row>
    <row r="1173" spans="7:8">
      <c r="G1173">
        <f>IF($D1173="", "", IF($D1173="Receipt", $C1173*VLOOKUP($B1173, Items!$A:$E, 5, FALSE), IF($D1173="Consumption", -$C1173*VLOOKUP($B1173, Items!$A:$E, 5, FALSE), "")))</f>
        <v>0</v>
      </c>
      <c r="H1173">
        <f>IF($D1173="Consumption", -$C1173*VLOOKUP($B1173, Items!$A:$E, 5, FALSE), 0)</f>
        <v>0</v>
      </c>
    </row>
    <row r="1174" spans="7:8">
      <c r="G1174">
        <f>IF($D1174="", "", IF($D1174="Receipt", $C1174*VLOOKUP($B1174, Items!$A:$E, 5, FALSE), IF($D1174="Consumption", -$C1174*VLOOKUP($B1174, Items!$A:$E, 5, FALSE), "")))</f>
        <v>0</v>
      </c>
      <c r="H1174">
        <f>IF($D1174="Consumption", -$C1174*VLOOKUP($B1174, Items!$A:$E, 5, FALSE), 0)</f>
        <v>0</v>
      </c>
    </row>
    <row r="1175" spans="7:8">
      <c r="G1175">
        <f>IF($D1175="", "", IF($D1175="Receipt", $C1175*VLOOKUP($B1175, Items!$A:$E, 5, FALSE), IF($D1175="Consumption", -$C1175*VLOOKUP($B1175, Items!$A:$E, 5, FALSE), "")))</f>
        <v>0</v>
      </c>
      <c r="H1175">
        <f>IF($D1175="Consumption", -$C1175*VLOOKUP($B1175, Items!$A:$E, 5, FALSE), 0)</f>
        <v>0</v>
      </c>
    </row>
    <row r="1176" spans="7:8">
      <c r="G1176">
        <f>IF($D1176="", "", IF($D1176="Receipt", $C1176*VLOOKUP($B1176, Items!$A:$E, 5, FALSE), IF($D1176="Consumption", -$C1176*VLOOKUP($B1176, Items!$A:$E, 5, FALSE), "")))</f>
        <v>0</v>
      </c>
      <c r="H1176">
        <f>IF($D1176="Consumption", -$C1176*VLOOKUP($B1176, Items!$A:$E, 5, FALSE), 0)</f>
        <v>0</v>
      </c>
    </row>
    <row r="1177" spans="7:8">
      <c r="G1177">
        <f>IF($D1177="", "", IF($D1177="Receipt", $C1177*VLOOKUP($B1177, Items!$A:$E, 5, FALSE), IF($D1177="Consumption", -$C1177*VLOOKUP($B1177, Items!$A:$E, 5, FALSE), "")))</f>
        <v>0</v>
      </c>
      <c r="H1177">
        <f>IF($D1177="Consumption", -$C1177*VLOOKUP($B1177, Items!$A:$E, 5, FALSE), 0)</f>
        <v>0</v>
      </c>
    </row>
    <row r="1178" spans="7:8">
      <c r="G1178">
        <f>IF($D1178="", "", IF($D1178="Receipt", $C1178*VLOOKUP($B1178, Items!$A:$E, 5, FALSE), IF($D1178="Consumption", -$C1178*VLOOKUP($B1178, Items!$A:$E, 5, FALSE), "")))</f>
        <v>0</v>
      </c>
      <c r="H1178">
        <f>IF($D1178="Consumption", -$C1178*VLOOKUP($B1178, Items!$A:$E, 5, FALSE), 0)</f>
        <v>0</v>
      </c>
    </row>
    <row r="1179" spans="7:8">
      <c r="G1179">
        <f>IF($D1179="", "", IF($D1179="Receipt", $C1179*VLOOKUP($B1179, Items!$A:$E, 5, FALSE), IF($D1179="Consumption", -$C1179*VLOOKUP($B1179, Items!$A:$E, 5, FALSE), "")))</f>
        <v>0</v>
      </c>
      <c r="H1179">
        <f>IF($D1179="Consumption", -$C1179*VLOOKUP($B1179, Items!$A:$E, 5, FALSE), 0)</f>
        <v>0</v>
      </c>
    </row>
    <row r="1180" spans="7:8">
      <c r="G1180">
        <f>IF($D1180="", "", IF($D1180="Receipt", $C1180*VLOOKUP($B1180, Items!$A:$E, 5, FALSE), IF($D1180="Consumption", -$C1180*VLOOKUP($B1180, Items!$A:$E, 5, FALSE), "")))</f>
        <v>0</v>
      </c>
      <c r="H1180">
        <f>IF($D1180="Consumption", -$C1180*VLOOKUP($B1180, Items!$A:$E, 5, FALSE), 0)</f>
        <v>0</v>
      </c>
    </row>
    <row r="1181" spans="7:8">
      <c r="G1181">
        <f>IF($D1181="", "", IF($D1181="Receipt", $C1181*VLOOKUP($B1181, Items!$A:$E, 5, FALSE), IF($D1181="Consumption", -$C1181*VLOOKUP($B1181, Items!$A:$E, 5, FALSE), "")))</f>
        <v>0</v>
      </c>
      <c r="H1181">
        <f>IF($D1181="Consumption", -$C1181*VLOOKUP($B1181, Items!$A:$E, 5, FALSE), 0)</f>
        <v>0</v>
      </c>
    </row>
    <row r="1182" spans="7:8">
      <c r="G1182">
        <f>IF($D1182="", "", IF($D1182="Receipt", $C1182*VLOOKUP($B1182, Items!$A:$E, 5, FALSE), IF($D1182="Consumption", -$C1182*VLOOKUP($B1182, Items!$A:$E, 5, FALSE), "")))</f>
        <v>0</v>
      </c>
      <c r="H1182">
        <f>IF($D1182="Consumption", -$C1182*VLOOKUP($B1182, Items!$A:$E, 5, FALSE), 0)</f>
        <v>0</v>
      </c>
    </row>
    <row r="1183" spans="7:8">
      <c r="G1183">
        <f>IF($D1183="", "", IF($D1183="Receipt", $C1183*VLOOKUP($B1183, Items!$A:$E, 5, FALSE), IF($D1183="Consumption", -$C1183*VLOOKUP($B1183, Items!$A:$E, 5, FALSE), "")))</f>
        <v>0</v>
      </c>
      <c r="H1183">
        <f>IF($D1183="Consumption", -$C1183*VLOOKUP($B1183, Items!$A:$E, 5, FALSE), 0)</f>
        <v>0</v>
      </c>
    </row>
    <row r="1184" spans="7:8">
      <c r="G1184">
        <f>IF($D1184="", "", IF($D1184="Receipt", $C1184*VLOOKUP($B1184, Items!$A:$E, 5, FALSE), IF($D1184="Consumption", -$C1184*VLOOKUP($B1184, Items!$A:$E, 5, FALSE), "")))</f>
        <v>0</v>
      </c>
      <c r="H1184">
        <f>IF($D1184="Consumption", -$C1184*VLOOKUP($B1184, Items!$A:$E, 5, FALSE), 0)</f>
        <v>0</v>
      </c>
    </row>
    <row r="1185" spans="7:8">
      <c r="G1185">
        <f>IF($D1185="", "", IF($D1185="Receipt", $C1185*VLOOKUP($B1185, Items!$A:$E, 5, FALSE), IF($D1185="Consumption", -$C1185*VLOOKUP($B1185, Items!$A:$E, 5, FALSE), "")))</f>
        <v>0</v>
      </c>
      <c r="H1185">
        <f>IF($D1185="Consumption", -$C1185*VLOOKUP($B1185, Items!$A:$E, 5, FALSE), 0)</f>
        <v>0</v>
      </c>
    </row>
    <row r="1186" spans="7:8">
      <c r="G1186">
        <f>IF($D1186="", "", IF($D1186="Receipt", $C1186*VLOOKUP($B1186, Items!$A:$E, 5, FALSE), IF($D1186="Consumption", -$C1186*VLOOKUP($B1186, Items!$A:$E, 5, FALSE), "")))</f>
        <v>0</v>
      </c>
      <c r="H1186">
        <f>IF($D1186="Consumption", -$C1186*VLOOKUP($B1186, Items!$A:$E, 5, FALSE), 0)</f>
        <v>0</v>
      </c>
    </row>
    <row r="1187" spans="7:8">
      <c r="G1187">
        <f>IF($D1187="", "", IF($D1187="Receipt", $C1187*VLOOKUP($B1187, Items!$A:$E, 5, FALSE), IF($D1187="Consumption", -$C1187*VLOOKUP($B1187, Items!$A:$E, 5, FALSE), "")))</f>
        <v>0</v>
      </c>
      <c r="H1187">
        <f>IF($D1187="Consumption", -$C1187*VLOOKUP($B1187, Items!$A:$E, 5, FALSE), 0)</f>
        <v>0</v>
      </c>
    </row>
    <row r="1188" spans="7:8">
      <c r="G1188">
        <f>IF($D1188="", "", IF($D1188="Receipt", $C1188*VLOOKUP($B1188, Items!$A:$E, 5, FALSE), IF($D1188="Consumption", -$C1188*VLOOKUP($B1188, Items!$A:$E, 5, FALSE), "")))</f>
        <v>0</v>
      </c>
      <c r="H1188">
        <f>IF($D1188="Consumption", -$C1188*VLOOKUP($B1188, Items!$A:$E, 5, FALSE), 0)</f>
        <v>0</v>
      </c>
    </row>
    <row r="1189" spans="7:8">
      <c r="G1189">
        <f>IF($D1189="", "", IF($D1189="Receipt", $C1189*VLOOKUP($B1189, Items!$A:$E, 5, FALSE), IF($D1189="Consumption", -$C1189*VLOOKUP($B1189, Items!$A:$E, 5, FALSE), "")))</f>
        <v>0</v>
      </c>
      <c r="H1189">
        <f>IF($D1189="Consumption", -$C1189*VLOOKUP($B1189, Items!$A:$E, 5, FALSE), 0)</f>
        <v>0</v>
      </c>
    </row>
    <row r="1190" spans="7:8">
      <c r="G1190">
        <f>IF($D1190="", "", IF($D1190="Receipt", $C1190*VLOOKUP($B1190, Items!$A:$E, 5, FALSE), IF($D1190="Consumption", -$C1190*VLOOKUP($B1190, Items!$A:$E, 5, FALSE), "")))</f>
        <v>0</v>
      </c>
      <c r="H1190">
        <f>IF($D1190="Consumption", -$C1190*VLOOKUP($B1190, Items!$A:$E, 5, FALSE), 0)</f>
        <v>0</v>
      </c>
    </row>
    <row r="1191" spans="7:8">
      <c r="G1191">
        <f>IF($D1191="", "", IF($D1191="Receipt", $C1191*VLOOKUP($B1191, Items!$A:$E, 5, FALSE), IF($D1191="Consumption", -$C1191*VLOOKUP($B1191, Items!$A:$E, 5, FALSE), "")))</f>
        <v>0</v>
      </c>
      <c r="H1191">
        <f>IF($D1191="Consumption", -$C1191*VLOOKUP($B1191, Items!$A:$E, 5, FALSE), 0)</f>
        <v>0</v>
      </c>
    </row>
    <row r="1192" spans="7:8">
      <c r="G1192">
        <f>IF($D1192="", "", IF($D1192="Receipt", $C1192*VLOOKUP($B1192, Items!$A:$E, 5, FALSE), IF($D1192="Consumption", -$C1192*VLOOKUP($B1192, Items!$A:$E, 5, FALSE), "")))</f>
        <v>0</v>
      </c>
      <c r="H1192">
        <f>IF($D1192="Consumption", -$C1192*VLOOKUP($B1192, Items!$A:$E, 5, FALSE), 0)</f>
        <v>0</v>
      </c>
    </row>
    <row r="1193" spans="7:8">
      <c r="G1193">
        <f>IF($D1193="", "", IF($D1193="Receipt", $C1193*VLOOKUP($B1193, Items!$A:$E, 5, FALSE), IF($D1193="Consumption", -$C1193*VLOOKUP($B1193, Items!$A:$E, 5, FALSE), "")))</f>
        <v>0</v>
      </c>
      <c r="H1193">
        <f>IF($D1193="Consumption", -$C1193*VLOOKUP($B1193, Items!$A:$E, 5, FALSE), 0)</f>
        <v>0</v>
      </c>
    </row>
    <row r="1194" spans="7:8">
      <c r="G1194">
        <f>IF($D1194="", "", IF($D1194="Receipt", $C1194*VLOOKUP($B1194, Items!$A:$E, 5, FALSE), IF($D1194="Consumption", -$C1194*VLOOKUP($B1194, Items!$A:$E, 5, FALSE), "")))</f>
        <v>0</v>
      </c>
      <c r="H1194">
        <f>IF($D1194="Consumption", -$C1194*VLOOKUP($B1194, Items!$A:$E, 5, FALSE), 0)</f>
        <v>0</v>
      </c>
    </row>
    <row r="1195" spans="7:8">
      <c r="G1195">
        <f>IF($D1195="", "", IF($D1195="Receipt", $C1195*VLOOKUP($B1195, Items!$A:$E, 5, FALSE), IF($D1195="Consumption", -$C1195*VLOOKUP($B1195, Items!$A:$E, 5, FALSE), "")))</f>
        <v>0</v>
      </c>
      <c r="H1195">
        <f>IF($D1195="Consumption", -$C1195*VLOOKUP($B1195, Items!$A:$E, 5, FALSE), 0)</f>
        <v>0</v>
      </c>
    </row>
    <row r="1196" spans="7:8">
      <c r="G1196">
        <f>IF($D1196="", "", IF($D1196="Receipt", $C1196*VLOOKUP($B1196, Items!$A:$E, 5, FALSE), IF($D1196="Consumption", -$C1196*VLOOKUP($B1196, Items!$A:$E, 5, FALSE), "")))</f>
        <v>0</v>
      </c>
      <c r="H1196">
        <f>IF($D1196="Consumption", -$C1196*VLOOKUP($B1196, Items!$A:$E, 5, FALSE), 0)</f>
        <v>0</v>
      </c>
    </row>
    <row r="1197" spans="7:8">
      <c r="G1197">
        <f>IF($D1197="", "", IF($D1197="Receipt", $C1197*VLOOKUP($B1197, Items!$A:$E, 5, FALSE), IF($D1197="Consumption", -$C1197*VLOOKUP($B1197, Items!$A:$E, 5, FALSE), "")))</f>
        <v>0</v>
      </c>
      <c r="H1197">
        <f>IF($D1197="Consumption", -$C1197*VLOOKUP($B1197, Items!$A:$E, 5, FALSE), 0)</f>
        <v>0</v>
      </c>
    </row>
    <row r="1198" spans="7:8">
      <c r="G1198">
        <f>IF($D1198="", "", IF($D1198="Receipt", $C1198*VLOOKUP($B1198, Items!$A:$E, 5, FALSE), IF($D1198="Consumption", -$C1198*VLOOKUP($B1198, Items!$A:$E, 5, FALSE), "")))</f>
        <v>0</v>
      </c>
      <c r="H1198">
        <f>IF($D1198="Consumption", -$C1198*VLOOKUP($B1198, Items!$A:$E, 5, FALSE), 0)</f>
        <v>0</v>
      </c>
    </row>
    <row r="1199" spans="7:8">
      <c r="G1199">
        <f>IF($D1199="", "", IF($D1199="Receipt", $C1199*VLOOKUP($B1199, Items!$A:$E, 5, FALSE), IF($D1199="Consumption", -$C1199*VLOOKUP($B1199, Items!$A:$E, 5, FALSE), "")))</f>
        <v>0</v>
      </c>
      <c r="H1199">
        <f>IF($D1199="Consumption", -$C1199*VLOOKUP($B1199, Items!$A:$E, 5, FALSE), 0)</f>
        <v>0</v>
      </c>
    </row>
    <row r="1200" spans="7:8">
      <c r="G1200">
        <f>IF($D1200="", "", IF($D1200="Receipt", $C1200*VLOOKUP($B1200, Items!$A:$E, 5, FALSE), IF($D1200="Consumption", -$C1200*VLOOKUP($B1200, Items!$A:$E, 5, FALSE), "")))</f>
        <v>0</v>
      </c>
      <c r="H1200">
        <f>IF($D1200="Consumption", -$C1200*VLOOKUP($B1200, Items!$A:$E, 5, FALSE), 0)</f>
        <v>0</v>
      </c>
    </row>
    <row r="1201" spans="7:8">
      <c r="G1201">
        <f>IF($D1201="", "", IF($D1201="Receipt", $C1201*VLOOKUP($B1201, Items!$A:$E, 5, FALSE), IF($D1201="Consumption", -$C1201*VLOOKUP($B1201, Items!$A:$E, 5, FALSE), "")))</f>
        <v>0</v>
      </c>
      <c r="H1201">
        <f>IF($D1201="Consumption", -$C1201*VLOOKUP($B1201, Items!$A:$E, 5, FALSE), 0)</f>
        <v>0</v>
      </c>
    </row>
    <row r="1202" spans="7:8">
      <c r="G1202">
        <f>IF($D1202="", "", IF($D1202="Receipt", $C1202*VLOOKUP($B1202, Items!$A:$E, 5, FALSE), IF($D1202="Consumption", -$C1202*VLOOKUP($B1202, Items!$A:$E, 5, FALSE), "")))</f>
        <v>0</v>
      </c>
      <c r="H1202">
        <f>IF($D1202="Consumption", -$C1202*VLOOKUP($B1202, Items!$A:$E, 5, FALSE), 0)</f>
        <v>0</v>
      </c>
    </row>
    <row r="1203" spans="7:8">
      <c r="G1203">
        <f>IF($D1203="", "", IF($D1203="Receipt", $C1203*VLOOKUP($B1203, Items!$A:$E, 5, FALSE), IF($D1203="Consumption", -$C1203*VLOOKUP($B1203, Items!$A:$E, 5, FALSE), "")))</f>
        <v>0</v>
      </c>
      <c r="H1203">
        <f>IF($D1203="Consumption", -$C1203*VLOOKUP($B1203, Items!$A:$E, 5, FALSE), 0)</f>
        <v>0</v>
      </c>
    </row>
    <row r="1204" spans="7:8">
      <c r="G1204">
        <f>IF($D1204="", "", IF($D1204="Receipt", $C1204*VLOOKUP($B1204, Items!$A:$E, 5, FALSE), IF($D1204="Consumption", -$C1204*VLOOKUP($B1204, Items!$A:$E, 5, FALSE), "")))</f>
        <v>0</v>
      </c>
      <c r="H1204">
        <f>IF($D1204="Consumption", -$C1204*VLOOKUP($B1204, Items!$A:$E, 5, FALSE), 0)</f>
        <v>0</v>
      </c>
    </row>
    <row r="1205" spans="7:8">
      <c r="G1205">
        <f>IF($D1205="", "", IF($D1205="Receipt", $C1205*VLOOKUP($B1205, Items!$A:$E, 5, FALSE), IF($D1205="Consumption", -$C1205*VLOOKUP($B1205, Items!$A:$E, 5, FALSE), "")))</f>
        <v>0</v>
      </c>
      <c r="H1205">
        <f>IF($D1205="Consumption", -$C1205*VLOOKUP($B1205, Items!$A:$E, 5, FALSE), 0)</f>
        <v>0</v>
      </c>
    </row>
    <row r="1206" spans="7:8">
      <c r="G1206">
        <f>IF($D1206="", "", IF($D1206="Receipt", $C1206*VLOOKUP($B1206, Items!$A:$E, 5, FALSE), IF($D1206="Consumption", -$C1206*VLOOKUP($B1206, Items!$A:$E, 5, FALSE), "")))</f>
        <v>0</v>
      </c>
      <c r="H1206">
        <f>IF($D1206="Consumption", -$C1206*VLOOKUP($B1206, Items!$A:$E, 5, FALSE), 0)</f>
        <v>0</v>
      </c>
    </row>
    <row r="1207" spans="7:8">
      <c r="G1207">
        <f>IF($D1207="", "", IF($D1207="Receipt", $C1207*VLOOKUP($B1207, Items!$A:$E, 5, FALSE), IF($D1207="Consumption", -$C1207*VLOOKUP($B1207, Items!$A:$E, 5, FALSE), "")))</f>
        <v>0</v>
      </c>
      <c r="H1207">
        <f>IF($D1207="Consumption", -$C1207*VLOOKUP($B1207, Items!$A:$E, 5, FALSE), 0)</f>
        <v>0</v>
      </c>
    </row>
    <row r="1208" spans="7:8">
      <c r="G1208">
        <f>IF($D1208="", "", IF($D1208="Receipt", $C1208*VLOOKUP($B1208, Items!$A:$E, 5, FALSE), IF($D1208="Consumption", -$C1208*VLOOKUP($B1208, Items!$A:$E, 5, FALSE), "")))</f>
        <v>0</v>
      </c>
      <c r="H1208">
        <f>IF($D1208="Consumption", -$C1208*VLOOKUP($B1208, Items!$A:$E, 5, FALSE), 0)</f>
        <v>0</v>
      </c>
    </row>
    <row r="1209" spans="7:8">
      <c r="G1209">
        <f>IF($D1209="", "", IF($D1209="Receipt", $C1209*VLOOKUP($B1209, Items!$A:$E, 5, FALSE), IF($D1209="Consumption", -$C1209*VLOOKUP($B1209, Items!$A:$E, 5, FALSE), "")))</f>
        <v>0</v>
      </c>
      <c r="H1209">
        <f>IF($D1209="Consumption", -$C1209*VLOOKUP($B1209, Items!$A:$E, 5, FALSE), 0)</f>
        <v>0</v>
      </c>
    </row>
    <row r="1210" spans="7:8">
      <c r="G1210">
        <f>IF($D1210="", "", IF($D1210="Receipt", $C1210*VLOOKUP($B1210, Items!$A:$E, 5, FALSE), IF($D1210="Consumption", -$C1210*VLOOKUP($B1210, Items!$A:$E, 5, FALSE), "")))</f>
        <v>0</v>
      </c>
      <c r="H1210">
        <f>IF($D1210="Consumption", -$C1210*VLOOKUP($B1210, Items!$A:$E, 5, FALSE), 0)</f>
        <v>0</v>
      </c>
    </row>
    <row r="1211" spans="7:8">
      <c r="G1211">
        <f>IF($D1211="", "", IF($D1211="Receipt", $C1211*VLOOKUP($B1211, Items!$A:$E, 5, FALSE), IF($D1211="Consumption", -$C1211*VLOOKUP($B1211, Items!$A:$E, 5, FALSE), "")))</f>
        <v>0</v>
      </c>
      <c r="H1211">
        <f>IF($D1211="Consumption", -$C1211*VLOOKUP($B1211, Items!$A:$E, 5, FALSE), 0)</f>
        <v>0</v>
      </c>
    </row>
    <row r="1212" spans="7:8">
      <c r="G1212">
        <f>IF($D1212="", "", IF($D1212="Receipt", $C1212*VLOOKUP($B1212, Items!$A:$E, 5, FALSE), IF($D1212="Consumption", -$C1212*VLOOKUP($B1212, Items!$A:$E, 5, FALSE), "")))</f>
        <v>0</v>
      </c>
      <c r="H1212">
        <f>IF($D1212="Consumption", -$C1212*VLOOKUP($B1212, Items!$A:$E, 5, FALSE), 0)</f>
        <v>0</v>
      </c>
    </row>
    <row r="1213" spans="7:8">
      <c r="G1213">
        <f>IF($D1213="", "", IF($D1213="Receipt", $C1213*VLOOKUP($B1213, Items!$A:$E, 5, FALSE), IF($D1213="Consumption", -$C1213*VLOOKUP($B1213, Items!$A:$E, 5, FALSE), "")))</f>
        <v>0</v>
      </c>
      <c r="H1213">
        <f>IF($D1213="Consumption", -$C1213*VLOOKUP($B1213, Items!$A:$E, 5, FALSE), 0)</f>
        <v>0</v>
      </c>
    </row>
    <row r="1214" spans="7:8">
      <c r="G1214">
        <f>IF($D1214="", "", IF($D1214="Receipt", $C1214*VLOOKUP($B1214, Items!$A:$E, 5, FALSE), IF($D1214="Consumption", -$C1214*VLOOKUP($B1214, Items!$A:$E, 5, FALSE), "")))</f>
        <v>0</v>
      </c>
      <c r="H1214">
        <f>IF($D1214="Consumption", -$C1214*VLOOKUP($B1214, Items!$A:$E, 5, FALSE), 0)</f>
        <v>0</v>
      </c>
    </row>
    <row r="1215" spans="7:8">
      <c r="G1215">
        <f>IF($D1215="", "", IF($D1215="Receipt", $C1215*VLOOKUP($B1215, Items!$A:$E, 5, FALSE), IF($D1215="Consumption", -$C1215*VLOOKUP($B1215, Items!$A:$E, 5, FALSE), "")))</f>
        <v>0</v>
      </c>
      <c r="H1215">
        <f>IF($D1215="Consumption", -$C1215*VLOOKUP($B1215, Items!$A:$E, 5, FALSE), 0)</f>
        <v>0</v>
      </c>
    </row>
    <row r="1216" spans="7:8">
      <c r="G1216">
        <f>IF($D1216="", "", IF($D1216="Receipt", $C1216*VLOOKUP($B1216, Items!$A:$E, 5, FALSE), IF($D1216="Consumption", -$C1216*VLOOKUP($B1216, Items!$A:$E, 5, FALSE), "")))</f>
        <v>0</v>
      </c>
      <c r="H1216">
        <f>IF($D1216="Consumption", -$C1216*VLOOKUP($B1216, Items!$A:$E, 5, FALSE), 0)</f>
        <v>0</v>
      </c>
    </row>
    <row r="1217" spans="7:8">
      <c r="G1217">
        <f>IF($D1217="", "", IF($D1217="Receipt", $C1217*VLOOKUP($B1217, Items!$A:$E, 5, FALSE), IF($D1217="Consumption", -$C1217*VLOOKUP($B1217, Items!$A:$E, 5, FALSE), "")))</f>
        <v>0</v>
      </c>
      <c r="H1217">
        <f>IF($D1217="Consumption", -$C1217*VLOOKUP($B1217, Items!$A:$E, 5, FALSE), 0)</f>
        <v>0</v>
      </c>
    </row>
    <row r="1218" spans="7:8">
      <c r="G1218">
        <f>IF($D1218="", "", IF($D1218="Receipt", $C1218*VLOOKUP($B1218, Items!$A:$E, 5, FALSE), IF($D1218="Consumption", -$C1218*VLOOKUP($B1218, Items!$A:$E, 5, FALSE), "")))</f>
        <v>0</v>
      </c>
      <c r="H1218">
        <f>IF($D1218="Consumption", -$C1218*VLOOKUP($B1218, Items!$A:$E, 5, FALSE), 0)</f>
        <v>0</v>
      </c>
    </row>
    <row r="1219" spans="7:8">
      <c r="G1219">
        <f>IF($D1219="", "", IF($D1219="Receipt", $C1219*VLOOKUP($B1219, Items!$A:$E, 5, FALSE), IF($D1219="Consumption", -$C1219*VLOOKUP($B1219, Items!$A:$E, 5, FALSE), "")))</f>
        <v>0</v>
      </c>
      <c r="H1219">
        <f>IF($D1219="Consumption", -$C1219*VLOOKUP($B1219, Items!$A:$E, 5, FALSE), 0)</f>
        <v>0</v>
      </c>
    </row>
    <row r="1220" spans="7:8">
      <c r="G1220">
        <f>IF($D1220="", "", IF($D1220="Receipt", $C1220*VLOOKUP($B1220, Items!$A:$E, 5, FALSE), IF($D1220="Consumption", -$C1220*VLOOKUP($B1220, Items!$A:$E, 5, FALSE), "")))</f>
        <v>0</v>
      </c>
      <c r="H1220">
        <f>IF($D1220="Consumption", -$C1220*VLOOKUP($B1220, Items!$A:$E, 5, FALSE), 0)</f>
        <v>0</v>
      </c>
    </row>
    <row r="1221" spans="7:8">
      <c r="G1221">
        <f>IF($D1221="", "", IF($D1221="Receipt", $C1221*VLOOKUP($B1221, Items!$A:$E, 5, FALSE), IF($D1221="Consumption", -$C1221*VLOOKUP($B1221, Items!$A:$E, 5, FALSE), "")))</f>
        <v>0</v>
      </c>
      <c r="H1221">
        <f>IF($D1221="Consumption", -$C1221*VLOOKUP($B1221, Items!$A:$E, 5, FALSE), 0)</f>
        <v>0</v>
      </c>
    </row>
    <row r="1222" spans="7:8">
      <c r="G1222">
        <f>IF($D1222="", "", IF($D1222="Receipt", $C1222*VLOOKUP($B1222, Items!$A:$E, 5, FALSE), IF($D1222="Consumption", -$C1222*VLOOKUP($B1222, Items!$A:$E, 5, FALSE), "")))</f>
        <v>0</v>
      </c>
      <c r="H1222">
        <f>IF($D1222="Consumption", -$C1222*VLOOKUP($B1222, Items!$A:$E, 5, FALSE), 0)</f>
        <v>0</v>
      </c>
    </row>
    <row r="1223" spans="7:8">
      <c r="G1223">
        <f>IF($D1223="", "", IF($D1223="Receipt", $C1223*VLOOKUP($B1223, Items!$A:$E, 5, FALSE), IF($D1223="Consumption", -$C1223*VLOOKUP($B1223, Items!$A:$E, 5, FALSE), "")))</f>
        <v>0</v>
      </c>
      <c r="H1223">
        <f>IF($D1223="Consumption", -$C1223*VLOOKUP($B1223, Items!$A:$E, 5, FALSE), 0)</f>
        <v>0</v>
      </c>
    </row>
    <row r="1224" spans="7:8">
      <c r="G1224">
        <f>IF($D1224="", "", IF($D1224="Receipt", $C1224*VLOOKUP($B1224, Items!$A:$E, 5, FALSE), IF($D1224="Consumption", -$C1224*VLOOKUP($B1224, Items!$A:$E, 5, FALSE), "")))</f>
        <v>0</v>
      </c>
      <c r="H1224">
        <f>IF($D1224="Consumption", -$C1224*VLOOKUP($B1224, Items!$A:$E, 5, FALSE), 0)</f>
        <v>0</v>
      </c>
    </row>
    <row r="1225" spans="7:8">
      <c r="G1225">
        <f>IF($D1225="", "", IF($D1225="Receipt", $C1225*VLOOKUP($B1225, Items!$A:$E, 5, FALSE), IF($D1225="Consumption", -$C1225*VLOOKUP($B1225, Items!$A:$E, 5, FALSE), "")))</f>
        <v>0</v>
      </c>
      <c r="H1225">
        <f>IF($D1225="Consumption", -$C1225*VLOOKUP($B1225, Items!$A:$E, 5, FALSE), 0)</f>
        <v>0</v>
      </c>
    </row>
    <row r="1226" spans="7:8">
      <c r="G1226">
        <f>IF($D1226="", "", IF($D1226="Receipt", $C1226*VLOOKUP($B1226, Items!$A:$E, 5, FALSE), IF($D1226="Consumption", -$C1226*VLOOKUP($B1226, Items!$A:$E, 5, FALSE), "")))</f>
        <v>0</v>
      </c>
      <c r="H1226">
        <f>IF($D1226="Consumption", -$C1226*VLOOKUP($B1226, Items!$A:$E, 5, FALSE), 0)</f>
        <v>0</v>
      </c>
    </row>
    <row r="1227" spans="7:8">
      <c r="G1227">
        <f>IF($D1227="", "", IF($D1227="Receipt", $C1227*VLOOKUP($B1227, Items!$A:$E, 5, FALSE), IF($D1227="Consumption", -$C1227*VLOOKUP($B1227, Items!$A:$E, 5, FALSE), "")))</f>
        <v>0</v>
      </c>
      <c r="H1227">
        <f>IF($D1227="Consumption", -$C1227*VLOOKUP($B1227, Items!$A:$E, 5, FALSE), 0)</f>
        <v>0</v>
      </c>
    </row>
    <row r="1228" spans="7:8">
      <c r="G1228">
        <f>IF($D1228="", "", IF($D1228="Receipt", $C1228*VLOOKUP($B1228, Items!$A:$E, 5, FALSE), IF($D1228="Consumption", -$C1228*VLOOKUP($B1228, Items!$A:$E, 5, FALSE), "")))</f>
        <v>0</v>
      </c>
      <c r="H1228">
        <f>IF($D1228="Consumption", -$C1228*VLOOKUP($B1228, Items!$A:$E, 5, FALSE), 0)</f>
        <v>0</v>
      </c>
    </row>
    <row r="1229" spans="7:8">
      <c r="G1229">
        <f>IF($D1229="", "", IF($D1229="Receipt", $C1229*VLOOKUP($B1229, Items!$A:$E, 5, FALSE), IF($D1229="Consumption", -$C1229*VLOOKUP($B1229, Items!$A:$E, 5, FALSE), "")))</f>
        <v>0</v>
      </c>
      <c r="H1229">
        <f>IF($D1229="Consumption", -$C1229*VLOOKUP($B1229, Items!$A:$E, 5, FALSE), 0)</f>
        <v>0</v>
      </c>
    </row>
    <row r="1230" spans="7:8">
      <c r="G1230">
        <f>IF($D1230="", "", IF($D1230="Receipt", $C1230*VLOOKUP($B1230, Items!$A:$E, 5, FALSE), IF($D1230="Consumption", -$C1230*VLOOKUP($B1230, Items!$A:$E, 5, FALSE), "")))</f>
        <v>0</v>
      </c>
      <c r="H1230">
        <f>IF($D1230="Consumption", -$C1230*VLOOKUP($B1230, Items!$A:$E, 5, FALSE), 0)</f>
        <v>0</v>
      </c>
    </row>
    <row r="1231" spans="7:8">
      <c r="G1231">
        <f>IF($D1231="", "", IF($D1231="Receipt", $C1231*VLOOKUP($B1231, Items!$A:$E, 5, FALSE), IF($D1231="Consumption", -$C1231*VLOOKUP($B1231, Items!$A:$E, 5, FALSE), "")))</f>
        <v>0</v>
      </c>
      <c r="H1231">
        <f>IF($D1231="Consumption", -$C1231*VLOOKUP($B1231, Items!$A:$E, 5, FALSE), 0)</f>
        <v>0</v>
      </c>
    </row>
    <row r="1232" spans="7:8">
      <c r="G1232">
        <f>IF($D1232="", "", IF($D1232="Receipt", $C1232*VLOOKUP($B1232, Items!$A:$E, 5, FALSE), IF($D1232="Consumption", -$C1232*VLOOKUP($B1232, Items!$A:$E, 5, FALSE), "")))</f>
        <v>0</v>
      </c>
      <c r="H1232">
        <f>IF($D1232="Consumption", -$C1232*VLOOKUP($B1232, Items!$A:$E, 5, FALSE), 0)</f>
        <v>0</v>
      </c>
    </row>
    <row r="1233" spans="7:8">
      <c r="G1233">
        <f>IF($D1233="", "", IF($D1233="Receipt", $C1233*VLOOKUP($B1233, Items!$A:$E, 5, FALSE), IF($D1233="Consumption", -$C1233*VLOOKUP($B1233, Items!$A:$E, 5, FALSE), "")))</f>
        <v>0</v>
      </c>
      <c r="H1233">
        <f>IF($D1233="Consumption", -$C1233*VLOOKUP($B1233, Items!$A:$E, 5, FALSE), 0)</f>
        <v>0</v>
      </c>
    </row>
    <row r="1234" spans="7:8">
      <c r="G1234">
        <f>IF($D1234="", "", IF($D1234="Receipt", $C1234*VLOOKUP($B1234, Items!$A:$E, 5, FALSE), IF($D1234="Consumption", -$C1234*VLOOKUP($B1234, Items!$A:$E, 5, FALSE), "")))</f>
        <v>0</v>
      </c>
      <c r="H1234">
        <f>IF($D1234="Consumption", -$C1234*VLOOKUP($B1234, Items!$A:$E, 5, FALSE), 0)</f>
        <v>0</v>
      </c>
    </row>
    <row r="1235" spans="7:8">
      <c r="G1235">
        <f>IF($D1235="", "", IF($D1235="Receipt", $C1235*VLOOKUP($B1235, Items!$A:$E, 5, FALSE), IF($D1235="Consumption", -$C1235*VLOOKUP($B1235, Items!$A:$E, 5, FALSE), "")))</f>
        <v>0</v>
      </c>
      <c r="H1235">
        <f>IF($D1235="Consumption", -$C1235*VLOOKUP($B1235, Items!$A:$E, 5, FALSE), 0)</f>
        <v>0</v>
      </c>
    </row>
    <row r="1236" spans="7:8">
      <c r="G1236">
        <f>IF($D1236="", "", IF($D1236="Receipt", $C1236*VLOOKUP($B1236, Items!$A:$E, 5, FALSE), IF($D1236="Consumption", -$C1236*VLOOKUP($B1236, Items!$A:$E, 5, FALSE), "")))</f>
        <v>0</v>
      </c>
      <c r="H1236">
        <f>IF($D1236="Consumption", -$C1236*VLOOKUP($B1236, Items!$A:$E, 5, FALSE), 0)</f>
        <v>0</v>
      </c>
    </row>
    <row r="1237" spans="7:8">
      <c r="G1237">
        <f>IF($D1237="", "", IF($D1237="Receipt", $C1237*VLOOKUP($B1237, Items!$A:$E, 5, FALSE), IF($D1237="Consumption", -$C1237*VLOOKUP($B1237, Items!$A:$E, 5, FALSE), "")))</f>
        <v>0</v>
      </c>
      <c r="H1237">
        <f>IF($D1237="Consumption", -$C1237*VLOOKUP($B1237, Items!$A:$E, 5, FALSE), 0)</f>
        <v>0</v>
      </c>
    </row>
    <row r="1238" spans="7:8">
      <c r="G1238">
        <f>IF($D1238="", "", IF($D1238="Receipt", $C1238*VLOOKUP($B1238, Items!$A:$E, 5, FALSE), IF($D1238="Consumption", -$C1238*VLOOKUP($B1238, Items!$A:$E, 5, FALSE), "")))</f>
        <v>0</v>
      </c>
      <c r="H1238">
        <f>IF($D1238="Consumption", -$C1238*VLOOKUP($B1238, Items!$A:$E, 5, FALSE), 0)</f>
        <v>0</v>
      </c>
    </row>
    <row r="1239" spans="7:8">
      <c r="G1239">
        <f>IF($D1239="", "", IF($D1239="Receipt", $C1239*VLOOKUP($B1239, Items!$A:$E, 5, FALSE), IF($D1239="Consumption", -$C1239*VLOOKUP($B1239, Items!$A:$E, 5, FALSE), "")))</f>
        <v>0</v>
      </c>
      <c r="H1239">
        <f>IF($D1239="Consumption", -$C1239*VLOOKUP($B1239, Items!$A:$E, 5, FALSE), 0)</f>
        <v>0</v>
      </c>
    </row>
    <row r="1240" spans="7:8">
      <c r="G1240">
        <f>IF($D1240="", "", IF($D1240="Receipt", $C1240*VLOOKUP($B1240, Items!$A:$E, 5, FALSE), IF($D1240="Consumption", -$C1240*VLOOKUP($B1240, Items!$A:$E, 5, FALSE), "")))</f>
        <v>0</v>
      </c>
      <c r="H1240">
        <f>IF($D1240="Consumption", -$C1240*VLOOKUP($B1240, Items!$A:$E, 5, FALSE), 0)</f>
        <v>0</v>
      </c>
    </row>
    <row r="1241" spans="7:8">
      <c r="G1241">
        <f>IF($D1241="", "", IF($D1241="Receipt", $C1241*VLOOKUP($B1241, Items!$A:$E, 5, FALSE), IF($D1241="Consumption", -$C1241*VLOOKUP($B1241, Items!$A:$E, 5, FALSE), "")))</f>
        <v>0</v>
      </c>
      <c r="H1241">
        <f>IF($D1241="Consumption", -$C1241*VLOOKUP($B1241, Items!$A:$E, 5, FALSE), 0)</f>
        <v>0</v>
      </c>
    </row>
    <row r="1242" spans="7:8">
      <c r="G1242">
        <f>IF($D1242="", "", IF($D1242="Receipt", $C1242*VLOOKUP($B1242, Items!$A:$E, 5, FALSE), IF($D1242="Consumption", -$C1242*VLOOKUP($B1242, Items!$A:$E, 5, FALSE), "")))</f>
        <v>0</v>
      </c>
      <c r="H1242">
        <f>IF($D1242="Consumption", -$C1242*VLOOKUP($B1242, Items!$A:$E, 5, FALSE), 0)</f>
        <v>0</v>
      </c>
    </row>
    <row r="1243" spans="7:8">
      <c r="G1243">
        <f>IF($D1243="", "", IF($D1243="Receipt", $C1243*VLOOKUP($B1243, Items!$A:$E, 5, FALSE), IF($D1243="Consumption", -$C1243*VLOOKUP($B1243, Items!$A:$E, 5, FALSE), "")))</f>
        <v>0</v>
      </c>
      <c r="H1243">
        <f>IF($D1243="Consumption", -$C1243*VLOOKUP($B1243, Items!$A:$E, 5, FALSE), 0)</f>
        <v>0</v>
      </c>
    </row>
    <row r="1244" spans="7:8">
      <c r="G1244">
        <f>IF($D1244="", "", IF($D1244="Receipt", $C1244*VLOOKUP($B1244, Items!$A:$E, 5, FALSE), IF($D1244="Consumption", -$C1244*VLOOKUP($B1244, Items!$A:$E, 5, FALSE), "")))</f>
        <v>0</v>
      </c>
      <c r="H1244">
        <f>IF($D1244="Consumption", -$C1244*VLOOKUP($B1244, Items!$A:$E, 5, FALSE), 0)</f>
        <v>0</v>
      </c>
    </row>
    <row r="1245" spans="7:8">
      <c r="G1245">
        <f>IF($D1245="", "", IF($D1245="Receipt", $C1245*VLOOKUP($B1245, Items!$A:$E, 5, FALSE), IF($D1245="Consumption", -$C1245*VLOOKUP($B1245, Items!$A:$E, 5, FALSE), "")))</f>
        <v>0</v>
      </c>
      <c r="H1245">
        <f>IF($D1245="Consumption", -$C1245*VLOOKUP($B1245, Items!$A:$E, 5, FALSE), 0)</f>
        <v>0</v>
      </c>
    </row>
    <row r="1246" spans="7:8">
      <c r="G1246">
        <f>IF($D1246="", "", IF($D1246="Receipt", $C1246*VLOOKUP($B1246, Items!$A:$E, 5, FALSE), IF($D1246="Consumption", -$C1246*VLOOKUP($B1246, Items!$A:$E, 5, FALSE), "")))</f>
        <v>0</v>
      </c>
      <c r="H1246">
        <f>IF($D1246="Consumption", -$C1246*VLOOKUP($B1246, Items!$A:$E, 5, FALSE), 0)</f>
        <v>0</v>
      </c>
    </row>
    <row r="1247" spans="7:8">
      <c r="G1247">
        <f>IF($D1247="", "", IF($D1247="Receipt", $C1247*VLOOKUP($B1247, Items!$A:$E, 5, FALSE), IF($D1247="Consumption", -$C1247*VLOOKUP($B1247, Items!$A:$E, 5, FALSE), "")))</f>
        <v>0</v>
      </c>
      <c r="H1247">
        <f>IF($D1247="Consumption", -$C1247*VLOOKUP($B1247, Items!$A:$E, 5, FALSE), 0)</f>
        <v>0</v>
      </c>
    </row>
    <row r="1248" spans="7:8">
      <c r="G1248">
        <f>IF($D1248="", "", IF($D1248="Receipt", $C1248*VLOOKUP($B1248, Items!$A:$E, 5, FALSE), IF($D1248="Consumption", -$C1248*VLOOKUP($B1248, Items!$A:$E, 5, FALSE), "")))</f>
        <v>0</v>
      </c>
      <c r="H1248">
        <f>IF($D1248="Consumption", -$C1248*VLOOKUP($B1248, Items!$A:$E, 5, FALSE), 0)</f>
        <v>0</v>
      </c>
    </row>
    <row r="1249" spans="7:8">
      <c r="G1249">
        <f>IF($D1249="", "", IF($D1249="Receipt", $C1249*VLOOKUP($B1249, Items!$A:$E, 5, FALSE), IF($D1249="Consumption", -$C1249*VLOOKUP($B1249, Items!$A:$E, 5, FALSE), "")))</f>
        <v>0</v>
      </c>
      <c r="H1249">
        <f>IF($D1249="Consumption", -$C1249*VLOOKUP($B1249, Items!$A:$E, 5, FALSE), 0)</f>
        <v>0</v>
      </c>
    </row>
    <row r="1250" spans="7:8">
      <c r="G1250">
        <f>IF($D1250="", "", IF($D1250="Receipt", $C1250*VLOOKUP($B1250, Items!$A:$E, 5, FALSE), IF($D1250="Consumption", -$C1250*VLOOKUP($B1250, Items!$A:$E, 5, FALSE), "")))</f>
        <v>0</v>
      </c>
      <c r="H1250">
        <f>IF($D1250="Consumption", -$C1250*VLOOKUP($B1250, Items!$A:$E, 5, FALSE), 0)</f>
        <v>0</v>
      </c>
    </row>
    <row r="1251" spans="7:8">
      <c r="G1251">
        <f>IF($D1251="", "", IF($D1251="Receipt", $C1251*VLOOKUP($B1251, Items!$A:$E, 5, FALSE), IF($D1251="Consumption", -$C1251*VLOOKUP($B1251, Items!$A:$E, 5, FALSE), "")))</f>
        <v>0</v>
      </c>
      <c r="H1251">
        <f>IF($D1251="Consumption", -$C1251*VLOOKUP($B1251, Items!$A:$E, 5, FALSE), 0)</f>
        <v>0</v>
      </c>
    </row>
    <row r="1252" spans="7:8">
      <c r="G1252">
        <f>IF($D1252="", "", IF($D1252="Receipt", $C1252*VLOOKUP($B1252, Items!$A:$E, 5, FALSE), IF($D1252="Consumption", -$C1252*VLOOKUP($B1252, Items!$A:$E, 5, FALSE), "")))</f>
        <v>0</v>
      </c>
      <c r="H1252">
        <f>IF($D1252="Consumption", -$C1252*VLOOKUP($B1252, Items!$A:$E, 5, FALSE), 0)</f>
        <v>0</v>
      </c>
    </row>
    <row r="1253" spans="7:8">
      <c r="G1253">
        <f>IF($D1253="", "", IF($D1253="Receipt", $C1253*VLOOKUP($B1253, Items!$A:$E, 5, FALSE), IF($D1253="Consumption", -$C1253*VLOOKUP($B1253, Items!$A:$E, 5, FALSE), "")))</f>
        <v>0</v>
      </c>
      <c r="H1253">
        <f>IF($D1253="Consumption", -$C1253*VLOOKUP($B1253, Items!$A:$E, 5, FALSE), 0)</f>
        <v>0</v>
      </c>
    </row>
    <row r="1254" spans="7:8">
      <c r="G1254">
        <f>IF($D1254="", "", IF($D1254="Receipt", $C1254*VLOOKUP($B1254, Items!$A:$E, 5, FALSE), IF($D1254="Consumption", -$C1254*VLOOKUP($B1254, Items!$A:$E, 5, FALSE), "")))</f>
        <v>0</v>
      </c>
      <c r="H1254">
        <f>IF($D1254="Consumption", -$C1254*VLOOKUP($B1254, Items!$A:$E, 5, FALSE), 0)</f>
        <v>0</v>
      </c>
    </row>
    <row r="1255" spans="7:8">
      <c r="G1255">
        <f>IF($D1255="", "", IF($D1255="Receipt", $C1255*VLOOKUP($B1255, Items!$A:$E, 5, FALSE), IF($D1255="Consumption", -$C1255*VLOOKUP($B1255, Items!$A:$E, 5, FALSE), "")))</f>
        <v>0</v>
      </c>
      <c r="H1255">
        <f>IF($D1255="Consumption", -$C1255*VLOOKUP($B1255, Items!$A:$E, 5, FALSE), 0)</f>
        <v>0</v>
      </c>
    </row>
    <row r="1256" spans="7:8">
      <c r="G1256">
        <f>IF($D1256="", "", IF($D1256="Receipt", $C1256*VLOOKUP($B1256, Items!$A:$E, 5, FALSE), IF($D1256="Consumption", -$C1256*VLOOKUP($B1256, Items!$A:$E, 5, FALSE), "")))</f>
        <v>0</v>
      </c>
      <c r="H1256">
        <f>IF($D1256="Consumption", -$C1256*VLOOKUP($B1256, Items!$A:$E, 5, FALSE), 0)</f>
        <v>0</v>
      </c>
    </row>
    <row r="1257" spans="7:8">
      <c r="G1257">
        <f>IF($D1257="", "", IF($D1257="Receipt", $C1257*VLOOKUP($B1257, Items!$A:$E, 5, FALSE), IF($D1257="Consumption", -$C1257*VLOOKUP($B1257, Items!$A:$E, 5, FALSE), "")))</f>
        <v>0</v>
      </c>
      <c r="H1257">
        <f>IF($D1257="Consumption", -$C1257*VLOOKUP($B1257, Items!$A:$E, 5, FALSE), 0)</f>
        <v>0</v>
      </c>
    </row>
    <row r="1258" spans="7:8">
      <c r="G1258">
        <f>IF($D1258="", "", IF($D1258="Receipt", $C1258*VLOOKUP($B1258, Items!$A:$E, 5, FALSE), IF($D1258="Consumption", -$C1258*VLOOKUP($B1258, Items!$A:$E, 5, FALSE), "")))</f>
        <v>0</v>
      </c>
      <c r="H1258">
        <f>IF($D1258="Consumption", -$C1258*VLOOKUP($B1258, Items!$A:$E, 5, FALSE), 0)</f>
        <v>0</v>
      </c>
    </row>
    <row r="1259" spans="7:8">
      <c r="G1259">
        <f>IF($D1259="", "", IF($D1259="Receipt", $C1259*VLOOKUP($B1259, Items!$A:$E, 5, FALSE), IF($D1259="Consumption", -$C1259*VLOOKUP($B1259, Items!$A:$E, 5, FALSE), "")))</f>
        <v>0</v>
      </c>
      <c r="H1259">
        <f>IF($D1259="Consumption", -$C1259*VLOOKUP($B1259, Items!$A:$E, 5, FALSE), 0)</f>
        <v>0</v>
      </c>
    </row>
    <row r="1260" spans="7:8">
      <c r="G1260">
        <f>IF($D1260="", "", IF($D1260="Receipt", $C1260*VLOOKUP($B1260, Items!$A:$E, 5, FALSE), IF($D1260="Consumption", -$C1260*VLOOKUP($B1260, Items!$A:$E, 5, FALSE), "")))</f>
        <v>0</v>
      </c>
      <c r="H1260">
        <f>IF($D1260="Consumption", -$C1260*VLOOKUP($B1260, Items!$A:$E, 5, FALSE), 0)</f>
        <v>0</v>
      </c>
    </row>
    <row r="1261" spans="7:8">
      <c r="G1261">
        <f>IF($D1261="", "", IF($D1261="Receipt", $C1261*VLOOKUP($B1261, Items!$A:$E, 5, FALSE), IF($D1261="Consumption", -$C1261*VLOOKUP($B1261, Items!$A:$E, 5, FALSE), "")))</f>
        <v>0</v>
      </c>
      <c r="H1261">
        <f>IF($D1261="Consumption", -$C1261*VLOOKUP($B1261, Items!$A:$E, 5, FALSE), 0)</f>
        <v>0</v>
      </c>
    </row>
    <row r="1262" spans="7:8">
      <c r="G1262">
        <f>IF($D1262="", "", IF($D1262="Receipt", $C1262*VLOOKUP($B1262, Items!$A:$E, 5, FALSE), IF($D1262="Consumption", -$C1262*VLOOKUP($B1262, Items!$A:$E, 5, FALSE), "")))</f>
        <v>0</v>
      </c>
      <c r="H1262">
        <f>IF($D1262="Consumption", -$C1262*VLOOKUP($B1262, Items!$A:$E, 5, FALSE), 0)</f>
        <v>0</v>
      </c>
    </row>
    <row r="1263" spans="7:8">
      <c r="G1263">
        <f>IF($D1263="", "", IF($D1263="Receipt", $C1263*VLOOKUP($B1263, Items!$A:$E, 5, FALSE), IF($D1263="Consumption", -$C1263*VLOOKUP($B1263, Items!$A:$E, 5, FALSE), "")))</f>
        <v>0</v>
      </c>
      <c r="H1263">
        <f>IF($D1263="Consumption", -$C1263*VLOOKUP($B1263, Items!$A:$E, 5, FALSE), 0)</f>
        <v>0</v>
      </c>
    </row>
    <row r="1264" spans="7:8">
      <c r="G1264">
        <f>IF($D1264="", "", IF($D1264="Receipt", $C1264*VLOOKUP($B1264, Items!$A:$E, 5, FALSE), IF($D1264="Consumption", -$C1264*VLOOKUP($B1264, Items!$A:$E, 5, FALSE), "")))</f>
        <v>0</v>
      </c>
      <c r="H1264">
        <f>IF($D1264="Consumption", -$C1264*VLOOKUP($B1264, Items!$A:$E, 5, FALSE), 0)</f>
        <v>0</v>
      </c>
    </row>
    <row r="1265" spans="7:8">
      <c r="G1265">
        <f>IF($D1265="", "", IF($D1265="Receipt", $C1265*VLOOKUP($B1265, Items!$A:$E, 5, FALSE), IF($D1265="Consumption", -$C1265*VLOOKUP($B1265, Items!$A:$E, 5, FALSE), "")))</f>
        <v>0</v>
      </c>
      <c r="H1265">
        <f>IF($D1265="Consumption", -$C1265*VLOOKUP($B1265, Items!$A:$E, 5, FALSE), 0)</f>
        <v>0</v>
      </c>
    </row>
    <row r="1266" spans="7:8">
      <c r="G1266">
        <f>IF($D1266="", "", IF($D1266="Receipt", $C1266*VLOOKUP($B1266, Items!$A:$E, 5, FALSE), IF($D1266="Consumption", -$C1266*VLOOKUP($B1266, Items!$A:$E, 5, FALSE), "")))</f>
        <v>0</v>
      </c>
      <c r="H1266">
        <f>IF($D1266="Consumption", -$C1266*VLOOKUP($B1266, Items!$A:$E, 5, FALSE), 0)</f>
        <v>0</v>
      </c>
    </row>
    <row r="1267" spans="7:8">
      <c r="G1267">
        <f>IF($D1267="", "", IF($D1267="Receipt", $C1267*VLOOKUP($B1267, Items!$A:$E, 5, FALSE), IF($D1267="Consumption", -$C1267*VLOOKUP($B1267, Items!$A:$E, 5, FALSE), "")))</f>
        <v>0</v>
      </c>
      <c r="H1267">
        <f>IF($D1267="Consumption", -$C1267*VLOOKUP($B1267, Items!$A:$E, 5, FALSE), 0)</f>
        <v>0</v>
      </c>
    </row>
    <row r="1268" spans="7:8">
      <c r="G1268">
        <f>IF($D1268="", "", IF($D1268="Receipt", $C1268*VLOOKUP($B1268, Items!$A:$E, 5, FALSE), IF($D1268="Consumption", -$C1268*VLOOKUP($B1268, Items!$A:$E, 5, FALSE), "")))</f>
        <v>0</v>
      </c>
      <c r="H1268">
        <f>IF($D1268="Consumption", -$C1268*VLOOKUP($B1268, Items!$A:$E, 5, FALSE), 0)</f>
        <v>0</v>
      </c>
    </row>
    <row r="1269" spans="7:8">
      <c r="G1269">
        <f>IF($D1269="", "", IF($D1269="Receipt", $C1269*VLOOKUP($B1269, Items!$A:$E, 5, FALSE), IF($D1269="Consumption", -$C1269*VLOOKUP($B1269, Items!$A:$E, 5, FALSE), "")))</f>
        <v>0</v>
      </c>
      <c r="H1269">
        <f>IF($D1269="Consumption", -$C1269*VLOOKUP($B1269, Items!$A:$E, 5, FALSE), 0)</f>
        <v>0</v>
      </c>
    </row>
    <row r="1270" spans="7:8">
      <c r="G1270">
        <f>IF($D1270="", "", IF($D1270="Receipt", $C1270*VLOOKUP($B1270, Items!$A:$E, 5, FALSE), IF($D1270="Consumption", -$C1270*VLOOKUP($B1270, Items!$A:$E, 5, FALSE), "")))</f>
        <v>0</v>
      </c>
      <c r="H1270">
        <f>IF($D1270="Consumption", -$C1270*VLOOKUP($B1270, Items!$A:$E, 5, FALSE), 0)</f>
        <v>0</v>
      </c>
    </row>
    <row r="1271" spans="7:8">
      <c r="G1271">
        <f>IF($D1271="", "", IF($D1271="Receipt", $C1271*VLOOKUP($B1271, Items!$A:$E, 5, FALSE), IF($D1271="Consumption", -$C1271*VLOOKUP($B1271, Items!$A:$E, 5, FALSE), "")))</f>
        <v>0</v>
      </c>
      <c r="H1271">
        <f>IF($D1271="Consumption", -$C1271*VLOOKUP($B1271, Items!$A:$E, 5, FALSE), 0)</f>
        <v>0</v>
      </c>
    </row>
    <row r="1272" spans="7:8">
      <c r="G1272">
        <f>IF($D1272="", "", IF($D1272="Receipt", $C1272*VLOOKUP($B1272, Items!$A:$E, 5, FALSE), IF($D1272="Consumption", -$C1272*VLOOKUP($B1272, Items!$A:$E, 5, FALSE), "")))</f>
        <v>0</v>
      </c>
      <c r="H1272">
        <f>IF($D1272="Consumption", -$C1272*VLOOKUP($B1272, Items!$A:$E, 5, FALSE), 0)</f>
        <v>0</v>
      </c>
    </row>
    <row r="1273" spans="7:8">
      <c r="G1273">
        <f>IF($D1273="", "", IF($D1273="Receipt", $C1273*VLOOKUP($B1273, Items!$A:$E, 5, FALSE), IF($D1273="Consumption", -$C1273*VLOOKUP($B1273, Items!$A:$E, 5, FALSE), "")))</f>
        <v>0</v>
      </c>
      <c r="H1273">
        <f>IF($D1273="Consumption", -$C1273*VLOOKUP($B1273, Items!$A:$E, 5, FALSE), 0)</f>
        <v>0</v>
      </c>
    </row>
    <row r="1274" spans="7:8">
      <c r="G1274">
        <f>IF($D1274="", "", IF($D1274="Receipt", $C1274*VLOOKUP($B1274, Items!$A:$E, 5, FALSE), IF($D1274="Consumption", -$C1274*VLOOKUP($B1274, Items!$A:$E, 5, FALSE), "")))</f>
        <v>0</v>
      </c>
      <c r="H1274">
        <f>IF($D1274="Consumption", -$C1274*VLOOKUP($B1274, Items!$A:$E, 5, FALSE), 0)</f>
        <v>0</v>
      </c>
    </row>
    <row r="1275" spans="7:8">
      <c r="G1275">
        <f>IF($D1275="", "", IF($D1275="Receipt", $C1275*VLOOKUP($B1275, Items!$A:$E, 5, FALSE), IF($D1275="Consumption", -$C1275*VLOOKUP($B1275, Items!$A:$E, 5, FALSE), "")))</f>
        <v>0</v>
      </c>
      <c r="H1275">
        <f>IF($D1275="Consumption", -$C1275*VLOOKUP($B1275, Items!$A:$E, 5, FALSE), 0)</f>
        <v>0</v>
      </c>
    </row>
    <row r="1276" spans="7:8">
      <c r="G1276">
        <f>IF($D1276="", "", IF($D1276="Receipt", $C1276*VLOOKUP($B1276, Items!$A:$E, 5, FALSE), IF($D1276="Consumption", -$C1276*VLOOKUP($B1276, Items!$A:$E, 5, FALSE), "")))</f>
        <v>0</v>
      </c>
      <c r="H1276">
        <f>IF($D1276="Consumption", -$C1276*VLOOKUP($B1276, Items!$A:$E, 5, FALSE), 0)</f>
        <v>0</v>
      </c>
    </row>
    <row r="1277" spans="7:8">
      <c r="G1277">
        <f>IF($D1277="", "", IF($D1277="Receipt", $C1277*VLOOKUP($B1277, Items!$A:$E, 5, FALSE), IF($D1277="Consumption", -$C1277*VLOOKUP($B1277, Items!$A:$E, 5, FALSE), "")))</f>
        <v>0</v>
      </c>
      <c r="H1277">
        <f>IF($D1277="Consumption", -$C1277*VLOOKUP($B1277, Items!$A:$E, 5, FALSE), 0)</f>
        <v>0</v>
      </c>
    </row>
    <row r="1278" spans="7:8">
      <c r="G1278">
        <f>IF($D1278="", "", IF($D1278="Receipt", $C1278*VLOOKUP($B1278, Items!$A:$E, 5, FALSE), IF($D1278="Consumption", -$C1278*VLOOKUP($B1278, Items!$A:$E, 5, FALSE), "")))</f>
        <v>0</v>
      </c>
      <c r="H1278">
        <f>IF($D1278="Consumption", -$C1278*VLOOKUP($B1278, Items!$A:$E, 5, FALSE), 0)</f>
        <v>0</v>
      </c>
    </row>
    <row r="1279" spans="7:8">
      <c r="G1279">
        <f>IF($D1279="", "", IF($D1279="Receipt", $C1279*VLOOKUP($B1279, Items!$A:$E, 5, FALSE), IF($D1279="Consumption", -$C1279*VLOOKUP($B1279, Items!$A:$E, 5, FALSE), "")))</f>
        <v>0</v>
      </c>
      <c r="H1279">
        <f>IF($D1279="Consumption", -$C1279*VLOOKUP($B1279, Items!$A:$E, 5, FALSE), 0)</f>
        <v>0</v>
      </c>
    </row>
    <row r="1280" spans="7:8">
      <c r="G1280">
        <f>IF($D1280="", "", IF($D1280="Receipt", $C1280*VLOOKUP($B1280, Items!$A:$E, 5, FALSE), IF($D1280="Consumption", -$C1280*VLOOKUP($B1280, Items!$A:$E, 5, FALSE), "")))</f>
        <v>0</v>
      </c>
      <c r="H1280">
        <f>IF($D1280="Consumption", -$C1280*VLOOKUP($B1280, Items!$A:$E, 5, FALSE), 0)</f>
        <v>0</v>
      </c>
    </row>
    <row r="1281" spans="7:8">
      <c r="G1281">
        <f>IF($D1281="", "", IF($D1281="Receipt", $C1281*VLOOKUP($B1281, Items!$A:$E, 5, FALSE), IF($D1281="Consumption", -$C1281*VLOOKUP($B1281, Items!$A:$E, 5, FALSE), "")))</f>
        <v>0</v>
      </c>
      <c r="H1281">
        <f>IF($D1281="Consumption", -$C1281*VLOOKUP($B1281, Items!$A:$E, 5, FALSE), 0)</f>
        <v>0</v>
      </c>
    </row>
    <row r="1282" spans="7:8">
      <c r="G1282">
        <f>IF($D1282="", "", IF($D1282="Receipt", $C1282*VLOOKUP($B1282, Items!$A:$E, 5, FALSE), IF($D1282="Consumption", -$C1282*VLOOKUP($B1282, Items!$A:$E, 5, FALSE), "")))</f>
        <v>0</v>
      </c>
      <c r="H1282">
        <f>IF($D1282="Consumption", -$C1282*VLOOKUP($B1282, Items!$A:$E, 5, FALSE), 0)</f>
        <v>0</v>
      </c>
    </row>
    <row r="1283" spans="7:8">
      <c r="G1283">
        <f>IF($D1283="", "", IF($D1283="Receipt", $C1283*VLOOKUP($B1283, Items!$A:$E, 5, FALSE), IF($D1283="Consumption", -$C1283*VLOOKUP($B1283, Items!$A:$E, 5, FALSE), "")))</f>
        <v>0</v>
      </c>
      <c r="H1283">
        <f>IF($D1283="Consumption", -$C1283*VLOOKUP($B1283, Items!$A:$E, 5, FALSE), 0)</f>
        <v>0</v>
      </c>
    </row>
    <row r="1284" spans="7:8">
      <c r="G1284">
        <f>IF($D1284="", "", IF($D1284="Receipt", $C1284*VLOOKUP($B1284, Items!$A:$E, 5, FALSE), IF($D1284="Consumption", -$C1284*VLOOKUP($B1284, Items!$A:$E, 5, FALSE), "")))</f>
        <v>0</v>
      </c>
      <c r="H1284">
        <f>IF($D1284="Consumption", -$C1284*VLOOKUP($B1284, Items!$A:$E, 5, FALSE), 0)</f>
        <v>0</v>
      </c>
    </row>
    <row r="1285" spans="7:8">
      <c r="G1285">
        <f>IF($D1285="", "", IF($D1285="Receipt", $C1285*VLOOKUP($B1285, Items!$A:$E, 5, FALSE), IF($D1285="Consumption", -$C1285*VLOOKUP($B1285, Items!$A:$E, 5, FALSE), "")))</f>
        <v>0</v>
      </c>
      <c r="H1285">
        <f>IF($D1285="Consumption", -$C1285*VLOOKUP($B1285, Items!$A:$E, 5, FALSE), 0)</f>
        <v>0</v>
      </c>
    </row>
    <row r="1286" spans="7:8">
      <c r="G1286">
        <f>IF($D1286="", "", IF($D1286="Receipt", $C1286*VLOOKUP($B1286, Items!$A:$E, 5, FALSE), IF($D1286="Consumption", -$C1286*VLOOKUP($B1286, Items!$A:$E, 5, FALSE), "")))</f>
        <v>0</v>
      </c>
      <c r="H1286">
        <f>IF($D1286="Consumption", -$C1286*VLOOKUP($B1286, Items!$A:$E, 5, FALSE), 0)</f>
        <v>0</v>
      </c>
    </row>
    <row r="1287" spans="7:8">
      <c r="G1287">
        <f>IF($D1287="", "", IF($D1287="Receipt", $C1287*VLOOKUP($B1287, Items!$A:$E, 5, FALSE), IF($D1287="Consumption", -$C1287*VLOOKUP($B1287, Items!$A:$E, 5, FALSE), "")))</f>
        <v>0</v>
      </c>
      <c r="H1287">
        <f>IF($D1287="Consumption", -$C1287*VLOOKUP($B1287, Items!$A:$E, 5, FALSE), 0)</f>
        <v>0</v>
      </c>
    </row>
    <row r="1288" spans="7:8">
      <c r="G1288">
        <f>IF($D1288="", "", IF($D1288="Receipt", $C1288*VLOOKUP($B1288, Items!$A:$E, 5, FALSE), IF($D1288="Consumption", -$C1288*VLOOKUP($B1288, Items!$A:$E, 5, FALSE), "")))</f>
        <v>0</v>
      </c>
      <c r="H1288">
        <f>IF($D1288="Consumption", -$C1288*VLOOKUP($B1288, Items!$A:$E, 5, FALSE), 0)</f>
        <v>0</v>
      </c>
    </row>
    <row r="1289" spans="7:8">
      <c r="G1289">
        <f>IF($D1289="", "", IF($D1289="Receipt", $C1289*VLOOKUP($B1289, Items!$A:$E, 5, FALSE), IF($D1289="Consumption", -$C1289*VLOOKUP($B1289, Items!$A:$E, 5, FALSE), "")))</f>
        <v>0</v>
      </c>
      <c r="H1289">
        <f>IF($D1289="Consumption", -$C1289*VLOOKUP($B1289, Items!$A:$E, 5, FALSE), 0)</f>
        <v>0</v>
      </c>
    </row>
    <row r="1290" spans="7:8">
      <c r="G1290">
        <f>IF($D1290="", "", IF($D1290="Receipt", $C1290*VLOOKUP($B1290, Items!$A:$E, 5, FALSE), IF($D1290="Consumption", -$C1290*VLOOKUP($B1290, Items!$A:$E, 5, FALSE), "")))</f>
        <v>0</v>
      </c>
      <c r="H1290">
        <f>IF($D1290="Consumption", -$C1290*VLOOKUP($B1290, Items!$A:$E, 5, FALSE), 0)</f>
        <v>0</v>
      </c>
    </row>
    <row r="1291" spans="7:8">
      <c r="G1291">
        <f>IF($D1291="", "", IF($D1291="Receipt", $C1291*VLOOKUP($B1291, Items!$A:$E, 5, FALSE), IF($D1291="Consumption", -$C1291*VLOOKUP($B1291, Items!$A:$E, 5, FALSE), "")))</f>
        <v>0</v>
      </c>
      <c r="H1291">
        <f>IF($D1291="Consumption", -$C1291*VLOOKUP($B1291, Items!$A:$E, 5, FALSE), 0)</f>
        <v>0</v>
      </c>
    </row>
    <row r="1292" spans="7:8">
      <c r="G1292">
        <f>IF($D1292="", "", IF($D1292="Receipt", $C1292*VLOOKUP($B1292, Items!$A:$E, 5, FALSE), IF($D1292="Consumption", -$C1292*VLOOKUP($B1292, Items!$A:$E, 5, FALSE), "")))</f>
        <v>0</v>
      </c>
      <c r="H1292">
        <f>IF($D1292="Consumption", -$C1292*VLOOKUP($B1292, Items!$A:$E, 5, FALSE), 0)</f>
        <v>0</v>
      </c>
    </row>
    <row r="1293" spans="7:8">
      <c r="G1293">
        <f>IF($D1293="", "", IF($D1293="Receipt", $C1293*VLOOKUP($B1293, Items!$A:$E, 5, FALSE), IF($D1293="Consumption", -$C1293*VLOOKUP($B1293, Items!$A:$E, 5, FALSE), "")))</f>
        <v>0</v>
      </c>
      <c r="H1293">
        <f>IF($D1293="Consumption", -$C1293*VLOOKUP($B1293, Items!$A:$E, 5, FALSE), 0)</f>
        <v>0</v>
      </c>
    </row>
    <row r="1294" spans="7:8">
      <c r="G1294">
        <f>IF($D1294="", "", IF($D1294="Receipt", $C1294*VLOOKUP($B1294, Items!$A:$E, 5, FALSE), IF($D1294="Consumption", -$C1294*VLOOKUP($B1294, Items!$A:$E, 5, FALSE), "")))</f>
        <v>0</v>
      </c>
      <c r="H1294">
        <f>IF($D1294="Consumption", -$C1294*VLOOKUP($B1294, Items!$A:$E, 5, FALSE), 0)</f>
        <v>0</v>
      </c>
    </row>
    <row r="1295" spans="7:8">
      <c r="G1295">
        <f>IF($D1295="", "", IF($D1295="Receipt", $C1295*VLOOKUP($B1295, Items!$A:$E, 5, FALSE), IF($D1295="Consumption", -$C1295*VLOOKUP($B1295, Items!$A:$E, 5, FALSE), "")))</f>
        <v>0</v>
      </c>
      <c r="H1295">
        <f>IF($D1295="Consumption", -$C1295*VLOOKUP($B1295, Items!$A:$E, 5, FALSE), 0)</f>
        <v>0</v>
      </c>
    </row>
    <row r="1296" spans="7:8">
      <c r="G1296">
        <f>IF($D1296="", "", IF($D1296="Receipt", $C1296*VLOOKUP($B1296, Items!$A:$E, 5, FALSE), IF($D1296="Consumption", -$C1296*VLOOKUP($B1296, Items!$A:$E, 5, FALSE), "")))</f>
        <v>0</v>
      </c>
      <c r="H1296">
        <f>IF($D1296="Consumption", -$C1296*VLOOKUP($B1296, Items!$A:$E, 5, FALSE), 0)</f>
        <v>0</v>
      </c>
    </row>
    <row r="1297" spans="7:8">
      <c r="G1297">
        <f>IF($D1297="", "", IF($D1297="Receipt", $C1297*VLOOKUP($B1297, Items!$A:$E, 5, FALSE), IF($D1297="Consumption", -$C1297*VLOOKUP($B1297, Items!$A:$E, 5, FALSE), "")))</f>
        <v>0</v>
      </c>
      <c r="H1297">
        <f>IF($D1297="Consumption", -$C1297*VLOOKUP($B1297, Items!$A:$E, 5, FALSE), 0)</f>
        <v>0</v>
      </c>
    </row>
    <row r="1298" spans="7:8">
      <c r="G1298">
        <f>IF($D1298="", "", IF($D1298="Receipt", $C1298*VLOOKUP($B1298, Items!$A:$E, 5, FALSE), IF($D1298="Consumption", -$C1298*VLOOKUP($B1298, Items!$A:$E, 5, FALSE), "")))</f>
        <v>0</v>
      </c>
      <c r="H1298">
        <f>IF($D1298="Consumption", -$C1298*VLOOKUP($B1298, Items!$A:$E, 5, FALSE), 0)</f>
        <v>0</v>
      </c>
    </row>
    <row r="1299" spans="7:8">
      <c r="G1299">
        <f>IF($D1299="", "", IF($D1299="Receipt", $C1299*VLOOKUP($B1299, Items!$A:$E, 5, FALSE), IF($D1299="Consumption", -$C1299*VLOOKUP($B1299, Items!$A:$E, 5, FALSE), "")))</f>
        <v>0</v>
      </c>
      <c r="H1299">
        <f>IF($D1299="Consumption", -$C1299*VLOOKUP($B1299, Items!$A:$E, 5, FALSE), 0)</f>
        <v>0</v>
      </c>
    </row>
    <row r="1300" spans="7:8">
      <c r="G1300">
        <f>IF($D1300="", "", IF($D1300="Receipt", $C1300*VLOOKUP($B1300, Items!$A:$E, 5, FALSE), IF($D1300="Consumption", -$C1300*VLOOKUP($B1300, Items!$A:$E, 5, FALSE), "")))</f>
        <v>0</v>
      </c>
      <c r="H1300">
        <f>IF($D1300="Consumption", -$C1300*VLOOKUP($B1300, Items!$A:$E, 5, FALSE), 0)</f>
        <v>0</v>
      </c>
    </row>
    <row r="1301" spans="7:8">
      <c r="G1301">
        <f>IF($D1301="", "", IF($D1301="Receipt", $C1301*VLOOKUP($B1301, Items!$A:$E, 5, FALSE), IF($D1301="Consumption", -$C1301*VLOOKUP($B1301, Items!$A:$E, 5, FALSE), "")))</f>
        <v>0</v>
      </c>
      <c r="H1301">
        <f>IF($D1301="Consumption", -$C1301*VLOOKUP($B1301, Items!$A:$E, 5, FALSE), 0)</f>
        <v>0</v>
      </c>
    </row>
    <row r="1302" spans="7:8">
      <c r="G1302">
        <f>IF($D1302="", "", IF($D1302="Receipt", $C1302*VLOOKUP($B1302, Items!$A:$E, 5, FALSE), IF($D1302="Consumption", -$C1302*VLOOKUP($B1302, Items!$A:$E, 5, FALSE), "")))</f>
        <v>0</v>
      </c>
      <c r="H1302">
        <f>IF($D1302="Consumption", -$C1302*VLOOKUP($B1302, Items!$A:$E, 5, FALSE), 0)</f>
        <v>0</v>
      </c>
    </row>
    <row r="1303" spans="7:8">
      <c r="G1303">
        <f>IF($D1303="", "", IF($D1303="Receipt", $C1303*VLOOKUP($B1303, Items!$A:$E, 5, FALSE), IF($D1303="Consumption", -$C1303*VLOOKUP($B1303, Items!$A:$E, 5, FALSE), "")))</f>
        <v>0</v>
      </c>
      <c r="H1303">
        <f>IF($D1303="Consumption", -$C1303*VLOOKUP($B1303, Items!$A:$E, 5, FALSE), 0)</f>
        <v>0</v>
      </c>
    </row>
    <row r="1304" spans="7:8">
      <c r="G1304">
        <f>IF($D1304="", "", IF($D1304="Receipt", $C1304*VLOOKUP($B1304, Items!$A:$E, 5, FALSE), IF($D1304="Consumption", -$C1304*VLOOKUP($B1304, Items!$A:$E, 5, FALSE), "")))</f>
        <v>0</v>
      </c>
      <c r="H1304">
        <f>IF($D1304="Consumption", -$C1304*VLOOKUP($B1304, Items!$A:$E, 5, FALSE), 0)</f>
        <v>0</v>
      </c>
    </row>
    <row r="1305" spans="7:8">
      <c r="G1305">
        <f>IF($D1305="", "", IF($D1305="Receipt", $C1305*VLOOKUP($B1305, Items!$A:$E, 5, FALSE), IF($D1305="Consumption", -$C1305*VLOOKUP($B1305, Items!$A:$E, 5, FALSE), "")))</f>
        <v>0</v>
      </c>
      <c r="H1305">
        <f>IF($D1305="Consumption", -$C1305*VLOOKUP($B1305, Items!$A:$E, 5, FALSE), 0)</f>
        <v>0</v>
      </c>
    </row>
    <row r="1306" spans="7:8">
      <c r="G1306">
        <f>IF($D1306="", "", IF($D1306="Receipt", $C1306*VLOOKUP($B1306, Items!$A:$E, 5, FALSE), IF($D1306="Consumption", -$C1306*VLOOKUP($B1306, Items!$A:$E, 5, FALSE), "")))</f>
        <v>0</v>
      </c>
      <c r="H1306">
        <f>IF($D1306="Consumption", -$C1306*VLOOKUP($B1306, Items!$A:$E, 5, FALSE), 0)</f>
        <v>0</v>
      </c>
    </row>
    <row r="1307" spans="7:8">
      <c r="G1307">
        <f>IF($D1307="", "", IF($D1307="Receipt", $C1307*VLOOKUP($B1307, Items!$A:$E, 5, FALSE), IF($D1307="Consumption", -$C1307*VLOOKUP($B1307, Items!$A:$E, 5, FALSE), "")))</f>
        <v>0</v>
      </c>
      <c r="H1307">
        <f>IF($D1307="Consumption", -$C1307*VLOOKUP($B1307, Items!$A:$E, 5, FALSE), 0)</f>
        <v>0</v>
      </c>
    </row>
    <row r="1308" spans="7:8">
      <c r="G1308">
        <f>IF($D1308="", "", IF($D1308="Receipt", $C1308*VLOOKUP($B1308, Items!$A:$E, 5, FALSE), IF($D1308="Consumption", -$C1308*VLOOKUP($B1308, Items!$A:$E, 5, FALSE), "")))</f>
        <v>0</v>
      </c>
      <c r="H1308">
        <f>IF($D1308="Consumption", -$C1308*VLOOKUP($B1308, Items!$A:$E, 5, FALSE), 0)</f>
        <v>0</v>
      </c>
    </row>
    <row r="1309" spans="7:8">
      <c r="G1309">
        <f>IF($D1309="", "", IF($D1309="Receipt", $C1309*VLOOKUP($B1309, Items!$A:$E, 5, FALSE), IF($D1309="Consumption", -$C1309*VLOOKUP($B1309, Items!$A:$E, 5, FALSE), "")))</f>
        <v>0</v>
      </c>
      <c r="H1309">
        <f>IF($D1309="Consumption", -$C1309*VLOOKUP($B1309, Items!$A:$E, 5, FALSE), 0)</f>
        <v>0</v>
      </c>
    </row>
    <row r="1310" spans="7:8">
      <c r="G1310">
        <f>IF($D1310="", "", IF($D1310="Receipt", $C1310*VLOOKUP($B1310, Items!$A:$E, 5, FALSE), IF($D1310="Consumption", -$C1310*VLOOKUP($B1310, Items!$A:$E, 5, FALSE), "")))</f>
        <v>0</v>
      </c>
      <c r="H1310">
        <f>IF($D1310="Consumption", -$C1310*VLOOKUP($B1310, Items!$A:$E, 5, FALSE), 0)</f>
        <v>0</v>
      </c>
    </row>
    <row r="1311" spans="7:8">
      <c r="G1311">
        <f>IF($D1311="", "", IF($D1311="Receipt", $C1311*VLOOKUP($B1311, Items!$A:$E, 5, FALSE), IF($D1311="Consumption", -$C1311*VLOOKUP($B1311, Items!$A:$E, 5, FALSE), "")))</f>
        <v>0</v>
      </c>
      <c r="H1311">
        <f>IF($D1311="Consumption", -$C1311*VLOOKUP($B1311, Items!$A:$E, 5, FALSE), 0)</f>
        <v>0</v>
      </c>
    </row>
    <row r="1312" spans="7:8">
      <c r="G1312">
        <f>IF($D1312="", "", IF($D1312="Receipt", $C1312*VLOOKUP($B1312, Items!$A:$E, 5, FALSE), IF($D1312="Consumption", -$C1312*VLOOKUP($B1312, Items!$A:$E, 5, FALSE), "")))</f>
        <v>0</v>
      </c>
      <c r="H1312">
        <f>IF($D1312="Consumption", -$C1312*VLOOKUP($B1312, Items!$A:$E, 5, FALSE), 0)</f>
        <v>0</v>
      </c>
    </row>
    <row r="1313" spans="7:8">
      <c r="G1313">
        <f>IF($D1313="", "", IF($D1313="Receipt", $C1313*VLOOKUP($B1313, Items!$A:$E, 5, FALSE), IF($D1313="Consumption", -$C1313*VLOOKUP($B1313, Items!$A:$E, 5, FALSE), "")))</f>
        <v>0</v>
      </c>
      <c r="H1313">
        <f>IF($D1313="Consumption", -$C1313*VLOOKUP($B1313, Items!$A:$E, 5, FALSE), 0)</f>
        <v>0</v>
      </c>
    </row>
    <row r="1314" spans="7:8">
      <c r="G1314">
        <f>IF($D1314="", "", IF($D1314="Receipt", $C1314*VLOOKUP($B1314, Items!$A:$E, 5, FALSE), IF($D1314="Consumption", -$C1314*VLOOKUP($B1314, Items!$A:$E, 5, FALSE), "")))</f>
        <v>0</v>
      </c>
      <c r="H1314">
        <f>IF($D1314="Consumption", -$C1314*VLOOKUP($B1314, Items!$A:$E, 5, FALSE), 0)</f>
        <v>0</v>
      </c>
    </row>
    <row r="1315" spans="7:8">
      <c r="G1315">
        <f>IF($D1315="", "", IF($D1315="Receipt", $C1315*VLOOKUP($B1315, Items!$A:$E, 5, FALSE), IF($D1315="Consumption", -$C1315*VLOOKUP($B1315, Items!$A:$E, 5, FALSE), "")))</f>
        <v>0</v>
      </c>
      <c r="H1315">
        <f>IF($D1315="Consumption", -$C1315*VLOOKUP($B1315, Items!$A:$E, 5, FALSE), 0)</f>
        <v>0</v>
      </c>
    </row>
    <row r="1316" spans="7:8">
      <c r="G1316">
        <f>IF($D1316="", "", IF($D1316="Receipt", $C1316*VLOOKUP($B1316, Items!$A:$E, 5, FALSE), IF($D1316="Consumption", -$C1316*VLOOKUP($B1316, Items!$A:$E, 5, FALSE), "")))</f>
        <v>0</v>
      </c>
      <c r="H1316">
        <f>IF($D1316="Consumption", -$C1316*VLOOKUP($B1316, Items!$A:$E, 5, FALSE), 0)</f>
        <v>0</v>
      </c>
    </row>
    <row r="1317" spans="7:8">
      <c r="G1317">
        <f>IF($D1317="", "", IF($D1317="Receipt", $C1317*VLOOKUP($B1317, Items!$A:$E, 5, FALSE), IF($D1317="Consumption", -$C1317*VLOOKUP($B1317, Items!$A:$E, 5, FALSE), "")))</f>
        <v>0</v>
      </c>
      <c r="H1317">
        <f>IF($D1317="Consumption", -$C1317*VLOOKUP($B1317, Items!$A:$E, 5, FALSE), 0)</f>
        <v>0</v>
      </c>
    </row>
    <row r="1318" spans="7:8">
      <c r="G1318">
        <f>IF($D1318="", "", IF($D1318="Receipt", $C1318*VLOOKUP($B1318, Items!$A:$E, 5, FALSE), IF($D1318="Consumption", -$C1318*VLOOKUP($B1318, Items!$A:$E, 5, FALSE), "")))</f>
        <v>0</v>
      </c>
      <c r="H1318">
        <f>IF($D1318="Consumption", -$C1318*VLOOKUP($B1318, Items!$A:$E, 5, FALSE), 0)</f>
        <v>0</v>
      </c>
    </row>
    <row r="1319" spans="7:8">
      <c r="G1319">
        <f>IF($D1319="", "", IF($D1319="Receipt", $C1319*VLOOKUP($B1319, Items!$A:$E, 5, FALSE), IF($D1319="Consumption", -$C1319*VLOOKUP($B1319, Items!$A:$E, 5, FALSE), "")))</f>
        <v>0</v>
      </c>
      <c r="H1319">
        <f>IF($D1319="Consumption", -$C1319*VLOOKUP($B1319, Items!$A:$E, 5, FALSE), 0)</f>
        <v>0</v>
      </c>
    </row>
    <row r="1320" spans="7:8">
      <c r="G1320">
        <f>IF($D1320="", "", IF($D1320="Receipt", $C1320*VLOOKUP($B1320, Items!$A:$E, 5, FALSE), IF($D1320="Consumption", -$C1320*VLOOKUP($B1320, Items!$A:$E, 5, FALSE), "")))</f>
        <v>0</v>
      </c>
      <c r="H1320">
        <f>IF($D1320="Consumption", -$C1320*VLOOKUP($B1320, Items!$A:$E, 5, FALSE), 0)</f>
        <v>0</v>
      </c>
    </row>
    <row r="1321" spans="7:8">
      <c r="G1321">
        <f>IF($D1321="", "", IF($D1321="Receipt", $C1321*VLOOKUP($B1321, Items!$A:$E, 5, FALSE), IF($D1321="Consumption", -$C1321*VLOOKUP($B1321, Items!$A:$E, 5, FALSE), "")))</f>
        <v>0</v>
      </c>
      <c r="H1321">
        <f>IF($D1321="Consumption", -$C1321*VLOOKUP($B1321, Items!$A:$E, 5, FALSE), 0)</f>
        <v>0</v>
      </c>
    </row>
    <row r="1322" spans="7:8">
      <c r="G1322">
        <f>IF($D1322="", "", IF($D1322="Receipt", $C1322*VLOOKUP($B1322, Items!$A:$E, 5, FALSE), IF($D1322="Consumption", -$C1322*VLOOKUP($B1322, Items!$A:$E, 5, FALSE), "")))</f>
        <v>0</v>
      </c>
      <c r="H1322">
        <f>IF($D1322="Consumption", -$C1322*VLOOKUP($B1322, Items!$A:$E, 5, FALSE), 0)</f>
        <v>0</v>
      </c>
    </row>
    <row r="1323" spans="7:8">
      <c r="G1323">
        <f>IF($D1323="", "", IF($D1323="Receipt", $C1323*VLOOKUP($B1323, Items!$A:$E, 5, FALSE), IF($D1323="Consumption", -$C1323*VLOOKUP($B1323, Items!$A:$E, 5, FALSE), "")))</f>
        <v>0</v>
      </c>
      <c r="H1323">
        <f>IF($D1323="Consumption", -$C1323*VLOOKUP($B1323, Items!$A:$E, 5, FALSE), 0)</f>
        <v>0</v>
      </c>
    </row>
    <row r="1324" spans="7:8">
      <c r="G1324">
        <f>IF($D1324="", "", IF($D1324="Receipt", $C1324*VLOOKUP($B1324, Items!$A:$E, 5, FALSE), IF($D1324="Consumption", -$C1324*VLOOKUP($B1324, Items!$A:$E, 5, FALSE), "")))</f>
        <v>0</v>
      </c>
      <c r="H1324">
        <f>IF($D1324="Consumption", -$C1324*VLOOKUP($B1324, Items!$A:$E, 5, FALSE), 0)</f>
        <v>0</v>
      </c>
    </row>
    <row r="1325" spans="7:8">
      <c r="G1325">
        <f>IF($D1325="", "", IF($D1325="Receipt", $C1325*VLOOKUP($B1325, Items!$A:$E, 5, FALSE), IF($D1325="Consumption", -$C1325*VLOOKUP($B1325, Items!$A:$E, 5, FALSE), "")))</f>
        <v>0</v>
      </c>
      <c r="H1325">
        <f>IF($D1325="Consumption", -$C1325*VLOOKUP($B1325, Items!$A:$E, 5, FALSE), 0)</f>
        <v>0</v>
      </c>
    </row>
    <row r="1326" spans="7:8">
      <c r="G1326">
        <f>IF($D1326="", "", IF($D1326="Receipt", $C1326*VLOOKUP($B1326, Items!$A:$E, 5, FALSE), IF($D1326="Consumption", -$C1326*VLOOKUP($B1326, Items!$A:$E, 5, FALSE), "")))</f>
        <v>0</v>
      </c>
      <c r="H1326">
        <f>IF($D1326="Consumption", -$C1326*VLOOKUP($B1326, Items!$A:$E, 5, FALSE), 0)</f>
        <v>0</v>
      </c>
    </row>
    <row r="1327" spans="7:8">
      <c r="G1327">
        <f>IF($D1327="", "", IF($D1327="Receipt", $C1327*VLOOKUP($B1327, Items!$A:$E, 5, FALSE), IF($D1327="Consumption", -$C1327*VLOOKUP($B1327, Items!$A:$E, 5, FALSE), "")))</f>
        <v>0</v>
      </c>
      <c r="H1327">
        <f>IF($D1327="Consumption", -$C1327*VLOOKUP($B1327, Items!$A:$E, 5, FALSE), 0)</f>
        <v>0</v>
      </c>
    </row>
    <row r="1328" spans="7:8">
      <c r="G1328">
        <f>IF($D1328="", "", IF($D1328="Receipt", $C1328*VLOOKUP($B1328, Items!$A:$E, 5, FALSE), IF($D1328="Consumption", -$C1328*VLOOKUP($B1328, Items!$A:$E, 5, FALSE), "")))</f>
        <v>0</v>
      </c>
      <c r="H1328">
        <f>IF($D1328="Consumption", -$C1328*VLOOKUP($B1328, Items!$A:$E, 5, FALSE), 0)</f>
        <v>0</v>
      </c>
    </row>
    <row r="1329" spans="7:8">
      <c r="G1329">
        <f>IF($D1329="", "", IF($D1329="Receipt", $C1329*VLOOKUP($B1329, Items!$A:$E, 5, FALSE), IF($D1329="Consumption", -$C1329*VLOOKUP($B1329, Items!$A:$E, 5, FALSE), "")))</f>
        <v>0</v>
      </c>
      <c r="H1329">
        <f>IF($D1329="Consumption", -$C1329*VLOOKUP($B1329, Items!$A:$E, 5, FALSE), 0)</f>
        <v>0</v>
      </c>
    </row>
    <row r="1330" spans="7:8">
      <c r="G1330">
        <f>IF($D1330="", "", IF($D1330="Receipt", $C1330*VLOOKUP($B1330, Items!$A:$E, 5, FALSE), IF($D1330="Consumption", -$C1330*VLOOKUP($B1330, Items!$A:$E, 5, FALSE), "")))</f>
        <v>0</v>
      </c>
      <c r="H1330">
        <f>IF($D1330="Consumption", -$C1330*VLOOKUP($B1330, Items!$A:$E, 5, FALSE), 0)</f>
        <v>0</v>
      </c>
    </row>
    <row r="1331" spans="7:8">
      <c r="G1331">
        <f>IF($D1331="", "", IF($D1331="Receipt", $C1331*VLOOKUP($B1331, Items!$A:$E, 5, FALSE), IF($D1331="Consumption", -$C1331*VLOOKUP($B1331, Items!$A:$E, 5, FALSE), "")))</f>
        <v>0</v>
      </c>
      <c r="H1331">
        <f>IF($D1331="Consumption", -$C1331*VLOOKUP($B1331, Items!$A:$E, 5, FALSE), 0)</f>
        <v>0</v>
      </c>
    </row>
    <row r="1332" spans="7:8">
      <c r="G1332">
        <f>IF($D1332="", "", IF($D1332="Receipt", $C1332*VLOOKUP($B1332, Items!$A:$E, 5, FALSE), IF($D1332="Consumption", -$C1332*VLOOKUP($B1332, Items!$A:$E, 5, FALSE), "")))</f>
        <v>0</v>
      </c>
      <c r="H1332">
        <f>IF($D1332="Consumption", -$C1332*VLOOKUP($B1332, Items!$A:$E, 5, FALSE), 0)</f>
        <v>0</v>
      </c>
    </row>
    <row r="1333" spans="7:8">
      <c r="G1333">
        <f>IF($D1333="", "", IF($D1333="Receipt", $C1333*VLOOKUP($B1333, Items!$A:$E, 5, FALSE), IF($D1333="Consumption", -$C1333*VLOOKUP($B1333, Items!$A:$E, 5, FALSE), "")))</f>
        <v>0</v>
      </c>
      <c r="H1333">
        <f>IF($D1333="Consumption", -$C1333*VLOOKUP($B1333, Items!$A:$E, 5, FALSE), 0)</f>
        <v>0</v>
      </c>
    </row>
    <row r="1334" spans="7:8">
      <c r="G1334">
        <f>IF($D1334="", "", IF($D1334="Receipt", $C1334*VLOOKUP($B1334, Items!$A:$E, 5, FALSE), IF($D1334="Consumption", -$C1334*VLOOKUP($B1334, Items!$A:$E, 5, FALSE), "")))</f>
        <v>0</v>
      </c>
      <c r="H1334">
        <f>IF($D1334="Consumption", -$C1334*VLOOKUP($B1334, Items!$A:$E, 5, FALSE), 0)</f>
        <v>0</v>
      </c>
    </row>
    <row r="1335" spans="7:8">
      <c r="G1335">
        <f>IF($D1335="", "", IF($D1335="Receipt", $C1335*VLOOKUP($B1335, Items!$A:$E, 5, FALSE), IF($D1335="Consumption", -$C1335*VLOOKUP($B1335, Items!$A:$E, 5, FALSE), "")))</f>
        <v>0</v>
      </c>
      <c r="H1335">
        <f>IF($D1335="Consumption", -$C1335*VLOOKUP($B1335, Items!$A:$E, 5, FALSE), 0)</f>
        <v>0</v>
      </c>
    </row>
    <row r="1336" spans="7:8">
      <c r="G1336">
        <f>IF($D1336="", "", IF($D1336="Receipt", $C1336*VLOOKUP($B1336, Items!$A:$E, 5, FALSE), IF($D1336="Consumption", -$C1336*VLOOKUP($B1336, Items!$A:$E, 5, FALSE), "")))</f>
        <v>0</v>
      </c>
      <c r="H1336">
        <f>IF($D1336="Consumption", -$C1336*VLOOKUP($B1336, Items!$A:$E, 5, FALSE), 0)</f>
        <v>0</v>
      </c>
    </row>
    <row r="1337" spans="7:8">
      <c r="G1337">
        <f>IF($D1337="", "", IF($D1337="Receipt", $C1337*VLOOKUP($B1337, Items!$A:$E, 5, FALSE), IF($D1337="Consumption", -$C1337*VLOOKUP($B1337, Items!$A:$E, 5, FALSE), "")))</f>
        <v>0</v>
      </c>
      <c r="H1337">
        <f>IF($D1337="Consumption", -$C1337*VLOOKUP($B1337, Items!$A:$E, 5, FALSE), 0)</f>
        <v>0</v>
      </c>
    </row>
    <row r="1338" spans="7:8">
      <c r="G1338">
        <f>IF($D1338="", "", IF($D1338="Receipt", $C1338*VLOOKUP($B1338, Items!$A:$E, 5, FALSE), IF($D1338="Consumption", -$C1338*VLOOKUP($B1338, Items!$A:$E, 5, FALSE), "")))</f>
        <v>0</v>
      </c>
      <c r="H1338">
        <f>IF($D1338="Consumption", -$C1338*VLOOKUP($B1338, Items!$A:$E, 5, FALSE), 0)</f>
        <v>0</v>
      </c>
    </row>
    <row r="1339" spans="7:8">
      <c r="G1339">
        <f>IF($D1339="", "", IF($D1339="Receipt", $C1339*VLOOKUP($B1339, Items!$A:$E, 5, FALSE), IF($D1339="Consumption", -$C1339*VLOOKUP($B1339, Items!$A:$E, 5, FALSE), "")))</f>
        <v>0</v>
      </c>
      <c r="H1339">
        <f>IF($D1339="Consumption", -$C1339*VLOOKUP($B1339, Items!$A:$E, 5, FALSE), 0)</f>
        <v>0</v>
      </c>
    </row>
    <row r="1340" spans="7:8">
      <c r="G1340">
        <f>IF($D1340="", "", IF($D1340="Receipt", $C1340*VLOOKUP($B1340, Items!$A:$E, 5, FALSE), IF($D1340="Consumption", -$C1340*VLOOKUP($B1340, Items!$A:$E, 5, FALSE), "")))</f>
        <v>0</v>
      </c>
      <c r="H1340">
        <f>IF($D1340="Consumption", -$C1340*VLOOKUP($B1340, Items!$A:$E, 5, FALSE), 0)</f>
        <v>0</v>
      </c>
    </row>
    <row r="1341" spans="7:8">
      <c r="G1341">
        <f>IF($D1341="", "", IF($D1341="Receipt", $C1341*VLOOKUP($B1341, Items!$A:$E, 5, FALSE), IF($D1341="Consumption", -$C1341*VLOOKUP($B1341, Items!$A:$E, 5, FALSE), "")))</f>
        <v>0</v>
      </c>
      <c r="H1341">
        <f>IF($D1341="Consumption", -$C1341*VLOOKUP($B1341, Items!$A:$E, 5, FALSE), 0)</f>
        <v>0</v>
      </c>
    </row>
    <row r="1342" spans="7:8">
      <c r="G1342">
        <f>IF($D1342="", "", IF($D1342="Receipt", $C1342*VLOOKUP($B1342, Items!$A:$E, 5, FALSE), IF($D1342="Consumption", -$C1342*VLOOKUP($B1342, Items!$A:$E, 5, FALSE), "")))</f>
        <v>0</v>
      </c>
      <c r="H1342">
        <f>IF($D1342="Consumption", -$C1342*VLOOKUP($B1342, Items!$A:$E, 5, FALSE), 0)</f>
        <v>0</v>
      </c>
    </row>
    <row r="1343" spans="7:8">
      <c r="G1343">
        <f>IF($D1343="", "", IF($D1343="Receipt", $C1343*VLOOKUP($B1343, Items!$A:$E, 5, FALSE), IF($D1343="Consumption", -$C1343*VLOOKUP($B1343, Items!$A:$E, 5, FALSE), "")))</f>
        <v>0</v>
      </c>
      <c r="H1343">
        <f>IF($D1343="Consumption", -$C1343*VLOOKUP($B1343, Items!$A:$E, 5, FALSE), 0)</f>
        <v>0</v>
      </c>
    </row>
    <row r="1344" spans="7:8">
      <c r="G1344">
        <f>IF($D1344="", "", IF($D1344="Receipt", $C1344*VLOOKUP($B1344, Items!$A:$E, 5, FALSE), IF($D1344="Consumption", -$C1344*VLOOKUP($B1344, Items!$A:$E, 5, FALSE), "")))</f>
        <v>0</v>
      </c>
      <c r="H1344">
        <f>IF($D1344="Consumption", -$C1344*VLOOKUP($B1344, Items!$A:$E, 5, FALSE), 0)</f>
        <v>0</v>
      </c>
    </row>
    <row r="1345" spans="7:8">
      <c r="G1345">
        <f>IF($D1345="", "", IF($D1345="Receipt", $C1345*VLOOKUP($B1345, Items!$A:$E, 5, FALSE), IF($D1345="Consumption", -$C1345*VLOOKUP($B1345, Items!$A:$E, 5, FALSE), "")))</f>
        <v>0</v>
      </c>
      <c r="H1345">
        <f>IF($D1345="Consumption", -$C1345*VLOOKUP($B1345, Items!$A:$E, 5, FALSE), 0)</f>
        <v>0</v>
      </c>
    </row>
    <row r="1346" spans="7:8">
      <c r="G1346">
        <f>IF($D1346="", "", IF($D1346="Receipt", $C1346*VLOOKUP($B1346, Items!$A:$E, 5, FALSE), IF($D1346="Consumption", -$C1346*VLOOKUP($B1346, Items!$A:$E, 5, FALSE), "")))</f>
        <v>0</v>
      </c>
      <c r="H1346">
        <f>IF($D1346="Consumption", -$C1346*VLOOKUP($B1346, Items!$A:$E, 5, FALSE), 0)</f>
        <v>0</v>
      </c>
    </row>
    <row r="1347" spans="7:8">
      <c r="G1347">
        <f>IF($D1347="", "", IF($D1347="Receipt", $C1347*VLOOKUP($B1347, Items!$A:$E, 5, FALSE), IF($D1347="Consumption", -$C1347*VLOOKUP($B1347, Items!$A:$E, 5, FALSE), "")))</f>
        <v>0</v>
      </c>
      <c r="H1347">
        <f>IF($D1347="Consumption", -$C1347*VLOOKUP($B1347, Items!$A:$E, 5, FALSE), 0)</f>
        <v>0</v>
      </c>
    </row>
    <row r="1348" spans="7:8">
      <c r="G1348">
        <f>IF($D1348="", "", IF($D1348="Receipt", $C1348*VLOOKUP($B1348, Items!$A:$E, 5, FALSE), IF($D1348="Consumption", -$C1348*VLOOKUP($B1348, Items!$A:$E, 5, FALSE), "")))</f>
        <v>0</v>
      </c>
      <c r="H1348">
        <f>IF($D1348="Consumption", -$C1348*VLOOKUP($B1348, Items!$A:$E, 5, FALSE), 0)</f>
        <v>0</v>
      </c>
    </row>
    <row r="1349" spans="7:8">
      <c r="G1349">
        <f>IF($D1349="", "", IF($D1349="Receipt", $C1349*VLOOKUP($B1349, Items!$A:$E, 5, FALSE), IF($D1349="Consumption", -$C1349*VLOOKUP($B1349, Items!$A:$E, 5, FALSE), "")))</f>
        <v>0</v>
      </c>
      <c r="H1349">
        <f>IF($D1349="Consumption", -$C1349*VLOOKUP($B1349, Items!$A:$E, 5, FALSE), 0)</f>
        <v>0</v>
      </c>
    </row>
    <row r="1350" spans="7:8">
      <c r="G1350">
        <f>IF($D1350="", "", IF($D1350="Receipt", $C1350*VLOOKUP($B1350, Items!$A:$E, 5, FALSE), IF($D1350="Consumption", -$C1350*VLOOKUP($B1350, Items!$A:$E, 5, FALSE), "")))</f>
        <v>0</v>
      </c>
      <c r="H1350">
        <f>IF($D1350="Consumption", -$C1350*VLOOKUP($B1350, Items!$A:$E, 5, FALSE), 0)</f>
        <v>0</v>
      </c>
    </row>
    <row r="1351" spans="7:8">
      <c r="G1351">
        <f>IF($D1351="", "", IF($D1351="Receipt", $C1351*VLOOKUP($B1351, Items!$A:$E, 5, FALSE), IF($D1351="Consumption", -$C1351*VLOOKUP($B1351, Items!$A:$E, 5, FALSE), "")))</f>
        <v>0</v>
      </c>
      <c r="H1351">
        <f>IF($D1351="Consumption", -$C1351*VLOOKUP($B1351, Items!$A:$E, 5, FALSE), 0)</f>
        <v>0</v>
      </c>
    </row>
    <row r="1352" spans="7:8">
      <c r="G1352">
        <f>IF($D1352="", "", IF($D1352="Receipt", $C1352*VLOOKUP($B1352, Items!$A:$E, 5, FALSE), IF($D1352="Consumption", -$C1352*VLOOKUP($B1352, Items!$A:$E, 5, FALSE), "")))</f>
        <v>0</v>
      </c>
      <c r="H1352">
        <f>IF($D1352="Consumption", -$C1352*VLOOKUP($B1352, Items!$A:$E, 5, FALSE), 0)</f>
        <v>0</v>
      </c>
    </row>
    <row r="1353" spans="7:8">
      <c r="G1353">
        <f>IF($D1353="", "", IF($D1353="Receipt", $C1353*VLOOKUP($B1353, Items!$A:$E, 5, FALSE), IF($D1353="Consumption", -$C1353*VLOOKUP($B1353, Items!$A:$E, 5, FALSE), "")))</f>
        <v>0</v>
      </c>
      <c r="H1353">
        <f>IF($D1353="Consumption", -$C1353*VLOOKUP($B1353, Items!$A:$E, 5, FALSE), 0)</f>
        <v>0</v>
      </c>
    </row>
    <row r="1354" spans="7:8">
      <c r="G1354">
        <f>IF($D1354="", "", IF($D1354="Receipt", $C1354*VLOOKUP($B1354, Items!$A:$E, 5, FALSE), IF($D1354="Consumption", -$C1354*VLOOKUP($B1354, Items!$A:$E, 5, FALSE), "")))</f>
        <v>0</v>
      </c>
      <c r="H1354">
        <f>IF($D1354="Consumption", -$C1354*VLOOKUP($B1354, Items!$A:$E, 5, FALSE), 0)</f>
        <v>0</v>
      </c>
    </row>
    <row r="1355" spans="7:8">
      <c r="G1355">
        <f>IF($D1355="", "", IF($D1355="Receipt", $C1355*VLOOKUP($B1355, Items!$A:$E, 5, FALSE), IF($D1355="Consumption", -$C1355*VLOOKUP($B1355, Items!$A:$E, 5, FALSE), "")))</f>
        <v>0</v>
      </c>
      <c r="H1355">
        <f>IF($D1355="Consumption", -$C1355*VLOOKUP($B1355, Items!$A:$E, 5, FALSE), 0)</f>
        <v>0</v>
      </c>
    </row>
    <row r="1356" spans="7:8">
      <c r="G1356">
        <f>IF($D1356="", "", IF($D1356="Receipt", $C1356*VLOOKUP($B1356, Items!$A:$E, 5, FALSE), IF($D1356="Consumption", -$C1356*VLOOKUP($B1356, Items!$A:$E, 5, FALSE), "")))</f>
        <v>0</v>
      </c>
      <c r="H1356">
        <f>IF($D1356="Consumption", -$C1356*VLOOKUP($B1356, Items!$A:$E, 5, FALSE), 0)</f>
        <v>0</v>
      </c>
    </row>
    <row r="1357" spans="7:8">
      <c r="G1357">
        <f>IF($D1357="", "", IF($D1357="Receipt", $C1357*VLOOKUP($B1357, Items!$A:$E, 5, FALSE), IF($D1357="Consumption", -$C1357*VLOOKUP($B1357, Items!$A:$E, 5, FALSE), "")))</f>
        <v>0</v>
      </c>
      <c r="H1357">
        <f>IF($D1357="Consumption", -$C1357*VLOOKUP($B1357, Items!$A:$E, 5, FALSE), 0)</f>
        <v>0</v>
      </c>
    </row>
    <row r="1358" spans="7:8">
      <c r="G1358">
        <f>IF($D1358="", "", IF($D1358="Receipt", $C1358*VLOOKUP($B1358, Items!$A:$E, 5, FALSE), IF($D1358="Consumption", -$C1358*VLOOKUP($B1358, Items!$A:$E, 5, FALSE), "")))</f>
        <v>0</v>
      </c>
      <c r="H1358">
        <f>IF($D1358="Consumption", -$C1358*VLOOKUP($B1358, Items!$A:$E, 5, FALSE), 0)</f>
        <v>0</v>
      </c>
    </row>
    <row r="1359" spans="7:8">
      <c r="G1359">
        <f>IF($D1359="", "", IF($D1359="Receipt", $C1359*VLOOKUP($B1359, Items!$A:$E, 5, FALSE), IF($D1359="Consumption", -$C1359*VLOOKUP($B1359, Items!$A:$E, 5, FALSE), "")))</f>
        <v>0</v>
      </c>
      <c r="H1359">
        <f>IF($D1359="Consumption", -$C1359*VLOOKUP($B1359, Items!$A:$E, 5, FALSE), 0)</f>
        <v>0</v>
      </c>
    </row>
    <row r="1360" spans="7:8">
      <c r="G1360">
        <f>IF($D1360="", "", IF($D1360="Receipt", $C1360*VLOOKUP($B1360, Items!$A:$E, 5, FALSE), IF($D1360="Consumption", -$C1360*VLOOKUP($B1360, Items!$A:$E, 5, FALSE), "")))</f>
        <v>0</v>
      </c>
      <c r="H1360">
        <f>IF($D1360="Consumption", -$C1360*VLOOKUP($B1360, Items!$A:$E, 5, FALSE), 0)</f>
        <v>0</v>
      </c>
    </row>
    <row r="1361" spans="7:8">
      <c r="G1361">
        <f>IF($D1361="", "", IF($D1361="Receipt", $C1361*VLOOKUP($B1361, Items!$A:$E, 5, FALSE), IF($D1361="Consumption", -$C1361*VLOOKUP($B1361, Items!$A:$E, 5, FALSE), "")))</f>
        <v>0</v>
      </c>
      <c r="H1361">
        <f>IF($D1361="Consumption", -$C1361*VLOOKUP($B1361, Items!$A:$E, 5, FALSE), 0)</f>
        <v>0</v>
      </c>
    </row>
    <row r="1362" spans="7:8">
      <c r="G1362">
        <f>IF($D1362="", "", IF($D1362="Receipt", $C1362*VLOOKUP($B1362, Items!$A:$E, 5, FALSE), IF($D1362="Consumption", -$C1362*VLOOKUP($B1362, Items!$A:$E, 5, FALSE), "")))</f>
        <v>0</v>
      </c>
      <c r="H1362">
        <f>IF($D1362="Consumption", -$C1362*VLOOKUP($B1362, Items!$A:$E, 5, FALSE), 0)</f>
        <v>0</v>
      </c>
    </row>
    <row r="1363" spans="7:8">
      <c r="G1363">
        <f>IF($D1363="", "", IF($D1363="Receipt", $C1363*VLOOKUP($B1363, Items!$A:$E, 5, FALSE), IF($D1363="Consumption", -$C1363*VLOOKUP($B1363, Items!$A:$E, 5, FALSE), "")))</f>
        <v>0</v>
      </c>
      <c r="H1363">
        <f>IF($D1363="Consumption", -$C1363*VLOOKUP($B1363, Items!$A:$E, 5, FALSE), 0)</f>
        <v>0</v>
      </c>
    </row>
    <row r="1364" spans="7:8">
      <c r="G1364">
        <f>IF($D1364="", "", IF($D1364="Receipt", $C1364*VLOOKUP($B1364, Items!$A:$E, 5, FALSE), IF($D1364="Consumption", -$C1364*VLOOKUP($B1364, Items!$A:$E, 5, FALSE), "")))</f>
        <v>0</v>
      </c>
      <c r="H1364">
        <f>IF($D1364="Consumption", -$C1364*VLOOKUP($B1364, Items!$A:$E, 5, FALSE), 0)</f>
        <v>0</v>
      </c>
    </row>
    <row r="1365" spans="7:8">
      <c r="G1365">
        <f>IF($D1365="", "", IF($D1365="Receipt", $C1365*VLOOKUP($B1365, Items!$A:$E, 5, FALSE), IF($D1365="Consumption", -$C1365*VLOOKUP($B1365, Items!$A:$E, 5, FALSE), "")))</f>
        <v>0</v>
      </c>
      <c r="H1365">
        <f>IF($D1365="Consumption", -$C1365*VLOOKUP($B1365, Items!$A:$E, 5, FALSE), 0)</f>
        <v>0</v>
      </c>
    </row>
    <row r="1366" spans="7:8">
      <c r="G1366">
        <f>IF($D1366="", "", IF($D1366="Receipt", $C1366*VLOOKUP($B1366, Items!$A:$E, 5, FALSE), IF($D1366="Consumption", -$C1366*VLOOKUP($B1366, Items!$A:$E, 5, FALSE), "")))</f>
        <v>0</v>
      </c>
      <c r="H1366">
        <f>IF($D1366="Consumption", -$C1366*VLOOKUP($B1366, Items!$A:$E, 5, FALSE), 0)</f>
        <v>0</v>
      </c>
    </row>
    <row r="1367" spans="7:8">
      <c r="G1367">
        <f>IF($D1367="", "", IF($D1367="Receipt", $C1367*VLOOKUP($B1367, Items!$A:$E, 5, FALSE), IF($D1367="Consumption", -$C1367*VLOOKUP($B1367, Items!$A:$E, 5, FALSE), "")))</f>
        <v>0</v>
      </c>
      <c r="H1367">
        <f>IF($D1367="Consumption", -$C1367*VLOOKUP($B1367, Items!$A:$E, 5, FALSE), 0)</f>
        <v>0</v>
      </c>
    </row>
    <row r="1368" spans="7:8">
      <c r="G1368">
        <f>IF($D1368="", "", IF($D1368="Receipt", $C1368*VLOOKUP($B1368, Items!$A:$E, 5, FALSE), IF($D1368="Consumption", -$C1368*VLOOKUP($B1368, Items!$A:$E, 5, FALSE), "")))</f>
        <v>0</v>
      </c>
      <c r="H1368">
        <f>IF($D1368="Consumption", -$C1368*VLOOKUP($B1368, Items!$A:$E, 5, FALSE), 0)</f>
        <v>0</v>
      </c>
    </row>
    <row r="1369" spans="7:8">
      <c r="G1369">
        <f>IF($D1369="", "", IF($D1369="Receipt", $C1369*VLOOKUP($B1369, Items!$A:$E, 5, FALSE), IF($D1369="Consumption", -$C1369*VLOOKUP($B1369, Items!$A:$E, 5, FALSE), "")))</f>
        <v>0</v>
      </c>
      <c r="H1369">
        <f>IF($D1369="Consumption", -$C1369*VLOOKUP($B1369, Items!$A:$E, 5, FALSE), 0)</f>
        <v>0</v>
      </c>
    </row>
    <row r="1370" spans="7:8">
      <c r="G1370">
        <f>IF($D1370="", "", IF($D1370="Receipt", $C1370*VLOOKUP($B1370, Items!$A:$E, 5, FALSE), IF($D1370="Consumption", -$C1370*VLOOKUP($B1370, Items!$A:$E, 5, FALSE), "")))</f>
        <v>0</v>
      </c>
      <c r="H1370">
        <f>IF($D1370="Consumption", -$C1370*VLOOKUP($B1370, Items!$A:$E, 5, FALSE), 0)</f>
        <v>0</v>
      </c>
    </row>
    <row r="1371" spans="7:8">
      <c r="G1371">
        <f>IF($D1371="", "", IF($D1371="Receipt", $C1371*VLOOKUP($B1371, Items!$A:$E, 5, FALSE), IF($D1371="Consumption", -$C1371*VLOOKUP($B1371, Items!$A:$E, 5, FALSE), "")))</f>
        <v>0</v>
      </c>
      <c r="H1371">
        <f>IF($D1371="Consumption", -$C1371*VLOOKUP($B1371, Items!$A:$E, 5, FALSE), 0)</f>
        <v>0</v>
      </c>
    </row>
    <row r="1372" spans="7:8">
      <c r="G1372">
        <f>IF($D1372="", "", IF($D1372="Receipt", $C1372*VLOOKUP($B1372, Items!$A:$E, 5, FALSE), IF($D1372="Consumption", -$C1372*VLOOKUP($B1372, Items!$A:$E, 5, FALSE), "")))</f>
        <v>0</v>
      </c>
      <c r="H1372">
        <f>IF($D1372="Consumption", -$C1372*VLOOKUP($B1372, Items!$A:$E, 5, FALSE), 0)</f>
        <v>0</v>
      </c>
    </row>
    <row r="1373" spans="7:8">
      <c r="G1373">
        <f>IF($D1373="", "", IF($D1373="Receipt", $C1373*VLOOKUP($B1373, Items!$A:$E, 5, FALSE), IF($D1373="Consumption", -$C1373*VLOOKUP($B1373, Items!$A:$E, 5, FALSE), "")))</f>
        <v>0</v>
      </c>
      <c r="H1373">
        <f>IF($D1373="Consumption", -$C1373*VLOOKUP($B1373, Items!$A:$E, 5, FALSE), 0)</f>
        <v>0</v>
      </c>
    </row>
    <row r="1374" spans="7:8">
      <c r="G1374">
        <f>IF($D1374="", "", IF($D1374="Receipt", $C1374*VLOOKUP($B1374, Items!$A:$E, 5, FALSE), IF($D1374="Consumption", -$C1374*VLOOKUP($B1374, Items!$A:$E, 5, FALSE), "")))</f>
        <v>0</v>
      </c>
      <c r="H1374">
        <f>IF($D1374="Consumption", -$C1374*VLOOKUP($B1374, Items!$A:$E, 5, FALSE), 0)</f>
        <v>0</v>
      </c>
    </row>
    <row r="1375" spans="7:8">
      <c r="G1375">
        <f>IF($D1375="", "", IF($D1375="Receipt", $C1375*VLOOKUP($B1375, Items!$A:$E, 5, FALSE), IF($D1375="Consumption", -$C1375*VLOOKUP($B1375, Items!$A:$E, 5, FALSE), "")))</f>
        <v>0</v>
      </c>
      <c r="H1375">
        <f>IF($D1375="Consumption", -$C1375*VLOOKUP($B1375, Items!$A:$E, 5, FALSE), 0)</f>
        <v>0</v>
      </c>
    </row>
    <row r="1376" spans="7:8">
      <c r="G1376">
        <f>IF($D1376="", "", IF($D1376="Receipt", $C1376*VLOOKUP($B1376, Items!$A:$E, 5, FALSE), IF($D1376="Consumption", -$C1376*VLOOKUP($B1376, Items!$A:$E, 5, FALSE), "")))</f>
        <v>0</v>
      </c>
      <c r="H1376">
        <f>IF($D1376="Consumption", -$C1376*VLOOKUP($B1376, Items!$A:$E, 5, FALSE), 0)</f>
        <v>0</v>
      </c>
    </row>
    <row r="1377" spans="7:8">
      <c r="G1377">
        <f>IF($D1377="", "", IF($D1377="Receipt", $C1377*VLOOKUP($B1377, Items!$A:$E, 5, FALSE), IF($D1377="Consumption", -$C1377*VLOOKUP($B1377, Items!$A:$E, 5, FALSE), "")))</f>
        <v>0</v>
      </c>
      <c r="H1377">
        <f>IF($D1377="Consumption", -$C1377*VLOOKUP($B1377, Items!$A:$E, 5, FALSE), 0)</f>
        <v>0</v>
      </c>
    </row>
    <row r="1378" spans="7:8">
      <c r="G1378">
        <f>IF($D1378="", "", IF($D1378="Receipt", $C1378*VLOOKUP($B1378, Items!$A:$E, 5, FALSE), IF($D1378="Consumption", -$C1378*VLOOKUP($B1378, Items!$A:$E, 5, FALSE), "")))</f>
        <v>0</v>
      </c>
      <c r="H1378">
        <f>IF($D1378="Consumption", -$C1378*VLOOKUP($B1378, Items!$A:$E, 5, FALSE), 0)</f>
        <v>0</v>
      </c>
    </row>
    <row r="1379" spans="7:8">
      <c r="G1379">
        <f>IF($D1379="", "", IF($D1379="Receipt", $C1379*VLOOKUP($B1379, Items!$A:$E, 5, FALSE), IF($D1379="Consumption", -$C1379*VLOOKUP($B1379, Items!$A:$E, 5, FALSE), "")))</f>
        <v>0</v>
      </c>
      <c r="H1379">
        <f>IF($D1379="Consumption", -$C1379*VLOOKUP($B1379, Items!$A:$E, 5, FALSE), 0)</f>
        <v>0</v>
      </c>
    </row>
    <row r="1380" spans="7:8">
      <c r="G1380">
        <f>IF($D1380="", "", IF($D1380="Receipt", $C1380*VLOOKUP($B1380, Items!$A:$E, 5, FALSE), IF($D1380="Consumption", -$C1380*VLOOKUP($B1380, Items!$A:$E, 5, FALSE), "")))</f>
        <v>0</v>
      </c>
      <c r="H1380">
        <f>IF($D1380="Consumption", -$C1380*VLOOKUP($B1380, Items!$A:$E, 5, FALSE), 0)</f>
        <v>0</v>
      </c>
    </row>
    <row r="1381" spans="7:8">
      <c r="G1381">
        <f>IF($D1381="", "", IF($D1381="Receipt", $C1381*VLOOKUP($B1381, Items!$A:$E, 5, FALSE), IF($D1381="Consumption", -$C1381*VLOOKUP($B1381, Items!$A:$E, 5, FALSE), "")))</f>
        <v>0</v>
      </c>
      <c r="H1381">
        <f>IF($D1381="Consumption", -$C1381*VLOOKUP($B1381, Items!$A:$E, 5, FALSE), 0)</f>
        <v>0</v>
      </c>
    </row>
    <row r="1382" spans="7:8">
      <c r="G1382">
        <f>IF($D1382="", "", IF($D1382="Receipt", $C1382*VLOOKUP($B1382, Items!$A:$E, 5, FALSE), IF($D1382="Consumption", -$C1382*VLOOKUP($B1382, Items!$A:$E, 5, FALSE), "")))</f>
        <v>0</v>
      </c>
      <c r="H1382">
        <f>IF($D1382="Consumption", -$C1382*VLOOKUP($B1382, Items!$A:$E, 5, FALSE), 0)</f>
        <v>0</v>
      </c>
    </row>
    <row r="1383" spans="7:8">
      <c r="G1383">
        <f>IF($D1383="", "", IF($D1383="Receipt", $C1383*VLOOKUP($B1383, Items!$A:$E, 5, FALSE), IF($D1383="Consumption", -$C1383*VLOOKUP($B1383, Items!$A:$E, 5, FALSE), "")))</f>
        <v>0</v>
      </c>
      <c r="H1383">
        <f>IF($D1383="Consumption", -$C1383*VLOOKUP($B1383, Items!$A:$E, 5, FALSE), 0)</f>
        <v>0</v>
      </c>
    </row>
    <row r="1384" spans="7:8">
      <c r="G1384">
        <f>IF($D1384="", "", IF($D1384="Receipt", $C1384*VLOOKUP($B1384, Items!$A:$E, 5, FALSE), IF($D1384="Consumption", -$C1384*VLOOKUP($B1384, Items!$A:$E, 5, FALSE), "")))</f>
        <v>0</v>
      </c>
      <c r="H1384">
        <f>IF($D1384="Consumption", -$C1384*VLOOKUP($B1384, Items!$A:$E, 5, FALSE), 0)</f>
        <v>0</v>
      </c>
    </row>
    <row r="1385" spans="7:8">
      <c r="G1385">
        <f>IF($D1385="", "", IF($D1385="Receipt", $C1385*VLOOKUP($B1385, Items!$A:$E, 5, FALSE), IF($D1385="Consumption", -$C1385*VLOOKUP($B1385, Items!$A:$E, 5, FALSE), "")))</f>
        <v>0</v>
      </c>
      <c r="H1385">
        <f>IF($D1385="Consumption", -$C1385*VLOOKUP($B1385, Items!$A:$E, 5, FALSE), 0)</f>
        <v>0</v>
      </c>
    </row>
    <row r="1386" spans="7:8">
      <c r="G1386">
        <f>IF($D1386="", "", IF($D1386="Receipt", $C1386*VLOOKUP($B1386, Items!$A:$E, 5, FALSE), IF($D1386="Consumption", -$C1386*VLOOKUP($B1386, Items!$A:$E, 5, FALSE), "")))</f>
        <v>0</v>
      </c>
      <c r="H1386">
        <f>IF($D1386="Consumption", -$C1386*VLOOKUP($B1386, Items!$A:$E, 5, FALSE), 0)</f>
        <v>0</v>
      </c>
    </row>
    <row r="1387" spans="7:8">
      <c r="G1387">
        <f>IF($D1387="", "", IF($D1387="Receipt", $C1387*VLOOKUP($B1387, Items!$A:$E, 5, FALSE), IF($D1387="Consumption", -$C1387*VLOOKUP($B1387, Items!$A:$E, 5, FALSE), "")))</f>
        <v>0</v>
      </c>
      <c r="H1387">
        <f>IF($D1387="Consumption", -$C1387*VLOOKUP($B1387, Items!$A:$E, 5, FALSE), 0)</f>
        <v>0</v>
      </c>
    </row>
    <row r="1388" spans="7:8">
      <c r="G1388">
        <f>IF($D1388="", "", IF($D1388="Receipt", $C1388*VLOOKUP($B1388, Items!$A:$E, 5, FALSE), IF($D1388="Consumption", -$C1388*VLOOKUP($B1388, Items!$A:$E, 5, FALSE), "")))</f>
        <v>0</v>
      </c>
      <c r="H1388">
        <f>IF($D1388="Consumption", -$C1388*VLOOKUP($B1388, Items!$A:$E, 5, FALSE), 0)</f>
        <v>0</v>
      </c>
    </row>
    <row r="1389" spans="7:8">
      <c r="G1389">
        <f>IF($D1389="", "", IF($D1389="Receipt", $C1389*VLOOKUP($B1389, Items!$A:$E, 5, FALSE), IF($D1389="Consumption", -$C1389*VLOOKUP($B1389, Items!$A:$E, 5, FALSE), "")))</f>
        <v>0</v>
      </c>
      <c r="H1389">
        <f>IF($D1389="Consumption", -$C1389*VLOOKUP($B1389, Items!$A:$E, 5, FALSE), 0)</f>
        <v>0</v>
      </c>
    </row>
    <row r="1390" spans="7:8">
      <c r="G1390">
        <f>IF($D1390="", "", IF($D1390="Receipt", $C1390*VLOOKUP($B1390, Items!$A:$E, 5, FALSE), IF($D1390="Consumption", -$C1390*VLOOKUP($B1390, Items!$A:$E, 5, FALSE), "")))</f>
        <v>0</v>
      </c>
      <c r="H1390">
        <f>IF($D1390="Consumption", -$C1390*VLOOKUP($B1390, Items!$A:$E, 5, FALSE), 0)</f>
        <v>0</v>
      </c>
    </row>
    <row r="1391" spans="7:8">
      <c r="G1391">
        <f>IF($D1391="", "", IF($D1391="Receipt", $C1391*VLOOKUP($B1391, Items!$A:$E, 5, FALSE), IF($D1391="Consumption", -$C1391*VLOOKUP($B1391, Items!$A:$E, 5, FALSE), "")))</f>
        <v>0</v>
      </c>
      <c r="H1391">
        <f>IF($D1391="Consumption", -$C1391*VLOOKUP($B1391, Items!$A:$E, 5, FALSE), 0)</f>
        <v>0</v>
      </c>
    </row>
    <row r="1392" spans="7:8">
      <c r="G1392">
        <f>IF($D1392="", "", IF($D1392="Receipt", $C1392*VLOOKUP($B1392, Items!$A:$E, 5, FALSE), IF($D1392="Consumption", -$C1392*VLOOKUP($B1392, Items!$A:$E, 5, FALSE), "")))</f>
        <v>0</v>
      </c>
      <c r="H1392">
        <f>IF($D1392="Consumption", -$C1392*VLOOKUP($B1392, Items!$A:$E, 5, FALSE), 0)</f>
        <v>0</v>
      </c>
    </row>
    <row r="1393" spans="7:8">
      <c r="G1393">
        <f>IF($D1393="", "", IF($D1393="Receipt", $C1393*VLOOKUP($B1393, Items!$A:$E, 5, FALSE), IF($D1393="Consumption", -$C1393*VLOOKUP($B1393, Items!$A:$E, 5, FALSE), "")))</f>
        <v>0</v>
      </c>
      <c r="H1393">
        <f>IF($D1393="Consumption", -$C1393*VLOOKUP($B1393, Items!$A:$E, 5, FALSE), 0)</f>
        <v>0</v>
      </c>
    </row>
    <row r="1394" spans="7:8">
      <c r="G1394">
        <f>IF($D1394="", "", IF($D1394="Receipt", $C1394*VLOOKUP($B1394, Items!$A:$E, 5, FALSE), IF($D1394="Consumption", -$C1394*VLOOKUP($B1394, Items!$A:$E, 5, FALSE), "")))</f>
        <v>0</v>
      </c>
      <c r="H1394">
        <f>IF($D1394="Consumption", -$C1394*VLOOKUP($B1394, Items!$A:$E, 5, FALSE), 0)</f>
        <v>0</v>
      </c>
    </row>
    <row r="1395" spans="7:8">
      <c r="G1395">
        <f>IF($D1395="", "", IF($D1395="Receipt", $C1395*VLOOKUP($B1395, Items!$A:$E, 5, FALSE), IF($D1395="Consumption", -$C1395*VLOOKUP($B1395, Items!$A:$E, 5, FALSE), "")))</f>
        <v>0</v>
      </c>
      <c r="H1395">
        <f>IF($D1395="Consumption", -$C1395*VLOOKUP($B1395, Items!$A:$E, 5, FALSE), 0)</f>
        <v>0</v>
      </c>
    </row>
    <row r="1396" spans="7:8">
      <c r="G1396">
        <f>IF($D1396="", "", IF($D1396="Receipt", $C1396*VLOOKUP($B1396, Items!$A:$E, 5, FALSE), IF($D1396="Consumption", -$C1396*VLOOKUP($B1396, Items!$A:$E, 5, FALSE), "")))</f>
        <v>0</v>
      </c>
      <c r="H1396">
        <f>IF($D1396="Consumption", -$C1396*VLOOKUP($B1396, Items!$A:$E, 5, FALSE), 0)</f>
        <v>0</v>
      </c>
    </row>
    <row r="1397" spans="7:8">
      <c r="G1397">
        <f>IF($D1397="", "", IF($D1397="Receipt", $C1397*VLOOKUP($B1397, Items!$A:$E, 5, FALSE), IF($D1397="Consumption", -$C1397*VLOOKUP($B1397, Items!$A:$E, 5, FALSE), "")))</f>
        <v>0</v>
      </c>
      <c r="H1397">
        <f>IF($D1397="Consumption", -$C1397*VLOOKUP($B1397, Items!$A:$E, 5, FALSE), 0)</f>
        <v>0</v>
      </c>
    </row>
    <row r="1398" spans="7:8">
      <c r="G1398">
        <f>IF($D1398="", "", IF($D1398="Receipt", $C1398*VLOOKUP($B1398, Items!$A:$E, 5, FALSE), IF($D1398="Consumption", -$C1398*VLOOKUP($B1398, Items!$A:$E, 5, FALSE), "")))</f>
        <v>0</v>
      </c>
      <c r="H1398">
        <f>IF($D1398="Consumption", -$C1398*VLOOKUP($B1398, Items!$A:$E, 5, FALSE), 0)</f>
        <v>0</v>
      </c>
    </row>
    <row r="1399" spans="7:8">
      <c r="G1399">
        <f>IF($D1399="", "", IF($D1399="Receipt", $C1399*VLOOKUP($B1399, Items!$A:$E, 5, FALSE), IF($D1399="Consumption", -$C1399*VLOOKUP($B1399, Items!$A:$E, 5, FALSE), "")))</f>
        <v>0</v>
      </c>
      <c r="H1399">
        <f>IF($D1399="Consumption", -$C1399*VLOOKUP($B1399, Items!$A:$E, 5, FALSE), 0)</f>
        <v>0</v>
      </c>
    </row>
    <row r="1400" spans="7:8">
      <c r="G1400">
        <f>IF($D1400="", "", IF($D1400="Receipt", $C1400*VLOOKUP($B1400, Items!$A:$E, 5, FALSE), IF($D1400="Consumption", -$C1400*VLOOKUP($B1400, Items!$A:$E, 5, FALSE), "")))</f>
        <v>0</v>
      </c>
      <c r="H1400">
        <f>IF($D1400="Consumption", -$C1400*VLOOKUP($B1400, Items!$A:$E, 5, FALSE), 0)</f>
        <v>0</v>
      </c>
    </row>
    <row r="1401" spans="7:8">
      <c r="G1401">
        <f>IF($D1401="", "", IF($D1401="Receipt", $C1401*VLOOKUP($B1401, Items!$A:$E, 5, FALSE), IF($D1401="Consumption", -$C1401*VLOOKUP($B1401, Items!$A:$E, 5, FALSE), "")))</f>
        <v>0</v>
      </c>
      <c r="H1401">
        <f>IF($D1401="Consumption", -$C1401*VLOOKUP($B1401, Items!$A:$E, 5, FALSE), 0)</f>
        <v>0</v>
      </c>
    </row>
    <row r="1402" spans="7:8">
      <c r="G1402">
        <f>IF($D1402="", "", IF($D1402="Receipt", $C1402*VLOOKUP($B1402, Items!$A:$E, 5, FALSE), IF($D1402="Consumption", -$C1402*VLOOKUP($B1402, Items!$A:$E, 5, FALSE), "")))</f>
        <v>0</v>
      </c>
      <c r="H1402">
        <f>IF($D1402="Consumption", -$C1402*VLOOKUP($B1402, Items!$A:$E, 5, FALSE), 0)</f>
        <v>0</v>
      </c>
    </row>
    <row r="1403" spans="7:8">
      <c r="G1403">
        <f>IF($D1403="", "", IF($D1403="Receipt", $C1403*VLOOKUP($B1403, Items!$A:$E, 5, FALSE), IF($D1403="Consumption", -$C1403*VLOOKUP($B1403, Items!$A:$E, 5, FALSE), "")))</f>
        <v>0</v>
      </c>
      <c r="H1403">
        <f>IF($D1403="Consumption", -$C1403*VLOOKUP($B1403, Items!$A:$E, 5, FALSE), 0)</f>
        <v>0</v>
      </c>
    </row>
    <row r="1404" spans="7:8">
      <c r="G1404">
        <f>IF($D1404="", "", IF($D1404="Receipt", $C1404*VLOOKUP($B1404, Items!$A:$E, 5, FALSE), IF($D1404="Consumption", -$C1404*VLOOKUP($B1404, Items!$A:$E, 5, FALSE), "")))</f>
        <v>0</v>
      </c>
      <c r="H1404">
        <f>IF($D1404="Consumption", -$C1404*VLOOKUP($B1404, Items!$A:$E, 5, FALSE), 0)</f>
        <v>0</v>
      </c>
    </row>
    <row r="1405" spans="7:8">
      <c r="G1405">
        <f>IF($D1405="", "", IF($D1405="Receipt", $C1405*VLOOKUP($B1405, Items!$A:$E, 5, FALSE), IF($D1405="Consumption", -$C1405*VLOOKUP($B1405, Items!$A:$E, 5, FALSE), "")))</f>
        <v>0</v>
      </c>
      <c r="H1405">
        <f>IF($D1405="Consumption", -$C1405*VLOOKUP($B1405, Items!$A:$E, 5, FALSE), 0)</f>
        <v>0</v>
      </c>
    </row>
    <row r="1406" spans="7:8">
      <c r="G1406">
        <f>IF($D1406="", "", IF($D1406="Receipt", $C1406*VLOOKUP($B1406, Items!$A:$E, 5, FALSE), IF($D1406="Consumption", -$C1406*VLOOKUP($B1406, Items!$A:$E, 5, FALSE), "")))</f>
        <v>0</v>
      </c>
      <c r="H1406">
        <f>IF($D1406="Consumption", -$C1406*VLOOKUP($B1406, Items!$A:$E, 5, FALSE), 0)</f>
        <v>0</v>
      </c>
    </row>
    <row r="1407" spans="7:8">
      <c r="G1407">
        <f>IF($D1407="", "", IF($D1407="Receipt", $C1407*VLOOKUP($B1407, Items!$A:$E, 5, FALSE), IF($D1407="Consumption", -$C1407*VLOOKUP($B1407, Items!$A:$E, 5, FALSE), "")))</f>
        <v>0</v>
      </c>
      <c r="H1407">
        <f>IF($D1407="Consumption", -$C1407*VLOOKUP($B1407, Items!$A:$E, 5, FALSE), 0)</f>
        <v>0</v>
      </c>
    </row>
    <row r="1408" spans="7:8">
      <c r="G1408">
        <f>IF($D1408="", "", IF($D1408="Receipt", $C1408*VLOOKUP($B1408, Items!$A:$E, 5, FALSE), IF($D1408="Consumption", -$C1408*VLOOKUP($B1408, Items!$A:$E, 5, FALSE), "")))</f>
        <v>0</v>
      </c>
      <c r="H1408">
        <f>IF($D1408="Consumption", -$C1408*VLOOKUP($B1408, Items!$A:$E, 5, FALSE), 0)</f>
        <v>0</v>
      </c>
    </row>
    <row r="1409" spans="7:8">
      <c r="G1409">
        <f>IF($D1409="", "", IF($D1409="Receipt", $C1409*VLOOKUP($B1409, Items!$A:$E, 5, FALSE), IF($D1409="Consumption", -$C1409*VLOOKUP($B1409, Items!$A:$E, 5, FALSE), "")))</f>
        <v>0</v>
      </c>
      <c r="H1409">
        <f>IF($D1409="Consumption", -$C1409*VLOOKUP($B1409, Items!$A:$E, 5, FALSE), 0)</f>
        <v>0</v>
      </c>
    </row>
    <row r="1410" spans="7:8">
      <c r="G1410">
        <f>IF($D1410="", "", IF($D1410="Receipt", $C1410*VLOOKUP($B1410, Items!$A:$E, 5, FALSE), IF($D1410="Consumption", -$C1410*VLOOKUP($B1410, Items!$A:$E, 5, FALSE), "")))</f>
        <v>0</v>
      </c>
      <c r="H1410">
        <f>IF($D1410="Consumption", -$C1410*VLOOKUP($B1410, Items!$A:$E, 5, FALSE), 0)</f>
        <v>0</v>
      </c>
    </row>
    <row r="1411" spans="7:8">
      <c r="G1411">
        <f>IF($D1411="", "", IF($D1411="Receipt", $C1411*VLOOKUP($B1411, Items!$A:$E, 5, FALSE), IF($D1411="Consumption", -$C1411*VLOOKUP($B1411, Items!$A:$E, 5, FALSE), "")))</f>
        <v>0</v>
      </c>
      <c r="H1411">
        <f>IF($D1411="Consumption", -$C1411*VLOOKUP($B1411, Items!$A:$E, 5, FALSE), 0)</f>
        <v>0</v>
      </c>
    </row>
    <row r="1412" spans="7:8">
      <c r="G1412">
        <f>IF($D1412="", "", IF($D1412="Receipt", $C1412*VLOOKUP($B1412, Items!$A:$E, 5, FALSE), IF($D1412="Consumption", -$C1412*VLOOKUP($B1412, Items!$A:$E, 5, FALSE), "")))</f>
        <v>0</v>
      </c>
      <c r="H1412">
        <f>IF($D1412="Consumption", -$C1412*VLOOKUP($B1412, Items!$A:$E, 5, FALSE), 0)</f>
        <v>0</v>
      </c>
    </row>
    <row r="1413" spans="7:8">
      <c r="G1413">
        <f>IF($D1413="", "", IF($D1413="Receipt", $C1413*VLOOKUP($B1413, Items!$A:$E, 5, FALSE), IF($D1413="Consumption", -$C1413*VLOOKUP($B1413, Items!$A:$E, 5, FALSE), "")))</f>
        <v>0</v>
      </c>
      <c r="H1413">
        <f>IF($D1413="Consumption", -$C1413*VLOOKUP($B1413, Items!$A:$E, 5, FALSE), 0)</f>
        <v>0</v>
      </c>
    </row>
    <row r="1414" spans="7:8">
      <c r="G1414">
        <f>IF($D1414="", "", IF($D1414="Receipt", $C1414*VLOOKUP($B1414, Items!$A:$E, 5, FALSE), IF($D1414="Consumption", -$C1414*VLOOKUP($B1414, Items!$A:$E, 5, FALSE), "")))</f>
        <v>0</v>
      </c>
      <c r="H1414">
        <f>IF($D1414="Consumption", -$C1414*VLOOKUP($B1414, Items!$A:$E, 5, FALSE), 0)</f>
        <v>0</v>
      </c>
    </row>
    <row r="1415" spans="7:8">
      <c r="G1415">
        <f>IF($D1415="", "", IF($D1415="Receipt", $C1415*VLOOKUP($B1415, Items!$A:$E, 5, FALSE), IF($D1415="Consumption", -$C1415*VLOOKUP($B1415, Items!$A:$E, 5, FALSE), "")))</f>
        <v>0</v>
      </c>
      <c r="H1415">
        <f>IF($D1415="Consumption", -$C1415*VLOOKUP($B1415, Items!$A:$E, 5, FALSE), 0)</f>
        <v>0</v>
      </c>
    </row>
    <row r="1416" spans="7:8">
      <c r="G1416">
        <f>IF($D1416="", "", IF($D1416="Receipt", $C1416*VLOOKUP($B1416, Items!$A:$E, 5, FALSE), IF($D1416="Consumption", -$C1416*VLOOKUP($B1416, Items!$A:$E, 5, FALSE), "")))</f>
        <v>0</v>
      </c>
      <c r="H1416">
        <f>IF($D1416="Consumption", -$C1416*VLOOKUP($B1416, Items!$A:$E, 5, FALSE), 0)</f>
        <v>0</v>
      </c>
    </row>
    <row r="1417" spans="7:8">
      <c r="G1417">
        <f>IF($D1417="", "", IF($D1417="Receipt", $C1417*VLOOKUP($B1417, Items!$A:$E, 5, FALSE), IF($D1417="Consumption", -$C1417*VLOOKUP($B1417, Items!$A:$E, 5, FALSE), "")))</f>
        <v>0</v>
      </c>
      <c r="H1417">
        <f>IF($D1417="Consumption", -$C1417*VLOOKUP($B1417, Items!$A:$E, 5, FALSE), 0)</f>
        <v>0</v>
      </c>
    </row>
    <row r="1418" spans="7:8">
      <c r="G1418">
        <f>IF($D1418="", "", IF($D1418="Receipt", $C1418*VLOOKUP($B1418, Items!$A:$E, 5, FALSE), IF($D1418="Consumption", -$C1418*VLOOKUP($B1418, Items!$A:$E, 5, FALSE), "")))</f>
        <v>0</v>
      </c>
      <c r="H1418">
        <f>IF($D1418="Consumption", -$C1418*VLOOKUP($B1418, Items!$A:$E, 5, FALSE), 0)</f>
        <v>0</v>
      </c>
    </row>
    <row r="1419" spans="7:8">
      <c r="G1419">
        <f>IF($D1419="", "", IF($D1419="Receipt", $C1419*VLOOKUP($B1419, Items!$A:$E, 5, FALSE), IF($D1419="Consumption", -$C1419*VLOOKUP($B1419, Items!$A:$E, 5, FALSE), "")))</f>
        <v>0</v>
      </c>
      <c r="H1419">
        <f>IF($D1419="Consumption", -$C1419*VLOOKUP($B1419, Items!$A:$E, 5, FALSE), 0)</f>
        <v>0</v>
      </c>
    </row>
    <row r="1420" spans="7:8">
      <c r="G1420">
        <f>IF($D1420="", "", IF($D1420="Receipt", $C1420*VLOOKUP($B1420, Items!$A:$E, 5, FALSE), IF($D1420="Consumption", -$C1420*VLOOKUP($B1420, Items!$A:$E, 5, FALSE), "")))</f>
        <v>0</v>
      </c>
      <c r="H1420">
        <f>IF($D1420="Consumption", -$C1420*VLOOKUP($B1420, Items!$A:$E, 5, FALSE), 0)</f>
        <v>0</v>
      </c>
    </row>
    <row r="1421" spans="7:8">
      <c r="G1421">
        <f>IF($D1421="", "", IF($D1421="Receipt", $C1421*VLOOKUP($B1421, Items!$A:$E, 5, FALSE), IF($D1421="Consumption", -$C1421*VLOOKUP($B1421, Items!$A:$E, 5, FALSE), "")))</f>
        <v>0</v>
      </c>
      <c r="H1421">
        <f>IF($D1421="Consumption", -$C1421*VLOOKUP($B1421, Items!$A:$E, 5, FALSE), 0)</f>
        <v>0</v>
      </c>
    </row>
    <row r="1422" spans="7:8">
      <c r="G1422">
        <f>IF($D1422="", "", IF($D1422="Receipt", $C1422*VLOOKUP($B1422, Items!$A:$E, 5, FALSE), IF($D1422="Consumption", -$C1422*VLOOKUP($B1422, Items!$A:$E, 5, FALSE), "")))</f>
        <v>0</v>
      </c>
      <c r="H1422">
        <f>IF($D1422="Consumption", -$C1422*VLOOKUP($B1422, Items!$A:$E, 5, FALSE), 0)</f>
        <v>0</v>
      </c>
    </row>
    <row r="1423" spans="7:8">
      <c r="G1423">
        <f>IF($D1423="", "", IF($D1423="Receipt", $C1423*VLOOKUP($B1423, Items!$A:$E, 5, FALSE), IF($D1423="Consumption", -$C1423*VLOOKUP($B1423, Items!$A:$E, 5, FALSE), "")))</f>
        <v>0</v>
      </c>
      <c r="H1423">
        <f>IF($D1423="Consumption", -$C1423*VLOOKUP($B1423, Items!$A:$E, 5, FALSE), 0)</f>
        <v>0</v>
      </c>
    </row>
    <row r="1424" spans="7:8">
      <c r="G1424">
        <f>IF($D1424="", "", IF($D1424="Receipt", $C1424*VLOOKUP($B1424, Items!$A:$E, 5, FALSE), IF($D1424="Consumption", -$C1424*VLOOKUP($B1424, Items!$A:$E, 5, FALSE), "")))</f>
        <v>0</v>
      </c>
      <c r="H1424">
        <f>IF($D1424="Consumption", -$C1424*VLOOKUP($B1424, Items!$A:$E, 5, FALSE), 0)</f>
        <v>0</v>
      </c>
    </row>
    <row r="1425" spans="7:8">
      <c r="G1425">
        <f>IF($D1425="", "", IF($D1425="Receipt", $C1425*VLOOKUP($B1425, Items!$A:$E, 5, FALSE), IF($D1425="Consumption", -$C1425*VLOOKUP($B1425, Items!$A:$E, 5, FALSE), "")))</f>
        <v>0</v>
      </c>
      <c r="H1425">
        <f>IF($D1425="Consumption", -$C1425*VLOOKUP($B1425, Items!$A:$E, 5, FALSE), 0)</f>
        <v>0</v>
      </c>
    </row>
    <row r="1426" spans="7:8">
      <c r="G1426">
        <f>IF($D1426="", "", IF($D1426="Receipt", $C1426*VLOOKUP($B1426, Items!$A:$E, 5, FALSE), IF($D1426="Consumption", -$C1426*VLOOKUP($B1426, Items!$A:$E, 5, FALSE), "")))</f>
        <v>0</v>
      </c>
      <c r="H1426">
        <f>IF($D1426="Consumption", -$C1426*VLOOKUP($B1426, Items!$A:$E, 5, FALSE), 0)</f>
        <v>0</v>
      </c>
    </row>
    <row r="1427" spans="7:8">
      <c r="G1427">
        <f>IF($D1427="", "", IF($D1427="Receipt", $C1427*VLOOKUP($B1427, Items!$A:$E, 5, FALSE), IF($D1427="Consumption", -$C1427*VLOOKUP($B1427, Items!$A:$E, 5, FALSE), "")))</f>
        <v>0</v>
      </c>
      <c r="H1427">
        <f>IF($D1427="Consumption", -$C1427*VLOOKUP($B1427, Items!$A:$E, 5, FALSE), 0)</f>
        <v>0</v>
      </c>
    </row>
    <row r="1428" spans="7:8">
      <c r="G1428">
        <f>IF($D1428="", "", IF($D1428="Receipt", $C1428*VLOOKUP($B1428, Items!$A:$E, 5, FALSE), IF($D1428="Consumption", -$C1428*VLOOKUP($B1428, Items!$A:$E, 5, FALSE), "")))</f>
        <v>0</v>
      </c>
      <c r="H1428">
        <f>IF($D1428="Consumption", -$C1428*VLOOKUP($B1428, Items!$A:$E, 5, FALSE), 0)</f>
        <v>0</v>
      </c>
    </row>
    <row r="1429" spans="7:8">
      <c r="G1429">
        <f>IF($D1429="", "", IF($D1429="Receipt", $C1429*VLOOKUP($B1429, Items!$A:$E, 5, FALSE), IF($D1429="Consumption", -$C1429*VLOOKUP($B1429, Items!$A:$E, 5, FALSE), "")))</f>
        <v>0</v>
      </c>
      <c r="H1429">
        <f>IF($D1429="Consumption", -$C1429*VLOOKUP($B1429, Items!$A:$E, 5, FALSE), 0)</f>
        <v>0</v>
      </c>
    </row>
    <row r="1430" spans="7:8">
      <c r="G1430">
        <f>IF($D1430="", "", IF($D1430="Receipt", $C1430*VLOOKUP($B1430, Items!$A:$E, 5, FALSE), IF($D1430="Consumption", -$C1430*VLOOKUP($B1430, Items!$A:$E, 5, FALSE), "")))</f>
        <v>0</v>
      </c>
      <c r="H1430">
        <f>IF($D1430="Consumption", -$C1430*VLOOKUP($B1430, Items!$A:$E, 5, FALSE), 0)</f>
        <v>0</v>
      </c>
    </row>
    <row r="1431" spans="7:8">
      <c r="G1431">
        <f>IF($D1431="", "", IF($D1431="Receipt", $C1431*VLOOKUP($B1431, Items!$A:$E, 5, FALSE), IF($D1431="Consumption", -$C1431*VLOOKUP($B1431, Items!$A:$E, 5, FALSE), "")))</f>
        <v>0</v>
      </c>
      <c r="H1431">
        <f>IF($D1431="Consumption", -$C1431*VLOOKUP($B1431, Items!$A:$E, 5, FALSE), 0)</f>
        <v>0</v>
      </c>
    </row>
    <row r="1432" spans="7:8">
      <c r="G1432">
        <f>IF($D1432="", "", IF($D1432="Receipt", $C1432*VLOOKUP($B1432, Items!$A:$E, 5, FALSE), IF($D1432="Consumption", -$C1432*VLOOKUP($B1432, Items!$A:$E, 5, FALSE), "")))</f>
        <v>0</v>
      </c>
      <c r="H1432">
        <f>IF($D1432="Consumption", -$C1432*VLOOKUP($B1432, Items!$A:$E, 5, FALSE), 0)</f>
        <v>0</v>
      </c>
    </row>
    <row r="1433" spans="7:8">
      <c r="G1433">
        <f>IF($D1433="", "", IF($D1433="Receipt", $C1433*VLOOKUP($B1433, Items!$A:$E, 5, FALSE), IF($D1433="Consumption", -$C1433*VLOOKUP($B1433, Items!$A:$E, 5, FALSE), "")))</f>
        <v>0</v>
      </c>
      <c r="H1433">
        <f>IF($D1433="Consumption", -$C1433*VLOOKUP($B1433, Items!$A:$E, 5, FALSE), 0)</f>
        <v>0</v>
      </c>
    </row>
    <row r="1434" spans="7:8">
      <c r="G1434">
        <f>IF($D1434="", "", IF($D1434="Receipt", $C1434*VLOOKUP($B1434, Items!$A:$E, 5, FALSE), IF($D1434="Consumption", -$C1434*VLOOKUP($B1434, Items!$A:$E, 5, FALSE), "")))</f>
        <v>0</v>
      </c>
      <c r="H1434">
        <f>IF($D1434="Consumption", -$C1434*VLOOKUP($B1434, Items!$A:$E, 5, FALSE), 0)</f>
        <v>0</v>
      </c>
    </row>
    <row r="1435" spans="7:8">
      <c r="G1435">
        <f>IF($D1435="", "", IF($D1435="Receipt", $C1435*VLOOKUP($B1435, Items!$A:$E, 5, FALSE), IF($D1435="Consumption", -$C1435*VLOOKUP($B1435, Items!$A:$E, 5, FALSE), "")))</f>
        <v>0</v>
      </c>
      <c r="H1435">
        <f>IF($D1435="Consumption", -$C1435*VLOOKUP($B1435, Items!$A:$E, 5, FALSE), 0)</f>
        <v>0</v>
      </c>
    </row>
    <row r="1436" spans="7:8">
      <c r="G1436">
        <f>IF($D1436="", "", IF($D1436="Receipt", $C1436*VLOOKUP($B1436, Items!$A:$E, 5, FALSE), IF($D1436="Consumption", -$C1436*VLOOKUP($B1436, Items!$A:$E, 5, FALSE), "")))</f>
        <v>0</v>
      </c>
      <c r="H1436">
        <f>IF($D1436="Consumption", -$C1436*VLOOKUP($B1436, Items!$A:$E, 5, FALSE), 0)</f>
        <v>0</v>
      </c>
    </row>
    <row r="1437" spans="7:8">
      <c r="G1437">
        <f>IF($D1437="", "", IF($D1437="Receipt", $C1437*VLOOKUP($B1437, Items!$A:$E, 5, FALSE), IF($D1437="Consumption", -$C1437*VLOOKUP($B1437, Items!$A:$E, 5, FALSE), "")))</f>
        <v>0</v>
      </c>
      <c r="H1437">
        <f>IF($D1437="Consumption", -$C1437*VLOOKUP($B1437, Items!$A:$E, 5, FALSE), 0)</f>
        <v>0</v>
      </c>
    </row>
    <row r="1438" spans="7:8">
      <c r="G1438">
        <f>IF($D1438="", "", IF($D1438="Receipt", $C1438*VLOOKUP($B1438, Items!$A:$E, 5, FALSE), IF($D1438="Consumption", -$C1438*VLOOKUP($B1438, Items!$A:$E, 5, FALSE), "")))</f>
        <v>0</v>
      </c>
      <c r="H1438">
        <f>IF($D1438="Consumption", -$C1438*VLOOKUP($B1438, Items!$A:$E, 5, FALSE), 0)</f>
        <v>0</v>
      </c>
    </row>
    <row r="1439" spans="7:8">
      <c r="G1439">
        <f>IF($D1439="", "", IF($D1439="Receipt", $C1439*VLOOKUP($B1439, Items!$A:$E, 5, FALSE), IF($D1439="Consumption", -$C1439*VLOOKUP($B1439, Items!$A:$E, 5, FALSE), "")))</f>
        <v>0</v>
      </c>
      <c r="H1439">
        <f>IF($D1439="Consumption", -$C1439*VLOOKUP($B1439, Items!$A:$E, 5, FALSE), 0)</f>
        <v>0</v>
      </c>
    </row>
    <row r="1440" spans="7:8">
      <c r="G1440">
        <f>IF($D1440="", "", IF($D1440="Receipt", $C1440*VLOOKUP($B1440, Items!$A:$E, 5, FALSE), IF($D1440="Consumption", -$C1440*VLOOKUP($B1440, Items!$A:$E, 5, FALSE), "")))</f>
        <v>0</v>
      </c>
      <c r="H1440">
        <f>IF($D1440="Consumption", -$C1440*VLOOKUP($B1440, Items!$A:$E, 5, FALSE), 0)</f>
        <v>0</v>
      </c>
    </row>
    <row r="1441" spans="7:8">
      <c r="G1441">
        <f>IF($D1441="", "", IF($D1441="Receipt", $C1441*VLOOKUP($B1441, Items!$A:$E, 5, FALSE), IF($D1441="Consumption", -$C1441*VLOOKUP($B1441, Items!$A:$E, 5, FALSE), "")))</f>
        <v>0</v>
      </c>
      <c r="H1441">
        <f>IF($D1441="Consumption", -$C1441*VLOOKUP($B1441, Items!$A:$E, 5, FALSE), 0)</f>
        <v>0</v>
      </c>
    </row>
    <row r="1442" spans="7:8">
      <c r="G1442">
        <f>IF($D1442="", "", IF($D1442="Receipt", $C1442*VLOOKUP($B1442, Items!$A:$E, 5, FALSE), IF($D1442="Consumption", -$C1442*VLOOKUP($B1442, Items!$A:$E, 5, FALSE), "")))</f>
        <v>0</v>
      </c>
      <c r="H1442">
        <f>IF($D1442="Consumption", -$C1442*VLOOKUP($B1442, Items!$A:$E, 5, FALSE), 0)</f>
        <v>0</v>
      </c>
    </row>
    <row r="1443" spans="7:8">
      <c r="G1443">
        <f>IF($D1443="", "", IF($D1443="Receipt", $C1443*VLOOKUP($B1443, Items!$A:$E, 5, FALSE), IF($D1443="Consumption", -$C1443*VLOOKUP($B1443, Items!$A:$E, 5, FALSE), "")))</f>
        <v>0</v>
      </c>
      <c r="H1443">
        <f>IF($D1443="Consumption", -$C1443*VLOOKUP($B1443, Items!$A:$E, 5, FALSE), 0)</f>
        <v>0</v>
      </c>
    </row>
    <row r="1444" spans="7:8">
      <c r="G1444">
        <f>IF($D1444="", "", IF($D1444="Receipt", $C1444*VLOOKUP($B1444, Items!$A:$E, 5, FALSE), IF($D1444="Consumption", -$C1444*VLOOKUP($B1444, Items!$A:$E, 5, FALSE), "")))</f>
        <v>0</v>
      </c>
      <c r="H1444">
        <f>IF($D1444="Consumption", -$C1444*VLOOKUP($B1444, Items!$A:$E, 5, FALSE), 0)</f>
        <v>0</v>
      </c>
    </row>
    <row r="1445" spans="7:8">
      <c r="G1445">
        <f>IF($D1445="", "", IF($D1445="Receipt", $C1445*VLOOKUP($B1445, Items!$A:$E, 5, FALSE), IF($D1445="Consumption", -$C1445*VLOOKUP($B1445, Items!$A:$E, 5, FALSE), "")))</f>
        <v>0</v>
      </c>
      <c r="H1445">
        <f>IF($D1445="Consumption", -$C1445*VLOOKUP($B1445, Items!$A:$E, 5, FALSE), 0)</f>
        <v>0</v>
      </c>
    </row>
    <row r="1446" spans="7:8">
      <c r="G1446">
        <f>IF($D1446="", "", IF($D1446="Receipt", $C1446*VLOOKUP($B1446, Items!$A:$E, 5, FALSE), IF($D1446="Consumption", -$C1446*VLOOKUP($B1446, Items!$A:$E, 5, FALSE), "")))</f>
        <v>0</v>
      </c>
      <c r="H1446">
        <f>IF($D1446="Consumption", -$C1446*VLOOKUP($B1446, Items!$A:$E, 5, FALSE), 0)</f>
        <v>0</v>
      </c>
    </row>
    <row r="1447" spans="7:8">
      <c r="G1447">
        <f>IF($D1447="", "", IF($D1447="Receipt", $C1447*VLOOKUP($B1447, Items!$A:$E, 5, FALSE), IF($D1447="Consumption", -$C1447*VLOOKUP($B1447, Items!$A:$E, 5, FALSE), "")))</f>
        <v>0</v>
      </c>
      <c r="H1447">
        <f>IF($D1447="Consumption", -$C1447*VLOOKUP($B1447, Items!$A:$E, 5, FALSE), 0)</f>
        <v>0</v>
      </c>
    </row>
    <row r="1448" spans="7:8">
      <c r="G1448">
        <f>IF($D1448="", "", IF($D1448="Receipt", $C1448*VLOOKUP($B1448, Items!$A:$E, 5, FALSE), IF($D1448="Consumption", -$C1448*VLOOKUP($B1448, Items!$A:$E, 5, FALSE), "")))</f>
        <v>0</v>
      </c>
      <c r="H1448">
        <f>IF($D1448="Consumption", -$C1448*VLOOKUP($B1448, Items!$A:$E, 5, FALSE), 0)</f>
        <v>0</v>
      </c>
    </row>
    <row r="1449" spans="7:8">
      <c r="G1449">
        <f>IF($D1449="", "", IF($D1449="Receipt", $C1449*VLOOKUP($B1449, Items!$A:$E, 5, FALSE), IF($D1449="Consumption", -$C1449*VLOOKUP($B1449, Items!$A:$E, 5, FALSE), "")))</f>
        <v>0</v>
      </c>
      <c r="H1449">
        <f>IF($D1449="Consumption", -$C1449*VLOOKUP($B1449, Items!$A:$E, 5, FALSE), 0)</f>
        <v>0</v>
      </c>
    </row>
    <row r="1450" spans="7:8">
      <c r="G1450">
        <f>IF($D1450="", "", IF($D1450="Receipt", $C1450*VLOOKUP($B1450, Items!$A:$E, 5, FALSE), IF($D1450="Consumption", -$C1450*VLOOKUP($B1450, Items!$A:$E, 5, FALSE), "")))</f>
        <v>0</v>
      </c>
      <c r="H1450">
        <f>IF($D1450="Consumption", -$C1450*VLOOKUP($B1450, Items!$A:$E, 5, FALSE), 0)</f>
        <v>0</v>
      </c>
    </row>
    <row r="1451" spans="7:8">
      <c r="G1451">
        <f>IF($D1451="", "", IF($D1451="Receipt", $C1451*VLOOKUP($B1451, Items!$A:$E, 5, FALSE), IF($D1451="Consumption", -$C1451*VLOOKUP($B1451, Items!$A:$E, 5, FALSE), "")))</f>
        <v>0</v>
      </c>
      <c r="H1451">
        <f>IF($D1451="Consumption", -$C1451*VLOOKUP($B1451, Items!$A:$E, 5, FALSE), 0)</f>
        <v>0</v>
      </c>
    </row>
    <row r="1452" spans="7:8">
      <c r="G1452">
        <f>IF($D1452="", "", IF($D1452="Receipt", $C1452*VLOOKUP($B1452, Items!$A:$E, 5, FALSE), IF($D1452="Consumption", -$C1452*VLOOKUP($B1452, Items!$A:$E, 5, FALSE), "")))</f>
        <v>0</v>
      </c>
      <c r="H1452">
        <f>IF($D1452="Consumption", -$C1452*VLOOKUP($B1452, Items!$A:$E, 5, FALSE), 0)</f>
        <v>0</v>
      </c>
    </row>
    <row r="1453" spans="7:8">
      <c r="G1453">
        <f>IF($D1453="", "", IF($D1453="Receipt", $C1453*VLOOKUP($B1453, Items!$A:$E, 5, FALSE), IF($D1453="Consumption", -$C1453*VLOOKUP($B1453, Items!$A:$E, 5, FALSE), "")))</f>
        <v>0</v>
      </c>
      <c r="H1453">
        <f>IF($D1453="Consumption", -$C1453*VLOOKUP($B1453, Items!$A:$E, 5, FALSE), 0)</f>
        <v>0</v>
      </c>
    </row>
    <row r="1454" spans="7:8">
      <c r="G1454">
        <f>IF($D1454="", "", IF($D1454="Receipt", $C1454*VLOOKUP($B1454, Items!$A:$E, 5, FALSE), IF($D1454="Consumption", -$C1454*VLOOKUP($B1454, Items!$A:$E, 5, FALSE), "")))</f>
        <v>0</v>
      </c>
      <c r="H1454">
        <f>IF($D1454="Consumption", -$C1454*VLOOKUP($B1454, Items!$A:$E, 5, FALSE), 0)</f>
        <v>0</v>
      </c>
    </row>
    <row r="1455" spans="7:8">
      <c r="G1455">
        <f>IF($D1455="", "", IF($D1455="Receipt", $C1455*VLOOKUP($B1455, Items!$A:$E, 5, FALSE), IF($D1455="Consumption", -$C1455*VLOOKUP($B1455, Items!$A:$E, 5, FALSE), "")))</f>
        <v>0</v>
      </c>
      <c r="H1455">
        <f>IF($D1455="Consumption", -$C1455*VLOOKUP($B1455, Items!$A:$E, 5, FALSE), 0)</f>
        <v>0</v>
      </c>
    </row>
    <row r="1456" spans="7:8">
      <c r="G1456">
        <f>IF($D1456="", "", IF($D1456="Receipt", $C1456*VLOOKUP($B1456, Items!$A:$E, 5, FALSE), IF($D1456="Consumption", -$C1456*VLOOKUP($B1456, Items!$A:$E, 5, FALSE), "")))</f>
        <v>0</v>
      </c>
      <c r="H1456">
        <f>IF($D1456="Consumption", -$C1456*VLOOKUP($B1456, Items!$A:$E, 5, FALSE), 0)</f>
        <v>0</v>
      </c>
    </row>
    <row r="1457" spans="7:8">
      <c r="G1457">
        <f>IF($D1457="", "", IF($D1457="Receipt", $C1457*VLOOKUP($B1457, Items!$A:$E, 5, FALSE), IF($D1457="Consumption", -$C1457*VLOOKUP($B1457, Items!$A:$E, 5, FALSE), "")))</f>
        <v>0</v>
      </c>
      <c r="H1457">
        <f>IF($D1457="Consumption", -$C1457*VLOOKUP($B1457, Items!$A:$E, 5, FALSE), 0)</f>
        <v>0</v>
      </c>
    </row>
    <row r="1458" spans="7:8">
      <c r="G1458">
        <f>IF($D1458="", "", IF($D1458="Receipt", $C1458*VLOOKUP($B1458, Items!$A:$E, 5, FALSE), IF($D1458="Consumption", -$C1458*VLOOKUP($B1458, Items!$A:$E, 5, FALSE), "")))</f>
        <v>0</v>
      </c>
      <c r="H1458">
        <f>IF($D1458="Consumption", -$C1458*VLOOKUP($B1458, Items!$A:$E, 5, FALSE), 0)</f>
        <v>0</v>
      </c>
    </row>
    <row r="1459" spans="7:8">
      <c r="G1459">
        <f>IF($D1459="", "", IF($D1459="Receipt", $C1459*VLOOKUP($B1459, Items!$A:$E, 5, FALSE), IF($D1459="Consumption", -$C1459*VLOOKUP($B1459, Items!$A:$E, 5, FALSE), "")))</f>
        <v>0</v>
      </c>
      <c r="H1459">
        <f>IF($D1459="Consumption", -$C1459*VLOOKUP($B1459, Items!$A:$E, 5, FALSE), 0)</f>
        <v>0</v>
      </c>
    </row>
    <row r="1460" spans="7:8">
      <c r="G1460">
        <f>IF($D1460="", "", IF($D1460="Receipt", $C1460*VLOOKUP($B1460, Items!$A:$E, 5, FALSE), IF($D1460="Consumption", -$C1460*VLOOKUP($B1460, Items!$A:$E, 5, FALSE), "")))</f>
        <v>0</v>
      </c>
      <c r="H1460">
        <f>IF($D1460="Consumption", -$C1460*VLOOKUP($B1460, Items!$A:$E, 5, FALSE), 0)</f>
        <v>0</v>
      </c>
    </row>
    <row r="1461" spans="7:8">
      <c r="G1461">
        <f>IF($D1461="", "", IF($D1461="Receipt", $C1461*VLOOKUP($B1461, Items!$A:$E, 5, FALSE), IF($D1461="Consumption", -$C1461*VLOOKUP($B1461, Items!$A:$E, 5, FALSE), "")))</f>
        <v>0</v>
      </c>
      <c r="H1461">
        <f>IF($D1461="Consumption", -$C1461*VLOOKUP($B1461, Items!$A:$E, 5, FALSE), 0)</f>
        <v>0</v>
      </c>
    </row>
    <row r="1462" spans="7:8">
      <c r="G1462">
        <f>IF($D1462="", "", IF($D1462="Receipt", $C1462*VLOOKUP($B1462, Items!$A:$E, 5, FALSE), IF($D1462="Consumption", -$C1462*VLOOKUP($B1462, Items!$A:$E, 5, FALSE), "")))</f>
        <v>0</v>
      </c>
      <c r="H1462">
        <f>IF($D1462="Consumption", -$C1462*VLOOKUP($B1462, Items!$A:$E, 5, FALSE), 0)</f>
        <v>0</v>
      </c>
    </row>
    <row r="1463" spans="7:8">
      <c r="G1463">
        <f>IF($D1463="", "", IF($D1463="Receipt", $C1463*VLOOKUP($B1463, Items!$A:$E, 5, FALSE), IF($D1463="Consumption", -$C1463*VLOOKUP($B1463, Items!$A:$E, 5, FALSE), "")))</f>
        <v>0</v>
      </c>
      <c r="H1463">
        <f>IF($D1463="Consumption", -$C1463*VLOOKUP($B1463, Items!$A:$E, 5, FALSE), 0)</f>
        <v>0</v>
      </c>
    </row>
    <row r="1464" spans="7:8">
      <c r="G1464">
        <f>IF($D1464="", "", IF($D1464="Receipt", $C1464*VLOOKUP($B1464, Items!$A:$E, 5, FALSE), IF($D1464="Consumption", -$C1464*VLOOKUP($B1464, Items!$A:$E, 5, FALSE), "")))</f>
        <v>0</v>
      </c>
      <c r="H1464">
        <f>IF($D1464="Consumption", -$C1464*VLOOKUP($B1464, Items!$A:$E, 5, FALSE), 0)</f>
        <v>0</v>
      </c>
    </row>
    <row r="1465" spans="7:8">
      <c r="G1465">
        <f>IF($D1465="", "", IF($D1465="Receipt", $C1465*VLOOKUP($B1465, Items!$A:$E, 5, FALSE), IF($D1465="Consumption", -$C1465*VLOOKUP($B1465, Items!$A:$E, 5, FALSE), "")))</f>
        <v>0</v>
      </c>
      <c r="H1465">
        <f>IF($D1465="Consumption", -$C1465*VLOOKUP($B1465, Items!$A:$E, 5, FALSE), 0)</f>
        <v>0</v>
      </c>
    </row>
    <row r="1466" spans="7:8">
      <c r="G1466">
        <f>IF($D1466="", "", IF($D1466="Receipt", $C1466*VLOOKUP($B1466, Items!$A:$E, 5, FALSE), IF($D1466="Consumption", -$C1466*VLOOKUP($B1466, Items!$A:$E, 5, FALSE), "")))</f>
        <v>0</v>
      </c>
      <c r="H1466">
        <f>IF($D1466="Consumption", -$C1466*VLOOKUP($B1466, Items!$A:$E, 5, FALSE), 0)</f>
        <v>0</v>
      </c>
    </row>
    <row r="1467" spans="7:8">
      <c r="G1467">
        <f>IF($D1467="", "", IF($D1467="Receipt", $C1467*VLOOKUP($B1467, Items!$A:$E, 5, FALSE), IF($D1467="Consumption", -$C1467*VLOOKUP($B1467, Items!$A:$E, 5, FALSE), "")))</f>
        <v>0</v>
      </c>
      <c r="H1467">
        <f>IF($D1467="Consumption", -$C1467*VLOOKUP($B1467, Items!$A:$E, 5, FALSE), 0)</f>
        <v>0</v>
      </c>
    </row>
    <row r="1468" spans="7:8">
      <c r="G1468">
        <f>IF($D1468="", "", IF($D1468="Receipt", $C1468*VLOOKUP($B1468, Items!$A:$E, 5, FALSE), IF($D1468="Consumption", -$C1468*VLOOKUP($B1468, Items!$A:$E, 5, FALSE), "")))</f>
        <v>0</v>
      </c>
      <c r="H1468">
        <f>IF($D1468="Consumption", -$C1468*VLOOKUP($B1468, Items!$A:$E, 5, FALSE), 0)</f>
        <v>0</v>
      </c>
    </row>
    <row r="1469" spans="7:8">
      <c r="G1469">
        <f>IF($D1469="", "", IF($D1469="Receipt", $C1469*VLOOKUP($B1469, Items!$A:$E, 5, FALSE), IF($D1469="Consumption", -$C1469*VLOOKUP($B1469, Items!$A:$E, 5, FALSE), "")))</f>
        <v>0</v>
      </c>
      <c r="H1469">
        <f>IF($D1469="Consumption", -$C1469*VLOOKUP($B1469, Items!$A:$E, 5, FALSE), 0)</f>
        <v>0</v>
      </c>
    </row>
    <row r="1470" spans="7:8">
      <c r="G1470">
        <f>IF($D1470="", "", IF($D1470="Receipt", $C1470*VLOOKUP($B1470, Items!$A:$E, 5, FALSE), IF($D1470="Consumption", -$C1470*VLOOKUP($B1470, Items!$A:$E, 5, FALSE), "")))</f>
        <v>0</v>
      </c>
      <c r="H1470">
        <f>IF($D1470="Consumption", -$C1470*VLOOKUP($B1470, Items!$A:$E, 5, FALSE), 0)</f>
        <v>0</v>
      </c>
    </row>
    <row r="1471" spans="7:8">
      <c r="G1471">
        <f>IF($D1471="", "", IF($D1471="Receipt", $C1471*VLOOKUP($B1471, Items!$A:$E, 5, FALSE), IF($D1471="Consumption", -$C1471*VLOOKUP($B1471, Items!$A:$E, 5, FALSE), "")))</f>
        <v>0</v>
      </c>
      <c r="H1471">
        <f>IF($D1471="Consumption", -$C1471*VLOOKUP($B1471, Items!$A:$E, 5, FALSE), 0)</f>
        <v>0</v>
      </c>
    </row>
    <row r="1472" spans="7:8">
      <c r="G1472">
        <f>IF($D1472="", "", IF($D1472="Receipt", $C1472*VLOOKUP($B1472, Items!$A:$E, 5, FALSE), IF($D1472="Consumption", -$C1472*VLOOKUP($B1472, Items!$A:$E, 5, FALSE), "")))</f>
        <v>0</v>
      </c>
      <c r="H1472">
        <f>IF($D1472="Consumption", -$C1472*VLOOKUP($B1472, Items!$A:$E, 5, FALSE), 0)</f>
        <v>0</v>
      </c>
    </row>
    <row r="1473" spans="7:8">
      <c r="G1473">
        <f>IF($D1473="", "", IF($D1473="Receipt", $C1473*VLOOKUP($B1473, Items!$A:$E, 5, FALSE), IF($D1473="Consumption", -$C1473*VLOOKUP($B1473, Items!$A:$E, 5, FALSE), "")))</f>
        <v>0</v>
      </c>
      <c r="H1473">
        <f>IF($D1473="Consumption", -$C1473*VLOOKUP($B1473, Items!$A:$E, 5, FALSE), 0)</f>
        <v>0</v>
      </c>
    </row>
    <row r="1474" spans="7:8">
      <c r="G1474">
        <f>IF($D1474="", "", IF($D1474="Receipt", $C1474*VLOOKUP($B1474, Items!$A:$E, 5, FALSE), IF($D1474="Consumption", -$C1474*VLOOKUP($B1474, Items!$A:$E, 5, FALSE), "")))</f>
        <v>0</v>
      </c>
      <c r="H1474">
        <f>IF($D1474="Consumption", -$C1474*VLOOKUP($B1474, Items!$A:$E, 5, FALSE), 0)</f>
        <v>0</v>
      </c>
    </row>
    <row r="1475" spans="7:8">
      <c r="G1475">
        <f>IF($D1475="", "", IF($D1475="Receipt", $C1475*VLOOKUP($B1475, Items!$A:$E, 5, FALSE), IF($D1475="Consumption", -$C1475*VLOOKUP($B1475, Items!$A:$E, 5, FALSE), "")))</f>
        <v>0</v>
      </c>
      <c r="H1475">
        <f>IF($D1475="Consumption", -$C1475*VLOOKUP($B1475, Items!$A:$E, 5, FALSE), 0)</f>
        <v>0</v>
      </c>
    </row>
    <row r="1476" spans="7:8">
      <c r="G1476">
        <f>IF($D1476="", "", IF($D1476="Receipt", $C1476*VLOOKUP($B1476, Items!$A:$E, 5, FALSE), IF($D1476="Consumption", -$C1476*VLOOKUP($B1476, Items!$A:$E, 5, FALSE), "")))</f>
        <v>0</v>
      </c>
      <c r="H1476">
        <f>IF($D1476="Consumption", -$C1476*VLOOKUP($B1476, Items!$A:$E, 5, FALSE), 0)</f>
        <v>0</v>
      </c>
    </row>
    <row r="1477" spans="7:8">
      <c r="G1477">
        <f>IF($D1477="", "", IF($D1477="Receipt", $C1477*VLOOKUP($B1477, Items!$A:$E, 5, FALSE), IF($D1477="Consumption", -$C1477*VLOOKUP($B1477, Items!$A:$E, 5, FALSE), "")))</f>
        <v>0</v>
      </c>
      <c r="H1477">
        <f>IF($D1477="Consumption", -$C1477*VLOOKUP($B1477, Items!$A:$E, 5, FALSE), 0)</f>
        <v>0</v>
      </c>
    </row>
    <row r="1478" spans="7:8">
      <c r="G1478">
        <f>IF($D1478="", "", IF($D1478="Receipt", $C1478*VLOOKUP($B1478, Items!$A:$E, 5, FALSE), IF($D1478="Consumption", -$C1478*VLOOKUP($B1478, Items!$A:$E, 5, FALSE), "")))</f>
        <v>0</v>
      </c>
      <c r="H1478">
        <f>IF($D1478="Consumption", -$C1478*VLOOKUP($B1478, Items!$A:$E, 5, FALSE), 0)</f>
        <v>0</v>
      </c>
    </row>
    <row r="1479" spans="7:8">
      <c r="G1479">
        <f>IF($D1479="", "", IF($D1479="Receipt", $C1479*VLOOKUP($B1479, Items!$A:$E, 5, FALSE), IF($D1479="Consumption", -$C1479*VLOOKUP($B1479, Items!$A:$E, 5, FALSE), "")))</f>
        <v>0</v>
      </c>
      <c r="H1479">
        <f>IF($D1479="Consumption", -$C1479*VLOOKUP($B1479, Items!$A:$E, 5, FALSE), 0)</f>
        <v>0</v>
      </c>
    </row>
    <row r="1480" spans="7:8">
      <c r="G1480">
        <f>IF($D1480="", "", IF($D1480="Receipt", $C1480*VLOOKUP($B1480, Items!$A:$E, 5, FALSE), IF($D1480="Consumption", -$C1480*VLOOKUP($B1480, Items!$A:$E, 5, FALSE), "")))</f>
        <v>0</v>
      </c>
      <c r="H1480">
        <f>IF($D1480="Consumption", -$C1480*VLOOKUP($B1480, Items!$A:$E, 5, FALSE), 0)</f>
        <v>0</v>
      </c>
    </row>
    <row r="1481" spans="7:8">
      <c r="G1481">
        <f>IF($D1481="", "", IF($D1481="Receipt", $C1481*VLOOKUP($B1481, Items!$A:$E, 5, FALSE), IF($D1481="Consumption", -$C1481*VLOOKUP($B1481, Items!$A:$E, 5, FALSE), "")))</f>
        <v>0</v>
      </c>
      <c r="H1481">
        <f>IF($D1481="Consumption", -$C1481*VLOOKUP($B1481, Items!$A:$E, 5, FALSE), 0)</f>
        <v>0</v>
      </c>
    </row>
    <row r="1482" spans="7:8">
      <c r="G1482">
        <f>IF($D1482="", "", IF($D1482="Receipt", $C1482*VLOOKUP($B1482, Items!$A:$E, 5, FALSE), IF($D1482="Consumption", -$C1482*VLOOKUP($B1482, Items!$A:$E, 5, FALSE), "")))</f>
        <v>0</v>
      </c>
      <c r="H1482">
        <f>IF($D1482="Consumption", -$C1482*VLOOKUP($B1482, Items!$A:$E, 5, FALSE), 0)</f>
        <v>0</v>
      </c>
    </row>
    <row r="1483" spans="7:8">
      <c r="G1483">
        <f>IF($D1483="", "", IF($D1483="Receipt", $C1483*VLOOKUP($B1483, Items!$A:$E, 5, FALSE), IF($D1483="Consumption", -$C1483*VLOOKUP($B1483, Items!$A:$E, 5, FALSE), "")))</f>
        <v>0</v>
      </c>
      <c r="H1483">
        <f>IF($D1483="Consumption", -$C1483*VLOOKUP($B1483, Items!$A:$E, 5, FALSE), 0)</f>
        <v>0</v>
      </c>
    </row>
    <row r="1484" spans="7:8">
      <c r="G1484">
        <f>IF($D1484="", "", IF($D1484="Receipt", $C1484*VLOOKUP($B1484, Items!$A:$E, 5, FALSE), IF($D1484="Consumption", -$C1484*VLOOKUP($B1484, Items!$A:$E, 5, FALSE), "")))</f>
        <v>0</v>
      </c>
      <c r="H1484">
        <f>IF($D1484="Consumption", -$C1484*VLOOKUP($B1484, Items!$A:$E, 5, FALSE), 0)</f>
        <v>0</v>
      </c>
    </row>
    <row r="1485" spans="7:8">
      <c r="G1485">
        <f>IF($D1485="", "", IF($D1485="Receipt", $C1485*VLOOKUP($B1485, Items!$A:$E, 5, FALSE), IF($D1485="Consumption", -$C1485*VLOOKUP($B1485, Items!$A:$E, 5, FALSE), "")))</f>
        <v>0</v>
      </c>
      <c r="H1485">
        <f>IF($D1485="Consumption", -$C1485*VLOOKUP($B1485, Items!$A:$E, 5, FALSE), 0)</f>
        <v>0</v>
      </c>
    </row>
    <row r="1486" spans="7:8">
      <c r="G1486">
        <f>IF($D1486="", "", IF($D1486="Receipt", $C1486*VLOOKUP($B1486, Items!$A:$E, 5, FALSE), IF($D1486="Consumption", -$C1486*VLOOKUP($B1486, Items!$A:$E, 5, FALSE), "")))</f>
        <v>0</v>
      </c>
      <c r="H1486">
        <f>IF($D1486="Consumption", -$C1486*VLOOKUP($B1486, Items!$A:$E, 5, FALSE), 0)</f>
        <v>0</v>
      </c>
    </row>
    <row r="1487" spans="7:8">
      <c r="G1487">
        <f>IF($D1487="", "", IF($D1487="Receipt", $C1487*VLOOKUP($B1487, Items!$A:$E, 5, FALSE), IF($D1487="Consumption", -$C1487*VLOOKUP($B1487, Items!$A:$E, 5, FALSE), "")))</f>
        <v>0</v>
      </c>
      <c r="H1487">
        <f>IF($D1487="Consumption", -$C1487*VLOOKUP($B1487, Items!$A:$E, 5, FALSE), 0)</f>
        <v>0</v>
      </c>
    </row>
    <row r="1488" spans="7:8">
      <c r="G1488">
        <f>IF($D1488="", "", IF($D1488="Receipt", $C1488*VLOOKUP($B1488, Items!$A:$E, 5, FALSE), IF($D1488="Consumption", -$C1488*VLOOKUP($B1488, Items!$A:$E, 5, FALSE), "")))</f>
        <v>0</v>
      </c>
      <c r="H1488">
        <f>IF($D1488="Consumption", -$C1488*VLOOKUP($B1488, Items!$A:$E, 5, FALSE), 0)</f>
        <v>0</v>
      </c>
    </row>
    <row r="1489" spans="7:8">
      <c r="G1489">
        <f>IF($D1489="", "", IF($D1489="Receipt", $C1489*VLOOKUP($B1489, Items!$A:$E, 5, FALSE), IF($D1489="Consumption", -$C1489*VLOOKUP($B1489, Items!$A:$E, 5, FALSE), "")))</f>
        <v>0</v>
      </c>
      <c r="H1489">
        <f>IF($D1489="Consumption", -$C1489*VLOOKUP($B1489, Items!$A:$E, 5, FALSE), 0)</f>
        <v>0</v>
      </c>
    </row>
    <row r="1490" spans="7:8">
      <c r="G1490">
        <f>IF($D1490="", "", IF($D1490="Receipt", $C1490*VLOOKUP($B1490, Items!$A:$E, 5, FALSE), IF($D1490="Consumption", -$C1490*VLOOKUP($B1490, Items!$A:$E, 5, FALSE), "")))</f>
        <v>0</v>
      </c>
      <c r="H1490">
        <f>IF($D1490="Consumption", -$C1490*VLOOKUP($B1490, Items!$A:$E, 5, FALSE), 0)</f>
        <v>0</v>
      </c>
    </row>
    <row r="1491" spans="7:8">
      <c r="G1491">
        <f>IF($D1491="", "", IF($D1491="Receipt", $C1491*VLOOKUP($B1491, Items!$A:$E, 5, FALSE), IF($D1491="Consumption", -$C1491*VLOOKUP($B1491, Items!$A:$E, 5, FALSE), "")))</f>
        <v>0</v>
      </c>
      <c r="H1491">
        <f>IF($D1491="Consumption", -$C1491*VLOOKUP($B1491, Items!$A:$E, 5, FALSE), 0)</f>
        <v>0</v>
      </c>
    </row>
    <row r="1492" spans="7:8">
      <c r="G1492">
        <f>IF($D1492="", "", IF($D1492="Receipt", $C1492*VLOOKUP($B1492, Items!$A:$E, 5, FALSE), IF($D1492="Consumption", -$C1492*VLOOKUP($B1492, Items!$A:$E, 5, FALSE), "")))</f>
        <v>0</v>
      </c>
      <c r="H1492">
        <f>IF($D1492="Consumption", -$C1492*VLOOKUP($B1492, Items!$A:$E, 5, FALSE), 0)</f>
        <v>0</v>
      </c>
    </row>
    <row r="1493" spans="7:8">
      <c r="G1493">
        <f>IF($D1493="", "", IF($D1493="Receipt", $C1493*VLOOKUP($B1493, Items!$A:$E, 5, FALSE), IF($D1493="Consumption", -$C1493*VLOOKUP($B1493, Items!$A:$E, 5, FALSE), "")))</f>
        <v>0</v>
      </c>
      <c r="H1493">
        <f>IF($D1493="Consumption", -$C1493*VLOOKUP($B1493, Items!$A:$E, 5, FALSE), 0)</f>
        <v>0</v>
      </c>
    </row>
    <row r="1494" spans="7:8">
      <c r="G1494">
        <f>IF($D1494="", "", IF($D1494="Receipt", $C1494*VLOOKUP($B1494, Items!$A:$E, 5, FALSE), IF($D1494="Consumption", -$C1494*VLOOKUP($B1494, Items!$A:$E, 5, FALSE), "")))</f>
        <v>0</v>
      </c>
      <c r="H1494">
        <f>IF($D1494="Consumption", -$C1494*VLOOKUP($B1494, Items!$A:$E, 5, FALSE), 0)</f>
        <v>0</v>
      </c>
    </row>
    <row r="1495" spans="7:8">
      <c r="G1495">
        <f>IF($D1495="", "", IF($D1495="Receipt", $C1495*VLOOKUP($B1495, Items!$A:$E, 5, FALSE), IF($D1495="Consumption", -$C1495*VLOOKUP($B1495, Items!$A:$E, 5, FALSE), "")))</f>
        <v>0</v>
      </c>
      <c r="H1495">
        <f>IF($D1495="Consumption", -$C1495*VLOOKUP($B1495, Items!$A:$E, 5, FALSE), 0)</f>
        <v>0</v>
      </c>
    </row>
    <row r="1496" spans="7:8">
      <c r="G1496">
        <f>IF($D1496="", "", IF($D1496="Receipt", $C1496*VLOOKUP($B1496, Items!$A:$E, 5, FALSE), IF($D1496="Consumption", -$C1496*VLOOKUP($B1496, Items!$A:$E, 5, FALSE), "")))</f>
        <v>0</v>
      </c>
      <c r="H1496">
        <f>IF($D1496="Consumption", -$C1496*VLOOKUP($B1496, Items!$A:$E, 5, FALSE), 0)</f>
        <v>0</v>
      </c>
    </row>
    <row r="1497" spans="7:8">
      <c r="G1497">
        <f>IF($D1497="", "", IF($D1497="Receipt", $C1497*VLOOKUP($B1497, Items!$A:$E, 5, FALSE), IF($D1497="Consumption", -$C1497*VLOOKUP($B1497, Items!$A:$E, 5, FALSE), "")))</f>
        <v>0</v>
      </c>
      <c r="H1497">
        <f>IF($D1497="Consumption", -$C1497*VLOOKUP($B1497, Items!$A:$E, 5, FALSE), 0)</f>
        <v>0</v>
      </c>
    </row>
    <row r="1498" spans="7:8">
      <c r="G1498">
        <f>IF($D1498="", "", IF($D1498="Receipt", $C1498*VLOOKUP($B1498, Items!$A:$E, 5, FALSE), IF($D1498="Consumption", -$C1498*VLOOKUP($B1498, Items!$A:$E, 5, FALSE), "")))</f>
        <v>0</v>
      </c>
      <c r="H1498">
        <f>IF($D1498="Consumption", -$C1498*VLOOKUP($B1498, Items!$A:$E, 5, FALSE), 0)</f>
        <v>0</v>
      </c>
    </row>
    <row r="1499" spans="7:8">
      <c r="G1499">
        <f>IF($D1499="", "", IF($D1499="Receipt", $C1499*VLOOKUP($B1499, Items!$A:$E, 5, FALSE), IF($D1499="Consumption", -$C1499*VLOOKUP($B1499, Items!$A:$E, 5, FALSE), "")))</f>
        <v>0</v>
      </c>
      <c r="H1499">
        <f>IF($D1499="Consumption", -$C1499*VLOOKUP($B1499, Items!$A:$E, 5, FALSE), 0)</f>
        <v>0</v>
      </c>
    </row>
    <row r="1500" spans="7:8">
      <c r="G1500">
        <f>IF($D1500="", "", IF($D1500="Receipt", $C1500*VLOOKUP($B1500, Items!$A:$E, 5, FALSE), IF($D1500="Consumption", -$C1500*VLOOKUP($B1500, Items!$A:$E, 5, FALSE), "")))</f>
        <v>0</v>
      </c>
      <c r="H1500">
        <f>IF($D1500="Consumption", -$C1500*VLOOKUP($B1500, Items!$A:$E, 5, FALSE), 0)</f>
        <v>0</v>
      </c>
    </row>
    <row r="1501" spans="7:8">
      <c r="G1501">
        <f>IF($D1501="", "", IF($D1501="Receipt", $C1501*VLOOKUP($B1501, Items!$A:$E, 5, FALSE), IF($D1501="Consumption", -$C1501*VLOOKUP($B1501, Items!$A:$E, 5, FALSE), "")))</f>
        <v>0</v>
      </c>
      <c r="H1501">
        <f>IF($D1501="Consumption", -$C1501*VLOOKUP($B1501, Items!$A:$E, 5, FALSE), 0)</f>
        <v>0</v>
      </c>
    </row>
    <row r="1502" spans="7:8">
      <c r="G1502">
        <f>IF($D1502="", "", IF($D1502="Receipt", $C1502*VLOOKUP($B1502, Items!$A:$E, 5, FALSE), IF($D1502="Consumption", -$C1502*VLOOKUP($B1502, Items!$A:$E, 5, FALSE), "")))</f>
        <v>0</v>
      </c>
      <c r="H1502">
        <f>IF($D1502="Consumption", -$C1502*VLOOKUP($B1502, Items!$A:$E, 5, FALSE), 0)</f>
        <v>0</v>
      </c>
    </row>
    <row r="1503" spans="7:8">
      <c r="G1503">
        <f>IF($D1503="", "", IF($D1503="Receipt", $C1503*VLOOKUP($B1503, Items!$A:$E, 5, FALSE), IF($D1503="Consumption", -$C1503*VLOOKUP($B1503, Items!$A:$E, 5, FALSE), "")))</f>
        <v>0</v>
      </c>
      <c r="H1503">
        <f>IF($D1503="Consumption", -$C1503*VLOOKUP($B1503, Items!$A:$E, 5, FALSE), 0)</f>
        <v>0</v>
      </c>
    </row>
    <row r="1504" spans="7:8">
      <c r="G1504">
        <f>IF($D1504="", "", IF($D1504="Receipt", $C1504*VLOOKUP($B1504, Items!$A:$E, 5, FALSE), IF($D1504="Consumption", -$C1504*VLOOKUP($B1504, Items!$A:$E, 5, FALSE), "")))</f>
        <v>0</v>
      </c>
      <c r="H1504">
        <f>IF($D1504="Consumption", -$C1504*VLOOKUP($B1504, Items!$A:$E, 5, FALSE), 0)</f>
        <v>0</v>
      </c>
    </row>
    <row r="1505" spans="7:8">
      <c r="G1505">
        <f>IF($D1505="", "", IF($D1505="Receipt", $C1505*VLOOKUP($B1505, Items!$A:$E, 5, FALSE), IF($D1505="Consumption", -$C1505*VLOOKUP($B1505, Items!$A:$E, 5, FALSE), "")))</f>
        <v>0</v>
      </c>
      <c r="H1505">
        <f>IF($D1505="Consumption", -$C1505*VLOOKUP($B1505, Items!$A:$E, 5, FALSE), 0)</f>
        <v>0</v>
      </c>
    </row>
    <row r="1506" spans="7:8">
      <c r="G1506">
        <f>IF($D1506="", "", IF($D1506="Receipt", $C1506*VLOOKUP($B1506, Items!$A:$E, 5, FALSE), IF($D1506="Consumption", -$C1506*VLOOKUP($B1506, Items!$A:$E, 5, FALSE), "")))</f>
        <v>0</v>
      </c>
      <c r="H1506">
        <f>IF($D1506="Consumption", -$C1506*VLOOKUP($B1506, Items!$A:$E, 5, FALSE), 0)</f>
        <v>0</v>
      </c>
    </row>
    <row r="1507" spans="7:8">
      <c r="G1507">
        <f>IF($D1507="", "", IF($D1507="Receipt", $C1507*VLOOKUP($B1507, Items!$A:$E, 5, FALSE), IF($D1507="Consumption", -$C1507*VLOOKUP($B1507, Items!$A:$E, 5, FALSE), "")))</f>
        <v>0</v>
      </c>
      <c r="H1507">
        <f>IF($D1507="Consumption", -$C1507*VLOOKUP($B1507, Items!$A:$E, 5, FALSE), 0)</f>
        <v>0</v>
      </c>
    </row>
    <row r="1508" spans="7:8">
      <c r="G1508">
        <f>IF($D1508="", "", IF($D1508="Receipt", $C1508*VLOOKUP($B1508, Items!$A:$E, 5, FALSE), IF($D1508="Consumption", -$C1508*VLOOKUP($B1508, Items!$A:$E, 5, FALSE), "")))</f>
        <v>0</v>
      </c>
      <c r="H1508">
        <f>IF($D1508="Consumption", -$C1508*VLOOKUP($B1508, Items!$A:$E, 5, FALSE), 0)</f>
        <v>0</v>
      </c>
    </row>
    <row r="1509" spans="7:8">
      <c r="G1509">
        <f>IF($D1509="", "", IF($D1509="Receipt", $C1509*VLOOKUP($B1509, Items!$A:$E, 5, FALSE), IF($D1509="Consumption", -$C1509*VLOOKUP($B1509, Items!$A:$E, 5, FALSE), "")))</f>
        <v>0</v>
      </c>
      <c r="H1509">
        <f>IF($D1509="Consumption", -$C1509*VLOOKUP($B1509, Items!$A:$E, 5, FALSE), 0)</f>
        <v>0</v>
      </c>
    </row>
    <row r="1510" spans="7:8">
      <c r="G1510">
        <f>IF($D1510="", "", IF($D1510="Receipt", $C1510*VLOOKUP($B1510, Items!$A:$E, 5, FALSE), IF($D1510="Consumption", -$C1510*VLOOKUP($B1510, Items!$A:$E, 5, FALSE), "")))</f>
        <v>0</v>
      </c>
      <c r="H1510">
        <f>IF($D1510="Consumption", -$C1510*VLOOKUP($B1510, Items!$A:$E, 5, FALSE), 0)</f>
        <v>0</v>
      </c>
    </row>
    <row r="1511" spans="7:8">
      <c r="G1511">
        <f>IF($D1511="", "", IF($D1511="Receipt", $C1511*VLOOKUP($B1511, Items!$A:$E, 5, FALSE), IF($D1511="Consumption", -$C1511*VLOOKUP($B1511, Items!$A:$E, 5, FALSE), "")))</f>
        <v>0</v>
      </c>
      <c r="H1511">
        <f>IF($D1511="Consumption", -$C1511*VLOOKUP($B1511, Items!$A:$E, 5, FALSE), 0)</f>
        <v>0</v>
      </c>
    </row>
    <row r="1512" spans="7:8">
      <c r="G1512">
        <f>IF($D1512="", "", IF($D1512="Receipt", $C1512*VLOOKUP($B1512, Items!$A:$E, 5, FALSE), IF($D1512="Consumption", -$C1512*VLOOKUP($B1512, Items!$A:$E, 5, FALSE), "")))</f>
        <v>0</v>
      </c>
      <c r="H1512">
        <f>IF($D1512="Consumption", -$C1512*VLOOKUP($B1512, Items!$A:$E, 5, FALSE), 0)</f>
        <v>0</v>
      </c>
    </row>
    <row r="1513" spans="7:8">
      <c r="G1513">
        <f>IF($D1513="", "", IF($D1513="Receipt", $C1513*VLOOKUP($B1513, Items!$A:$E, 5, FALSE), IF($D1513="Consumption", -$C1513*VLOOKUP($B1513, Items!$A:$E, 5, FALSE), "")))</f>
        <v>0</v>
      </c>
      <c r="H1513">
        <f>IF($D1513="Consumption", -$C1513*VLOOKUP($B1513, Items!$A:$E, 5, FALSE), 0)</f>
        <v>0</v>
      </c>
    </row>
    <row r="1514" spans="7:8">
      <c r="G1514">
        <f>IF($D1514="", "", IF($D1514="Receipt", $C1514*VLOOKUP($B1514, Items!$A:$E, 5, FALSE), IF($D1514="Consumption", -$C1514*VLOOKUP($B1514, Items!$A:$E, 5, FALSE), "")))</f>
        <v>0</v>
      </c>
      <c r="H1514">
        <f>IF($D1514="Consumption", -$C1514*VLOOKUP($B1514, Items!$A:$E, 5, FALSE), 0)</f>
        <v>0</v>
      </c>
    </row>
    <row r="1515" spans="7:8">
      <c r="G1515">
        <f>IF($D1515="", "", IF($D1515="Receipt", $C1515*VLOOKUP($B1515, Items!$A:$E, 5, FALSE), IF($D1515="Consumption", -$C1515*VLOOKUP($B1515, Items!$A:$E, 5, FALSE), "")))</f>
        <v>0</v>
      </c>
      <c r="H1515">
        <f>IF($D1515="Consumption", -$C1515*VLOOKUP($B1515, Items!$A:$E, 5, FALSE), 0)</f>
        <v>0</v>
      </c>
    </row>
    <row r="1516" spans="7:8">
      <c r="G1516">
        <f>IF($D1516="", "", IF($D1516="Receipt", $C1516*VLOOKUP($B1516, Items!$A:$E, 5, FALSE), IF($D1516="Consumption", -$C1516*VLOOKUP($B1516, Items!$A:$E, 5, FALSE), "")))</f>
        <v>0</v>
      </c>
      <c r="H1516">
        <f>IF($D1516="Consumption", -$C1516*VLOOKUP($B1516, Items!$A:$E, 5, FALSE), 0)</f>
        <v>0</v>
      </c>
    </row>
    <row r="1517" spans="7:8">
      <c r="G1517">
        <f>IF($D1517="", "", IF($D1517="Receipt", $C1517*VLOOKUP($B1517, Items!$A:$E, 5, FALSE), IF($D1517="Consumption", -$C1517*VLOOKUP($B1517, Items!$A:$E, 5, FALSE), "")))</f>
        <v>0</v>
      </c>
      <c r="H1517">
        <f>IF($D1517="Consumption", -$C1517*VLOOKUP($B1517, Items!$A:$E, 5, FALSE), 0)</f>
        <v>0</v>
      </c>
    </row>
    <row r="1518" spans="7:8">
      <c r="G1518">
        <f>IF($D1518="", "", IF($D1518="Receipt", $C1518*VLOOKUP($B1518, Items!$A:$E, 5, FALSE), IF($D1518="Consumption", -$C1518*VLOOKUP($B1518, Items!$A:$E, 5, FALSE), "")))</f>
        <v>0</v>
      </c>
      <c r="H1518">
        <f>IF($D1518="Consumption", -$C1518*VLOOKUP($B1518, Items!$A:$E, 5, FALSE), 0)</f>
        <v>0</v>
      </c>
    </row>
    <row r="1519" spans="7:8">
      <c r="G1519">
        <f>IF($D1519="", "", IF($D1519="Receipt", $C1519*VLOOKUP($B1519, Items!$A:$E, 5, FALSE), IF($D1519="Consumption", -$C1519*VLOOKUP($B1519, Items!$A:$E, 5, FALSE), "")))</f>
        <v>0</v>
      </c>
      <c r="H1519">
        <f>IF($D1519="Consumption", -$C1519*VLOOKUP($B1519, Items!$A:$E, 5, FALSE), 0)</f>
        <v>0</v>
      </c>
    </row>
    <row r="1520" spans="7:8">
      <c r="G1520">
        <f>IF($D1520="", "", IF($D1520="Receipt", $C1520*VLOOKUP($B1520, Items!$A:$E, 5, FALSE), IF($D1520="Consumption", -$C1520*VLOOKUP($B1520, Items!$A:$E, 5, FALSE), "")))</f>
        <v>0</v>
      </c>
      <c r="H1520">
        <f>IF($D1520="Consumption", -$C1520*VLOOKUP($B1520, Items!$A:$E, 5, FALSE), 0)</f>
        <v>0</v>
      </c>
    </row>
    <row r="1521" spans="7:8">
      <c r="G1521">
        <f>IF($D1521="", "", IF($D1521="Receipt", $C1521*VLOOKUP($B1521, Items!$A:$E, 5, FALSE), IF($D1521="Consumption", -$C1521*VLOOKUP($B1521, Items!$A:$E, 5, FALSE), "")))</f>
        <v>0</v>
      </c>
      <c r="H1521">
        <f>IF($D1521="Consumption", -$C1521*VLOOKUP($B1521, Items!$A:$E, 5, FALSE), 0)</f>
        <v>0</v>
      </c>
    </row>
    <row r="1522" spans="7:8">
      <c r="G1522">
        <f>IF($D1522="", "", IF($D1522="Receipt", $C1522*VLOOKUP($B1522, Items!$A:$E, 5, FALSE), IF($D1522="Consumption", -$C1522*VLOOKUP($B1522, Items!$A:$E, 5, FALSE), "")))</f>
        <v>0</v>
      </c>
      <c r="H1522">
        <f>IF($D1522="Consumption", -$C1522*VLOOKUP($B1522, Items!$A:$E, 5, FALSE), 0)</f>
        <v>0</v>
      </c>
    </row>
    <row r="1523" spans="7:8">
      <c r="G1523">
        <f>IF($D1523="", "", IF($D1523="Receipt", $C1523*VLOOKUP($B1523, Items!$A:$E, 5, FALSE), IF($D1523="Consumption", -$C1523*VLOOKUP($B1523, Items!$A:$E, 5, FALSE), "")))</f>
        <v>0</v>
      </c>
      <c r="H1523">
        <f>IF($D1523="Consumption", -$C1523*VLOOKUP($B1523, Items!$A:$E, 5, FALSE), 0)</f>
        <v>0</v>
      </c>
    </row>
    <row r="1524" spans="7:8">
      <c r="G1524">
        <f>IF($D1524="", "", IF($D1524="Receipt", $C1524*VLOOKUP($B1524, Items!$A:$E, 5, FALSE), IF($D1524="Consumption", -$C1524*VLOOKUP($B1524, Items!$A:$E, 5, FALSE), "")))</f>
        <v>0</v>
      </c>
      <c r="H1524">
        <f>IF($D1524="Consumption", -$C1524*VLOOKUP($B1524, Items!$A:$E, 5, FALSE), 0)</f>
        <v>0</v>
      </c>
    </row>
    <row r="1525" spans="7:8">
      <c r="G1525">
        <f>IF($D1525="", "", IF($D1525="Receipt", $C1525*VLOOKUP($B1525, Items!$A:$E, 5, FALSE), IF($D1525="Consumption", -$C1525*VLOOKUP($B1525, Items!$A:$E, 5, FALSE), "")))</f>
        <v>0</v>
      </c>
      <c r="H1525">
        <f>IF($D1525="Consumption", -$C1525*VLOOKUP($B1525, Items!$A:$E, 5, FALSE), 0)</f>
        <v>0</v>
      </c>
    </row>
    <row r="1526" spans="7:8">
      <c r="G1526">
        <f>IF($D1526="", "", IF($D1526="Receipt", $C1526*VLOOKUP($B1526, Items!$A:$E, 5, FALSE), IF($D1526="Consumption", -$C1526*VLOOKUP($B1526, Items!$A:$E, 5, FALSE), "")))</f>
        <v>0</v>
      </c>
      <c r="H1526">
        <f>IF($D1526="Consumption", -$C1526*VLOOKUP($B1526, Items!$A:$E, 5, FALSE), 0)</f>
        <v>0</v>
      </c>
    </row>
    <row r="1527" spans="7:8">
      <c r="G1527">
        <f>IF($D1527="", "", IF($D1527="Receipt", $C1527*VLOOKUP($B1527, Items!$A:$E, 5, FALSE), IF($D1527="Consumption", -$C1527*VLOOKUP($B1527, Items!$A:$E, 5, FALSE), "")))</f>
        <v>0</v>
      </c>
      <c r="H1527">
        <f>IF($D1527="Consumption", -$C1527*VLOOKUP($B1527, Items!$A:$E, 5, FALSE), 0)</f>
        <v>0</v>
      </c>
    </row>
    <row r="1528" spans="7:8">
      <c r="G1528">
        <f>IF($D1528="", "", IF($D1528="Receipt", $C1528*VLOOKUP($B1528, Items!$A:$E, 5, FALSE), IF($D1528="Consumption", -$C1528*VLOOKUP($B1528, Items!$A:$E, 5, FALSE), "")))</f>
        <v>0</v>
      </c>
      <c r="H1528">
        <f>IF($D1528="Consumption", -$C1528*VLOOKUP($B1528, Items!$A:$E, 5, FALSE), 0)</f>
        <v>0</v>
      </c>
    </row>
    <row r="1529" spans="7:8">
      <c r="G1529">
        <f>IF($D1529="", "", IF($D1529="Receipt", $C1529*VLOOKUP($B1529, Items!$A:$E, 5, FALSE), IF($D1529="Consumption", -$C1529*VLOOKUP($B1529, Items!$A:$E, 5, FALSE), "")))</f>
        <v>0</v>
      </c>
      <c r="H1529">
        <f>IF($D1529="Consumption", -$C1529*VLOOKUP($B1529, Items!$A:$E, 5, FALSE), 0)</f>
        <v>0</v>
      </c>
    </row>
    <row r="1530" spans="7:8">
      <c r="G1530">
        <f>IF($D1530="", "", IF($D1530="Receipt", $C1530*VLOOKUP($B1530, Items!$A:$E, 5, FALSE), IF($D1530="Consumption", -$C1530*VLOOKUP($B1530, Items!$A:$E, 5, FALSE), "")))</f>
        <v>0</v>
      </c>
      <c r="H1530">
        <f>IF($D1530="Consumption", -$C1530*VLOOKUP($B1530, Items!$A:$E, 5, FALSE), 0)</f>
        <v>0</v>
      </c>
    </row>
    <row r="1531" spans="7:8">
      <c r="G1531">
        <f>IF($D1531="", "", IF($D1531="Receipt", $C1531*VLOOKUP($B1531, Items!$A:$E, 5, FALSE), IF($D1531="Consumption", -$C1531*VLOOKUP($B1531, Items!$A:$E, 5, FALSE), "")))</f>
        <v>0</v>
      </c>
      <c r="H1531">
        <f>IF($D1531="Consumption", -$C1531*VLOOKUP($B1531, Items!$A:$E, 5, FALSE), 0)</f>
        <v>0</v>
      </c>
    </row>
    <row r="1532" spans="7:8">
      <c r="G1532">
        <f>IF($D1532="", "", IF($D1532="Receipt", $C1532*VLOOKUP($B1532, Items!$A:$E, 5, FALSE), IF($D1532="Consumption", -$C1532*VLOOKUP($B1532, Items!$A:$E, 5, FALSE), "")))</f>
        <v>0</v>
      </c>
      <c r="H1532">
        <f>IF($D1532="Consumption", -$C1532*VLOOKUP($B1532, Items!$A:$E, 5, FALSE), 0)</f>
        <v>0</v>
      </c>
    </row>
    <row r="1533" spans="7:8">
      <c r="G1533">
        <f>IF($D1533="", "", IF($D1533="Receipt", $C1533*VLOOKUP($B1533, Items!$A:$E, 5, FALSE), IF($D1533="Consumption", -$C1533*VLOOKUP($B1533, Items!$A:$E, 5, FALSE), "")))</f>
        <v>0</v>
      </c>
      <c r="H1533">
        <f>IF($D1533="Consumption", -$C1533*VLOOKUP($B1533, Items!$A:$E, 5, FALSE), 0)</f>
        <v>0</v>
      </c>
    </row>
    <row r="1534" spans="7:8">
      <c r="G1534">
        <f>IF($D1534="", "", IF($D1534="Receipt", $C1534*VLOOKUP($B1534, Items!$A:$E, 5, FALSE), IF($D1534="Consumption", -$C1534*VLOOKUP($B1534, Items!$A:$E, 5, FALSE), "")))</f>
        <v>0</v>
      </c>
      <c r="H1534">
        <f>IF($D1534="Consumption", -$C1534*VLOOKUP($B1534, Items!$A:$E, 5, FALSE), 0)</f>
        <v>0</v>
      </c>
    </row>
    <row r="1535" spans="7:8">
      <c r="G1535">
        <f>IF($D1535="", "", IF($D1535="Receipt", $C1535*VLOOKUP($B1535, Items!$A:$E, 5, FALSE), IF($D1535="Consumption", -$C1535*VLOOKUP($B1535, Items!$A:$E, 5, FALSE), "")))</f>
        <v>0</v>
      </c>
      <c r="H1535">
        <f>IF($D1535="Consumption", -$C1535*VLOOKUP($B1535, Items!$A:$E, 5, FALSE), 0)</f>
        <v>0</v>
      </c>
    </row>
    <row r="1536" spans="7:8">
      <c r="G1536">
        <f>IF($D1536="", "", IF($D1536="Receipt", $C1536*VLOOKUP($B1536, Items!$A:$E, 5, FALSE), IF($D1536="Consumption", -$C1536*VLOOKUP($B1536, Items!$A:$E, 5, FALSE), "")))</f>
        <v>0</v>
      </c>
      <c r="H1536">
        <f>IF($D1536="Consumption", -$C1536*VLOOKUP($B1536, Items!$A:$E, 5, FALSE), 0)</f>
        <v>0</v>
      </c>
    </row>
    <row r="1537" spans="7:8">
      <c r="G1537">
        <f>IF($D1537="", "", IF($D1537="Receipt", $C1537*VLOOKUP($B1537, Items!$A:$E, 5, FALSE), IF($D1537="Consumption", -$C1537*VLOOKUP($B1537, Items!$A:$E, 5, FALSE), "")))</f>
        <v>0</v>
      </c>
      <c r="H1537">
        <f>IF($D1537="Consumption", -$C1537*VLOOKUP($B1537, Items!$A:$E, 5, FALSE), 0)</f>
        <v>0</v>
      </c>
    </row>
    <row r="1538" spans="7:8">
      <c r="G1538">
        <f>IF($D1538="", "", IF($D1538="Receipt", $C1538*VLOOKUP($B1538, Items!$A:$E, 5, FALSE), IF($D1538="Consumption", -$C1538*VLOOKUP($B1538, Items!$A:$E, 5, FALSE), "")))</f>
        <v>0</v>
      </c>
      <c r="H1538">
        <f>IF($D1538="Consumption", -$C1538*VLOOKUP($B1538, Items!$A:$E, 5, FALSE), 0)</f>
        <v>0</v>
      </c>
    </row>
    <row r="1539" spans="7:8">
      <c r="G1539">
        <f>IF($D1539="", "", IF($D1539="Receipt", $C1539*VLOOKUP($B1539, Items!$A:$E, 5, FALSE), IF($D1539="Consumption", -$C1539*VLOOKUP($B1539, Items!$A:$E, 5, FALSE), "")))</f>
        <v>0</v>
      </c>
      <c r="H1539">
        <f>IF($D1539="Consumption", -$C1539*VLOOKUP($B1539, Items!$A:$E, 5, FALSE), 0)</f>
        <v>0</v>
      </c>
    </row>
    <row r="1540" spans="7:8">
      <c r="G1540">
        <f>IF($D1540="", "", IF($D1540="Receipt", $C1540*VLOOKUP($B1540, Items!$A:$E, 5, FALSE), IF($D1540="Consumption", -$C1540*VLOOKUP($B1540, Items!$A:$E, 5, FALSE), "")))</f>
        <v>0</v>
      </c>
      <c r="H1540">
        <f>IF($D1540="Consumption", -$C1540*VLOOKUP($B1540, Items!$A:$E, 5, FALSE), 0)</f>
        <v>0</v>
      </c>
    </row>
    <row r="1541" spans="7:8">
      <c r="G1541">
        <f>IF($D1541="", "", IF($D1541="Receipt", $C1541*VLOOKUP($B1541, Items!$A:$E, 5, FALSE), IF($D1541="Consumption", -$C1541*VLOOKUP($B1541, Items!$A:$E, 5, FALSE), "")))</f>
        <v>0</v>
      </c>
      <c r="H1541">
        <f>IF($D1541="Consumption", -$C1541*VLOOKUP($B1541, Items!$A:$E, 5, FALSE), 0)</f>
        <v>0</v>
      </c>
    </row>
    <row r="1542" spans="7:8">
      <c r="G1542">
        <f>IF($D1542="", "", IF($D1542="Receipt", $C1542*VLOOKUP($B1542, Items!$A:$E, 5, FALSE), IF($D1542="Consumption", -$C1542*VLOOKUP($B1542, Items!$A:$E, 5, FALSE), "")))</f>
        <v>0</v>
      </c>
      <c r="H1542">
        <f>IF($D1542="Consumption", -$C1542*VLOOKUP($B1542, Items!$A:$E, 5, FALSE), 0)</f>
        <v>0</v>
      </c>
    </row>
    <row r="1543" spans="7:8">
      <c r="G1543">
        <f>IF($D1543="", "", IF($D1543="Receipt", $C1543*VLOOKUP($B1543, Items!$A:$E, 5, FALSE), IF($D1543="Consumption", -$C1543*VLOOKUP($B1543, Items!$A:$E, 5, FALSE), "")))</f>
        <v>0</v>
      </c>
      <c r="H1543">
        <f>IF($D1543="Consumption", -$C1543*VLOOKUP($B1543, Items!$A:$E, 5, FALSE), 0)</f>
        <v>0</v>
      </c>
    </row>
    <row r="1544" spans="7:8">
      <c r="G1544">
        <f>IF($D1544="", "", IF($D1544="Receipt", $C1544*VLOOKUP($B1544, Items!$A:$E, 5, FALSE), IF($D1544="Consumption", -$C1544*VLOOKUP($B1544, Items!$A:$E, 5, FALSE), "")))</f>
        <v>0</v>
      </c>
      <c r="H1544">
        <f>IF($D1544="Consumption", -$C1544*VLOOKUP($B1544, Items!$A:$E, 5, FALSE), 0)</f>
        <v>0</v>
      </c>
    </row>
    <row r="1545" spans="7:8">
      <c r="G1545">
        <f>IF($D1545="", "", IF($D1545="Receipt", $C1545*VLOOKUP($B1545, Items!$A:$E, 5, FALSE), IF($D1545="Consumption", -$C1545*VLOOKUP($B1545, Items!$A:$E, 5, FALSE), "")))</f>
        <v>0</v>
      </c>
      <c r="H1545">
        <f>IF($D1545="Consumption", -$C1545*VLOOKUP($B1545, Items!$A:$E, 5, FALSE), 0)</f>
        <v>0</v>
      </c>
    </row>
    <row r="1546" spans="7:8">
      <c r="G1546">
        <f>IF($D1546="", "", IF($D1546="Receipt", $C1546*VLOOKUP($B1546, Items!$A:$E, 5, FALSE), IF($D1546="Consumption", -$C1546*VLOOKUP($B1546, Items!$A:$E, 5, FALSE), "")))</f>
        <v>0</v>
      </c>
      <c r="H1546">
        <f>IF($D1546="Consumption", -$C1546*VLOOKUP($B1546, Items!$A:$E, 5, FALSE), 0)</f>
        <v>0</v>
      </c>
    </row>
    <row r="1547" spans="7:8">
      <c r="G1547">
        <f>IF($D1547="", "", IF($D1547="Receipt", $C1547*VLOOKUP($B1547, Items!$A:$E, 5, FALSE), IF($D1547="Consumption", -$C1547*VLOOKUP($B1547, Items!$A:$E, 5, FALSE), "")))</f>
        <v>0</v>
      </c>
      <c r="H1547">
        <f>IF($D1547="Consumption", -$C1547*VLOOKUP($B1547, Items!$A:$E, 5, FALSE), 0)</f>
        <v>0</v>
      </c>
    </row>
    <row r="1548" spans="7:8">
      <c r="G1548">
        <f>IF($D1548="", "", IF($D1548="Receipt", $C1548*VLOOKUP($B1548, Items!$A:$E, 5, FALSE), IF($D1548="Consumption", -$C1548*VLOOKUP($B1548, Items!$A:$E, 5, FALSE), "")))</f>
        <v>0</v>
      </c>
      <c r="H1548">
        <f>IF($D1548="Consumption", -$C1548*VLOOKUP($B1548, Items!$A:$E, 5, FALSE), 0)</f>
        <v>0</v>
      </c>
    </row>
    <row r="1549" spans="7:8">
      <c r="G1549">
        <f>IF($D1549="", "", IF($D1549="Receipt", $C1549*VLOOKUP($B1549, Items!$A:$E, 5, FALSE), IF($D1549="Consumption", -$C1549*VLOOKUP($B1549, Items!$A:$E, 5, FALSE), "")))</f>
        <v>0</v>
      </c>
      <c r="H1549">
        <f>IF($D1549="Consumption", -$C1549*VLOOKUP($B1549, Items!$A:$E, 5, FALSE), 0)</f>
        <v>0</v>
      </c>
    </row>
    <row r="1550" spans="7:8">
      <c r="G1550">
        <f>IF($D1550="", "", IF($D1550="Receipt", $C1550*VLOOKUP($B1550, Items!$A:$E, 5, FALSE), IF($D1550="Consumption", -$C1550*VLOOKUP($B1550, Items!$A:$E, 5, FALSE), "")))</f>
        <v>0</v>
      </c>
      <c r="H1550">
        <f>IF($D1550="Consumption", -$C1550*VLOOKUP($B1550, Items!$A:$E, 5, FALSE), 0)</f>
        <v>0</v>
      </c>
    </row>
    <row r="1551" spans="7:8">
      <c r="G1551">
        <f>IF($D1551="", "", IF($D1551="Receipt", $C1551*VLOOKUP($B1551, Items!$A:$E, 5, FALSE), IF($D1551="Consumption", -$C1551*VLOOKUP($B1551, Items!$A:$E, 5, FALSE), "")))</f>
        <v>0</v>
      </c>
      <c r="H1551">
        <f>IF($D1551="Consumption", -$C1551*VLOOKUP($B1551, Items!$A:$E, 5, FALSE), 0)</f>
        <v>0</v>
      </c>
    </row>
    <row r="1552" spans="7:8">
      <c r="G1552">
        <f>IF($D1552="", "", IF($D1552="Receipt", $C1552*VLOOKUP($B1552, Items!$A:$E, 5, FALSE), IF($D1552="Consumption", -$C1552*VLOOKUP($B1552, Items!$A:$E, 5, FALSE), "")))</f>
        <v>0</v>
      </c>
      <c r="H1552">
        <f>IF($D1552="Consumption", -$C1552*VLOOKUP($B1552, Items!$A:$E, 5, FALSE), 0)</f>
        <v>0</v>
      </c>
    </row>
    <row r="1553" spans="7:8">
      <c r="G1553">
        <f>IF($D1553="", "", IF($D1553="Receipt", $C1553*VLOOKUP($B1553, Items!$A:$E, 5, FALSE), IF($D1553="Consumption", -$C1553*VLOOKUP($B1553, Items!$A:$E, 5, FALSE), "")))</f>
        <v>0</v>
      </c>
      <c r="H1553">
        <f>IF($D1553="Consumption", -$C1553*VLOOKUP($B1553, Items!$A:$E, 5, FALSE), 0)</f>
        <v>0</v>
      </c>
    </row>
    <row r="1554" spans="7:8">
      <c r="G1554">
        <f>IF($D1554="", "", IF($D1554="Receipt", $C1554*VLOOKUP($B1554, Items!$A:$E, 5, FALSE), IF($D1554="Consumption", -$C1554*VLOOKUP($B1554, Items!$A:$E, 5, FALSE), "")))</f>
        <v>0</v>
      </c>
      <c r="H1554">
        <f>IF($D1554="Consumption", -$C1554*VLOOKUP($B1554, Items!$A:$E, 5, FALSE), 0)</f>
        <v>0</v>
      </c>
    </row>
    <row r="1555" spans="7:8">
      <c r="G1555">
        <f>IF($D1555="", "", IF($D1555="Receipt", $C1555*VLOOKUP($B1555, Items!$A:$E, 5, FALSE), IF($D1555="Consumption", -$C1555*VLOOKUP($B1555, Items!$A:$E, 5, FALSE), "")))</f>
        <v>0</v>
      </c>
      <c r="H1555">
        <f>IF($D1555="Consumption", -$C1555*VLOOKUP($B1555, Items!$A:$E, 5, FALSE), 0)</f>
        <v>0</v>
      </c>
    </row>
    <row r="1556" spans="7:8">
      <c r="G1556">
        <f>IF($D1556="", "", IF($D1556="Receipt", $C1556*VLOOKUP($B1556, Items!$A:$E, 5, FALSE), IF($D1556="Consumption", -$C1556*VLOOKUP($B1556, Items!$A:$E, 5, FALSE), "")))</f>
        <v>0</v>
      </c>
      <c r="H1556">
        <f>IF($D1556="Consumption", -$C1556*VLOOKUP($B1556, Items!$A:$E, 5, FALSE), 0)</f>
        <v>0</v>
      </c>
    </row>
    <row r="1557" spans="7:8">
      <c r="G1557">
        <f>IF($D1557="", "", IF($D1557="Receipt", $C1557*VLOOKUP($B1557, Items!$A:$E, 5, FALSE), IF($D1557="Consumption", -$C1557*VLOOKUP($B1557, Items!$A:$E, 5, FALSE), "")))</f>
        <v>0</v>
      </c>
      <c r="H1557">
        <f>IF($D1557="Consumption", -$C1557*VLOOKUP($B1557, Items!$A:$E, 5, FALSE), 0)</f>
        <v>0</v>
      </c>
    </row>
    <row r="1558" spans="7:8">
      <c r="G1558">
        <f>IF($D1558="", "", IF($D1558="Receipt", $C1558*VLOOKUP($B1558, Items!$A:$E, 5, FALSE), IF($D1558="Consumption", -$C1558*VLOOKUP($B1558, Items!$A:$E, 5, FALSE), "")))</f>
        <v>0</v>
      </c>
      <c r="H1558">
        <f>IF($D1558="Consumption", -$C1558*VLOOKUP($B1558, Items!$A:$E, 5, FALSE), 0)</f>
        <v>0</v>
      </c>
    </row>
    <row r="1559" spans="7:8">
      <c r="G1559">
        <f>IF($D1559="", "", IF($D1559="Receipt", $C1559*VLOOKUP($B1559, Items!$A:$E, 5, FALSE), IF($D1559="Consumption", -$C1559*VLOOKUP($B1559, Items!$A:$E, 5, FALSE), "")))</f>
        <v>0</v>
      </c>
      <c r="H1559">
        <f>IF($D1559="Consumption", -$C1559*VLOOKUP($B1559, Items!$A:$E, 5, FALSE), 0)</f>
        <v>0</v>
      </c>
    </row>
    <row r="1560" spans="7:8">
      <c r="G1560">
        <f>IF($D1560="", "", IF($D1560="Receipt", $C1560*VLOOKUP($B1560, Items!$A:$E, 5, FALSE), IF($D1560="Consumption", -$C1560*VLOOKUP($B1560, Items!$A:$E, 5, FALSE), "")))</f>
        <v>0</v>
      </c>
      <c r="H1560">
        <f>IF($D1560="Consumption", -$C1560*VLOOKUP($B1560, Items!$A:$E, 5, FALSE), 0)</f>
        <v>0</v>
      </c>
    </row>
    <row r="1561" spans="7:8">
      <c r="G1561">
        <f>IF($D1561="", "", IF($D1561="Receipt", $C1561*VLOOKUP($B1561, Items!$A:$E, 5, FALSE), IF($D1561="Consumption", -$C1561*VLOOKUP($B1561, Items!$A:$E, 5, FALSE), "")))</f>
        <v>0</v>
      </c>
      <c r="H1561">
        <f>IF($D1561="Consumption", -$C1561*VLOOKUP($B1561, Items!$A:$E, 5, FALSE), 0)</f>
        <v>0</v>
      </c>
    </row>
    <row r="1562" spans="7:8">
      <c r="G1562">
        <f>IF($D1562="", "", IF($D1562="Receipt", $C1562*VLOOKUP($B1562, Items!$A:$E, 5, FALSE), IF($D1562="Consumption", -$C1562*VLOOKUP($B1562, Items!$A:$E, 5, FALSE), "")))</f>
        <v>0</v>
      </c>
      <c r="H1562">
        <f>IF($D1562="Consumption", -$C1562*VLOOKUP($B1562, Items!$A:$E, 5, FALSE), 0)</f>
        <v>0</v>
      </c>
    </row>
    <row r="1563" spans="7:8">
      <c r="G1563">
        <f>IF($D1563="", "", IF($D1563="Receipt", $C1563*VLOOKUP($B1563, Items!$A:$E, 5, FALSE), IF($D1563="Consumption", -$C1563*VLOOKUP($B1563, Items!$A:$E, 5, FALSE), "")))</f>
        <v>0</v>
      </c>
      <c r="H1563">
        <f>IF($D1563="Consumption", -$C1563*VLOOKUP($B1563, Items!$A:$E, 5, FALSE), 0)</f>
        <v>0</v>
      </c>
    </row>
    <row r="1564" spans="7:8">
      <c r="G1564">
        <f>IF($D1564="", "", IF($D1564="Receipt", $C1564*VLOOKUP($B1564, Items!$A:$E, 5, FALSE), IF($D1564="Consumption", -$C1564*VLOOKUP($B1564, Items!$A:$E, 5, FALSE), "")))</f>
        <v>0</v>
      </c>
      <c r="H1564">
        <f>IF($D1564="Consumption", -$C1564*VLOOKUP($B1564, Items!$A:$E, 5, FALSE), 0)</f>
        <v>0</v>
      </c>
    </row>
    <row r="1565" spans="7:8">
      <c r="G1565">
        <f>IF($D1565="", "", IF($D1565="Receipt", $C1565*VLOOKUP($B1565, Items!$A:$E, 5, FALSE), IF($D1565="Consumption", -$C1565*VLOOKUP($B1565, Items!$A:$E, 5, FALSE), "")))</f>
        <v>0</v>
      </c>
      <c r="H1565">
        <f>IF($D1565="Consumption", -$C1565*VLOOKUP($B1565, Items!$A:$E, 5, FALSE), 0)</f>
        <v>0</v>
      </c>
    </row>
    <row r="1566" spans="7:8">
      <c r="G1566">
        <f>IF($D1566="", "", IF($D1566="Receipt", $C1566*VLOOKUP($B1566, Items!$A:$E, 5, FALSE), IF($D1566="Consumption", -$C1566*VLOOKUP($B1566, Items!$A:$E, 5, FALSE), "")))</f>
        <v>0</v>
      </c>
      <c r="H1566">
        <f>IF($D1566="Consumption", -$C1566*VLOOKUP($B1566, Items!$A:$E, 5, FALSE), 0)</f>
        <v>0</v>
      </c>
    </row>
    <row r="1567" spans="7:8">
      <c r="G1567">
        <f>IF($D1567="", "", IF($D1567="Receipt", $C1567*VLOOKUP($B1567, Items!$A:$E, 5, FALSE), IF($D1567="Consumption", -$C1567*VLOOKUP($B1567, Items!$A:$E, 5, FALSE), "")))</f>
        <v>0</v>
      </c>
      <c r="H1567">
        <f>IF($D1567="Consumption", -$C1567*VLOOKUP($B1567, Items!$A:$E, 5, FALSE), 0)</f>
        <v>0</v>
      </c>
    </row>
    <row r="1568" spans="7:8">
      <c r="G1568">
        <f>IF($D1568="", "", IF($D1568="Receipt", $C1568*VLOOKUP($B1568, Items!$A:$E, 5, FALSE), IF($D1568="Consumption", -$C1568*VLOOKUP($B1568, Items!$A:$E, 5, FALSE), "")))</f>
        <v>0</v>
      </c>
      <c r="H1568">
        <f>IF($D1568="Consumption", -$C1568*VLOOKUP($B1568, Items!$A:$E, 5, FALSE), 0)</f>
        <v>0</v>
      </c>
    </row>
    <row r="1569" spans="7:8">
      <c r="G1569">
        <f>IF($D1569="", "", IF($D1569="Receipt", $C1569*VLOOKUP($B1569, Items!$A:$E, 5, FALSE), IF($D1569="Consumption", -$C1569*VLOOKUP($B1569, Items!$A:$E, 5, FALSE), "")))</f>
        <v>0</v>
      </c>
      <c r="H1569">
        <f>IF($D1569="Consumption", -$C1569*VLOOKUP($B1569, Items!$A:$E, 5, FALSE), 0)</f>
        <v>0</v>
      </c>
    </row>
    <row r="1570" spans="7:8">
      <c r="G1570">
        <f>IF($D1570="", "", IF($D1570="Receipt", $C1570*VLOOKUP($B1570, Items!$A:$E, 5, FALSE), IF($D1570="Consumption", -$C1570*VLOOKUP($B1570, Items!$A:$E, 5, FALSE), "")))</f>
        <v>0</v>
      </c>
      <c r="H1570">
        <f>IF($D1570="Consumption", -$C1570*VLOOKUP($B1570, Items!$A:$E, 5, FALSE), 0)</f>
        <v>0</v>
      </c>
    </row>
    <row r="1571" spans="7:8">
      <c r="G1571">
        <f>IF($D1571="", "", IF($D1571="Receipt", $C1571*VLOOKUP($B1571, Items!$A:$E, 5, FALSE), IF($D1571="Consumption", -$C1571*VLOOKUP($B1571, Items!$A:$E, 5, FALSE), "")))</f>
        <v>0</v>
      </c>
      <c r="H1571">
        <f>IF($D1571="Consumption", -$C1571*VLOOKUP($B1571, Items!$A:$E, 5, FALSE), 0)</f>
        <v>0</v>
      </c>
    </row>
    <row r="1572" spans="7:8">
      <c r="G1572">
        <f>IF($D1572="", "", IF($D1572="Receipt", $C1572*VLOOKUP($B1572, Items!$A:$E, 5, FALSE), IF($D1572="Consumption", -$C1572*VLOOKUP($B1572, Items!$A:$E, 5, FALSE), "")))</f>
        <v>0</v>
      </c>
      <c r="H1572">
        <f>IF($D1572="Consumption", -$C1572*VLOOKUP($B1572, Items!$A:$E, 5, FALSE), 0)</f>
        <v>0</v>
      </c>
    </row>
    <row r="1573" spans="7:8">
      <c r="G1573">
        <f>IF($D1573="", "", IF($D1573="Receipt", $C1573*VLOOKUP($B1573, Items!$A:$E, 5, FALSE), IF($D1573="Consumption", -$C1573*VLOOKUP($B1573, Items!$A:$E, 5, FALSE), "")))</f>
        <v>0</v>
      </c>
      <c r="H1573">
        <f>IF($D1573="Consumption", -$C1573*VLOOKUP($B1573, Items!$A:$E, 5, FALSE), 0)</f>
        <v>0</v>
      </c>
    </row>
    <row r="1574" spans="7:8">
      <c r="G1574">
        <f>IF($D1574="", "", IF($D1574="Receipt", $C1574*VLOOKUP($B1574, Items!$A:$E, 5, FALSE), IF($D1574="Consumption", -$C1574*VLOOKUP($B1574, Items!$A:$E, 5, FALSE), "")))</f>
        <v>0</v>
      </c>
      <c r="H1574">
        <f>IF($D1574="Consumption", -$C1574*VLOOKUP($B1574, Items!$A:$E, 5, FALSE), 0)</f>
        <v>0</v>
      </c>
    </row>
    <row r="1575" spans="7:8">
      <c r="G1575">
        <f>IF($D1575="", "", IF($D1575="Receipt", $C1575*VLOOKUP($B1575, Items!$A:$E, 5, FALSE), IF($D1575="Consumption", -$C1575*VLOOKUP($B1575, Items!$A:$E, 5, FALSE), "")))</f>
        <v>0</v>
      </c>
      <c r="H1575">
        <f>IF($D1575="Consumption", -$C1575*VLOOKUP($B1575, Items!$A:$E, 5, FALSE), 0)</f>
        <v>0</v>
      </c>
    </row>
    <row r="1576" spans="7:8">
      <c r="G1576">
        <f>IF($D1576="", "", IF($D1576="Receipt", $C1576*VLOOKUP($B1576, Items!$A:$E, 5, FALSE), IF($D1576="Consumption", -$C1576*VLOOKUP($B1576, Items!$A:$E, 5, FALSE), "")))</f>
        <v>0</v>
      </c>
      <c r="H1576">
        <f>IF($D1576="Consumption", -$C1576*VLOOKUP($B1576, Items!$A:$E, 5, FALSE), 0)</f>
        <v>0</v>
      </c>
    </row>
    <row r="1577" spans="7:8">
      <c r="G1577">
        <f>IF($D1577="", "", IF($D1577="Receipt", $C1577*VLOOKUP($B1577, Items!$A:$E, 5, FALSE), IF($D1577="Consumption", -$C1577*VLOOKUP($B1577, Items!$A:$E, 5, FALSE), "")))</f>
        <v>0</v>
      </c>
      <c r="H1577">
        <f>IF($D1577="Consumption", -$C1577*VLOOKUP($B1577, Items!$A:$E, 5, FALSE), 0)</f>
        <v>0</v>
      </c>
    </row>
    <row r="1578" spans="7:8">
      <c r="G1578">
        <f>IF($D1578="", "", IF($D1578="Receipt", $C1578*VLOOKUP($B1578, Items!$A:$E, 5, FALSE), IF($D1578="Consumption", -$C1578*VLOOKUP($B1578, Items!$A:$E, 5, FALSE), "")))</f>
        <v>0</v>
      </c>
      <c r="H1578">
        <f>IF($D1578="Consumption", -$C1578*VLOOKUP($B1578, Items!$A:$E, 5, FALSE), 0)</f>
        <v>0</v>
      </c>
    </row>
    <row r="1579" spans="7:8">
      <c r="G1579">
        <f>IF($D1579="", "", IF($D1579="Receipt", $C1579*VLOOKUP($B1579, Items!$A:$E, 5, FALSE), IF($D1579="Consumption", -$C1579*VLOOKUP($B1579, Items!$A:$E, 5, FALSE), "")))</f>
        <v>0</v>
      </c>
      <c r="H1579">
        <f>IF($D1579="Consumption", -$C1579*VLOOKUP($B1579, Items!$A:$E, 5, FALSE), 0)</f>
        <v>0</v>
      </c>
    </row>
    <row r="1580" spans="7:8">
      <c r="G1580">
        <f>IF($D1580="", "", IF($D1580="Receipt", $C1580*VLOOKUP($B1580, Items!$A:$E, 5, FALSE), IF($D1580="Consumption", -$C1580*VLOOKUP($B1580, Items!$A:$E, 5, FALSE), "")))</f>
        <v>0</v>
      </c>
      <c r="H1580">
        <f>IF($D1580="Consumption", -$C1580*VLOOKUP($B1580, Items!$A:$E, 5, FALSE), 0)</f>
        <v>0</v>
      </c>
    </row>
    <row r="1581" spans="7:8">
      <c r="G1581">
        <f>IF($D1581="", "", IF($D1581="Receipt", $C1581*VLOOKUP($B1581, Items!$A:$E, 5, FALSE), IF($D1581="Consumption", -$C1581*VLOOKUP($B1581, Items!$A:$E, 5, FALSE), "")))</f>
        <v>0</v>
      </c>
      <c r="H1581">
        <f>IF($D1581="Consumption", -$C1581*VLOOKUP($B1581, Items!$A:$E, 5, FALSE), 0)</f>
        <v>0</v>
      </c>
    </row>
    <row r="1582" spans="7:8">
      <c r="G1582">
        <f>IF($D1582="", "", IF($D1582="Receipt", $C1582*VLOOKUP($B1582, Items!$A:$E, 5, FALSE), IF($D1582="Consumption", -$C1582*VLOOKUP($B1582, Items!$A:$E, 5, FALSE), "")))</f>
        <v>0</v>
      </c>
      <c r="H1582">
        <f>IF($D1582="Consumption", -$C1582*VLOOKUP($B1582, Items!$A:$E, 5, FALSE), 0)</f>
        <v>0</v>
      </c>
    </row>
    <row r="1583" spans="7:8">
      <c r="G1583">
        <f>IF($D1583="", "", IF($D1583="Receipt", $C1583*VLOOKUP($B1583, Items!$A:$E, 5, FALSE), IF($D1583="Consumption", -$C1583*VLOOKUP($B1583, Items!$A:$E, 5, FALSE), "")))</f>
        <v>0</v>
      </c>
      <c r="H1583">
        <f>IF($D1583="Consumption", -$C1583*VLOOKUP($B1583, Items!$A:$E, 5, FALSE), 0)</f>
        <v>0</v>
      </c>
    </row>
    <row r="1584" spans="7:8">
      <c r="G1584">
        <f>IF($D1584="", "", IF($D1584="Receipt", $C1584*VLOOKUP($B1584, Items!$A:$E, 5, FALSE), IF($D1584="Consumption", -$C1584*VLOOKUP($B1584, Items!$A:$E, 5, FALSE), "")))</f>
        <v>0</v>
      </c>
      <c r="H1584">
        <f>IF($D1584="Consumption", -$C1584*VLOOKUP($B1584, Items!$A:$E, 5, FALSE), 0)</f>
        <v>0</v>
      </c>
    </row>
    <row r="1585" spans="7:8">
      <c r="G1585">
        <f>IF($D1585="", "", IF($D1585="Receipt", $C1585*VLOOKUP($B1585, Items!$A:$E, 5, FALSE), IF($D1585="Consumption", -$C1585*VLOOKUP($B1585, Items!$A:$E, 5, FALSE), "")))</f>
        <v>0</v>
      </c>
      <c r="H1585">
        <f>IF($D1585="Consumption", -$C1585*VLOOKUP($B1585, Items!$A:$E, 5, FALSE), 0)</f>
        <v>0</v>
      </c>
    </row>
    <row r="1586" spans="7:8">
      <c r="G1586">
        <f>IF($D1586="", "", IF($D1586="Receipt", $C1586*VLOOKUP($B1586, Items!$A:$E, 5, FALSE), IF($D1586="Consumption", -$C1586*VLOOKUP($B1586, Items!$A:$E, 5, FALSE), "")))</f>
        <v>0</v>
      </c>
      <c r="H1586">
        <f>IF($D1586="Consumption", -$C1586*VLOOKUP($B1586, Items!$A:$E, 5, FALSE), 0)</f>
        <v>0</v>
      </c>
    </row>
    <row r="1587" spans="7:8">
      <c r="G1587">
        <f>IF($D1587="", "", IF($D1587="Receipt", $C1587*VLOOKUP($B1587, Items!$A:$E, 5, FALSE), IF($D1587="Consumption", -$C1587*VLOOKUP($B1587, Items!$A:$E, 5, FALSE), "")))</f>
        <v>0</v>
      </c>
      <c r="H1587">
        <f>IF($D1587="Consumption", -$C1587*VLOOKUP($B1587, Items!$A:$E, 5, FALSE), 0)</f>
        <v>0</v>
      </c>
    </row>
    <row r="1588" spans="7:8">
      <c r="G1588">
        <f>IF($D1588="", "", IF($D1588="Receipt", $C1588*VLOOKUP($B1588, Items!$A:$E, 5, FALSE), IF($D1588="Consumption", -$C1588*VLOOKUP($B1588, Items!$A:$E, 5, FALSE), "")))</f>
        <v>0</v>
      </c>
      <c r="H1588">
        <f>IF($D1588="Consumption", -$C1588*VLOOKUP($B1588, Items!$A:$E, 5, FALSE), 0)</f>
        <v>0</v>
      </c>
    </row>
    <row r="1589" spans="7:8">
      <c r="G1589">
        <f>IF($D1589="", "", IF($D1589="Receipt", $C1589*VLOOKUP($B1589, Items!$A:$E, 5, FALSE), IF($D1589="Consumption", -$C1589*VLOOKUP($B1589, Items!$A:$E, 5, FALSE), "")))</f>
        <v>0</v>
      </c>
      <c r="H1589">
        <f>IF($D1589="Consumption", -$C1589*VLOOKUP($B1589, Items!$A:$E, 5, FALSE), 0)</f>
        <v>0</v>
      </c>
    </row>
    <row r="1590" spans="7:8">
      <c r="G1590">
        <f>IF($D1590="", "", IF($D1590="Receipt", $C1590*VLOOKUP($B1590, Items!$A:$E, 5, FALSE), IF($D1590="Consumption", -$C1590*VLOOKUP($B1590, Items!$A:$E, 5, FALSE), "")))</f>
        <v>0</v>
      </c>
      <c r="H1590">
        <f>IF($D1590="Consumption", -$C1590*VLOOKUP($B1590, Items!$A:$E, 5, FALSE), 0)</f>
        <v>0</v>
      </c>
    </row>
    <row r="1591" spans="7:8">
      <c r="G1591">
        <f>IF($D1591="", "", IF($D1591="Receipt", $C1591*VLOOKUP($B1591, Items!$A:$E, 5, FALSE), IF($D1591="Consumption", -$C1591*VLOOKUP($B1591, Items!$A:$E, 5, FALSE), "")))</f>
        <v>0</v>
      </c>
      <c r="H1591">
        <f>IF($D1591="Consumption", -$C1591*VLOOKUP($B1591, Items!$A:$E, 5, FALSE), 0)</f>
        <v>0</v>
      </c>
    </row>
    <row r="1592" spans="7:8">
      <c r="G1592">
        <f>IF($D1592="", "", IF($D1592="Receipt", $C1592*VLOOKUP($B1592, Items!$A:$E, 5, FALSE), IF($D1592="Consumption", -$C1592*VLOOKUP($B1592, Items!$A:$E, 5, FALSE), "")))</f>
        <v>0</v>
      </c>
      <c r="H1592">
        <f>IF($D1592="Consumption", -$C1592*VLOOKUP($B1592, Items!$A:$E, 5, FALSE), 0)</f>
        <v>0</v>
      </c>
    </row>
    <row r="1593" spans="7:8">
      <c r="G1593">
        <f>IF($D1593="", "", IF($D1593="Receipt", $C1593*VLOOKUP($B1593, Items!$A:$E, 5, FALSE), IF($D1593="Consumption", -$C1593*VLOOKUP($B1593, Items!$A:$E, 5, FALSE), "")))</f>
        <v>0</v>
      </c>
      <c r="H1593">
        <f>IF($D1593="Consumption", -$C1593*VLOOKUP($B1593, Items!$A:$E, 5, FALSE), 0)</f>
        <v>0</v>
      </c>
    </row>
    <row r="1594" spans="7:8">
      <c r="G1594">
        <f>IF($D1594="", "", IF($D1594="Receipt", $C1594*VLOOKUP($B1594, Items!$A:$E, 5, FALSE), IF($D1594="Consumption", -$C1594*VLOOKUP($B1594, Items!$A:$E, 5, FALSE), "")))</f>
        <v>0</v>
      </c>
      <c r="H1594">
        <f>IF($D1594="Consumption", -$C1594*VLOOKUP($B1594, Items!$A:$E, 5, FALSE), 0)</f>
        <v>0</v>
      </c>
    </row>
    <row r="1595" spans="7:8">
      <c r="G1595">
        <f>IF($D1595="", "", IF($D1595="Receipt", $C1595*VLOOKUP($B1595, Items!$A:$E, 5, FALSE), IF($D1595="Consumption", -$C1595*VLOOKUP($B1595, Items!$A:$E, 5, FALSE), "")))</f>
        <v>0</v>
      </c>
      <c r="H1595">
        <f>IF($D1595="Consumption", -$C1595*VLOOKUP($B1595, Items!$A:$E, 5, FALSE), 0)</f>
        <v>0</v>
      </c>
    </row>
    <row r="1596" spans="7:8">
      <c r="G1596">
        <f>IF($D1596="", "", IF($D1596="Receipt", $C1596*VLOOKUP($B1596, Items!$A:$E, 5, FALSE), IF($D1596="Consumption", -$C1596*VLOOKUP($B1596, Items!$A:$E, 5, FALSE), "")))</f>
        <v>0</v>
      </c>
      <c r="H1596">
        <f>IF($D1596="Consumption", -$C1596*VLOOKUP($B1596, Items!$A:$E, 5, FALSE), 0)</f>
        <v>0</v>
      </c>
    </row>
    <row r="1597" spans="7:8">
      <c r="G1597">
        <f>IF($D1597="", "", IF($D1597="Receipt", $C1597*VLOOKUP($B1597, Items!$A:$E, 5, FALSE), IF($D1597="Consumption", -$C1597*VLOOKUP($B1597, Items!$A:$E, 5, FALSE), "")))</f>
        <v>0</v>
      </c>
      <c r="H1597">
        <f>IF($D1597="Consumption", -$C1597*VLOOKUP($B1597, Items!$A:$E, 5, FALSE), 0)</f>
        <v>0</v>
      </c>
    </row>
    <row r="1598" spans="7:8">
      <c r="G1598">
        <f>IF($D1598="", "", IF($D1598="Receipt", $C1598*VLOOKUP($B1598, Items!$A:$E, 5, FALSE), IF($D1598="Consumption", -$C1598*VLOOKUP($B1598, Items!$A:$E, 5, FALSE), "")))</f>
        <v>0</v>
      </c>
      <c r="H1598">
        <f>IF($D1598="Consumption", -$C1598*VLOOKUP($B1598, Items!$A:$E, 5, FALSE), 0)</f>
        <v>0</v>
      </c>
    </row>
    <row r="1599" spans="7:8">
      <c r="G1599">
        <f>IF($D1599="", "", IF($D1599="Receipt", $C1599*VLOOKUP($B1599, Items!$A:$E, 5, FALSE), IF($D1599="Consumption", -$C1599*VLOOKUP($B1599, Items!$A:$E, 5, FALSE), "")))</f>
        <v>0</v>
      </c>
      <c r="H1599">
        <f>IF($D1599="Consumption", -$C1599*VLOOKUP($B1599, Items!$A:$E, 5, FALSE), 0)</f>
        <v>0</v>
      </c>
    </row>
    <row r="1600" spans="7:8">
      <c r="G1600">
        <f>IF($D1600="", "", IF($D1600="Receipt", $C1600*VLOOKUP($B1600, Items!$A:$E, 5, FALSE), IF($D1600="Consumption", -$C1600*VLOOKUP($B1600, Items!$A:$E, 5, FALSE), "")))</f>
        <v>0</v>
      </c>
      <c r="H1600">
        <f>IF($D1600="Consumption", -$C1600*VLOOKUP($B1600, Items!$A:$E, 5, FALSE), 0)</f>
        <v>0</v>
      </c>
    </row>
    <row r="1601" spans="7:8">
      <c r="G1601">
        <f>IF($D1601="", "", IF($D1601="Receipt", $C1601*VLOOKUP($B1601, Items!$A:$E, 5, FALSE), IF($D1601="Consumption", -$C1601*VLOOKUP($B1601, Items!$A:$E, 5, FALSE), "")))</f>
        <v>0</v>
      </c>
      <c r="H1601">
        <f>IF($D1601="Consumption", -$C1601*VLOOKUP($B1601, Items!$A:$E, 5, FALSE), 0)</f>
        <v>0</v>
      </c>
    </row>
    <row r="1602" spans="7:8">
      <c r="G1602">
        <f>IF($D1602="", "", IF($D1602="Receipt", $C1602*VLOOKUP($B1602, Items!$A:$E, 5, FALSE), IF($D1602="Consumption", -$C1602*VLOOKUP($B1602, Items!$A:$E, 5, FALSE), "")))</f>
        <v>0</v>
      </c>
      <c r="H1602">
        <f>IF($D1602="Consumption", -$C1602*VLOOKUP($B1602, Items!$A:$E, 5, FALSE), 0)</f>
        <v>0</v>
      </c>
    </row>
    <row r="1603" spans="7:8">
      <c r="G1603">
        <f>IF($D1603="", "", IF($D1603="Receipt", $C1603*VLOOKUP($B1603, Items!$A:$E, 5, FALSE), IF($D1603="Consumption", -$C1603*VLOOKUP($B1603, Items!$A:$E, 5, FALSE), "")))</f>
        <v>0</v>
      </c>
      <c r="H1603">
        <f>IF($D1603="Consumption", -$C1603*VLOOKUP($B1603, Items!$A:$E, 5, FALSE), 0)</f>
        <v>0</v>
      </c>
    </row>
    <row r="1604" spans="7:8">
      <c r="G1604">
        <f>IF($D1604="", "", IF($D1604="Receipt", $C1604*VLOOKUP($B1604, Items!$A:$E, 5, FALSE), IF($D1604="Consumption", -$C1604*VLOOKUP($B1604, Items!$A:$E, 5, FALSE), "")))</f>
        <v>0</v>
      </c>
      <c r="H1604">
        <f>IF($D1604="Consumption", -$C1604*VLOOKUP($B1604, Items!$A:$E, 5, FALSE), 0)</f>
        <v>0</v>
      </c>
    </row>
    <row r="1605" spans="7:8">
      <c r="G1605">
        <f>IF($D1605="", "", IF($D1605="Receipt", $C1605*VLOOKUP($B1605, Items!$A:$E, 5, FALSE), IF($D1605="Consumption", -$C1605*VLOOKUP($B1605, Items!$A:$E, 5, FALSE), "")))</f>
        <v>0</v>
      </c>
      <c r="H1605">
        <f>IF($D1605="Consumption", -$C1605*VLOOKUP($B1605, Items!$A:$E, 5, FALSE), 0)</f>
        <v>0</v>
      </c>
    </row>
    <row r="1606" spans="7:8">
      <c r="G1606">
        <f>IF($D1606="", "", IF($D1606="Receipt", $C1606*VLOOKUP($B1606, Items!$A:$E, 5, FALSE), IF($D1606="Consumption", -$C1606*VLOOKUP($B1606, Items!$A:$E, 5, FALSE), "")))</f>
        <v>0</v>
      </c>
      <c r="H1606">
        <f>IF($D1606="Consumption", -$C1606*VLOOKUP($B1606, Items!$A:$E, 5, FALSE), 0)</f>
        <v>0</v>
      </c>
    </row>
    <row r="1607" spans="7:8">
      <c r="G1607">
        <f>IF($D1607="", "", IF($D1607="Receipt", $C1607*VLOOKUP($B1607, Items!$A:$E, 5, FALSE), IF($D1607="Consumption", -$C1607*VLOOKUP($B1607, Items!$A:$E, 5, FALSE), "")))</f>
        <v>0</v>
      </c>
      <c r="H1607">
        <f>IF($D1607="Consumption", -$C1607*VLOOKUP($B1607, Items!$A:$E, 5, FALSE), 0)</f>
        <v>0</v>
      </c>
    </row>
    <row r="1608" spans="7:8">
      <c r="G1608">
        <f>IF($D1608="", "", IF($D1608="Receipt", $C1608*VLOOKUP($B1608, Items!$A:$E, 5, FALSE), IF($D1608="Consumption", -$C1608*VLOOKUP($B1608, Items!$A:$E, 5, FALSE), "")))</f>
        <v>0</v>
      </c>
      <c r="H1608">
        <f>IF($D1608="Consumption", -$C1608*VLOOKUP($B1608, Items!$A:$E, 5, FALSE), 0)</f>
        <v>0</v>
      </c>
    </row>
    <row r="1609" spans="7:8">
      <c r="G1609">
        <f>IF($D1609="", "", IF($D1609="Receipt", $C1609*VLOOKUP($B1609, Items!$A:$E, 5, FALSE), IF($D1609="Consumption", -$C1609*VLOOKUP($B1609, Items!$A:$E, 5, FALSE), "")))</f>
        <v>0</v>
      </c>
      <c r="H1609">
        <f>IF($D1609="Consumption", -$C1609*VLOOKUP($B1609, Items!$A:$E, 5, FALSE), 0)</f>
        <v>0</v>
      </c>
    </row>
    <row r="1610" spans="7:8">
      <c r="G1610">
        <f>IF($D1610="", "", IF($D1610="Receipt", $C1610*VLOOKUP($B1610, Items!$A:$E, 5, FALSE), IF($D1610="Consumption", -$C1610*VLOOKUP($B1610, Items!$A:$E, 5, FALSE), "")))</f>
        <v>0</v>
      </c>
      <c r="H1610">
        <f>IF($D1610="Consumption", -$C1610*VLOOKUP($B1610, Items!$A:$E, 5, FALSE), 0)</f>
        <v>0</v>
      </c>
    </row>
    <row r="1611" spans="7:8">
      <c r="G1611">
        <f>IF($D1611="", "", IF($D1611="Receipt", $C1611*VLOOKUP($B1611, Items!$A:$E, 5, FALSE), IF($D1611="Consumption", -$C1611*VLOOKUP($B1611, Items!$A:$E, 5, FALSE), "")))</f>
        <v>0</v>
      </c>
      <c r="H1611">
        <f>IF($D1611="Consumption", -$C1611*VLOOKUP($B1611, Items!$A:$E, 5, FALSE), 0)</f>
        <v>0</v>
      </c>
    </row>
    <row r="1612" spans="7:8">
      <c r="G1612">
        <f>IF($D1612="", "", IF($D1612="Receipt", $C1612*VLOOKUP($B1612, Items!$A:$E, 5, FALSE), IF($D1612="Consumption", -$C1612*VLOOKUP($B1612, Items!$A:$E, 5, FALSE), "")))</f>
        <v>0</v>
      </c>
      <c r="H1612">
        <f>IF($D1612="Consumption", -$C1612*VLOOKUP($B1612, Items!$A:$E, 5, FALSE), 0)</f>
        <v>0</v>
      </c>
    </row>
    <row r="1613" spans="7:8">
      <c r="G1613">
        <f>IF($D1613="", "", IF($D1613="Receipt", $C1613*VLOOKUP($B1613, Items!$A:$E, 5, FALSE), IF($D1613="Consumption", -$C1613*VLOOKUP($B1613, Items!$A:$E, 5, FALSE), "")))</f>
        <v>0</v>
      </c>
      <c r="H1613">
        <f>IF($D1613="Consumption", -$C1613*VLOOKUP($B1613, Items!$A:$E, 5, FALSE), 0)</f>
        <v>0</v>
      </c>
    </row>
    <row r="1614" spans="7:8">
      <c r="G1614">
        <f>IF($D1614="", "", IF($D1614="Receipt", $C1614*VLOOKUP($B1614, Items!$A:$E, 5, FALSE), IF($D1614="Consumption", -$C1614*VLOOKUP($B1614, Items!$A:$E, 5, FALSE), "")))</f>
        <v>0</v>
      </c>
      <c r="H1614">
        <f>IF($D1614="Consumption", -$C1614*VLOOKUP($B1614, Items!$A:$E, 5, FALSE), 0)</f>
        <v>0</v>
      </c>
    </row>
    <row r="1615" spans="7:8">
      <c r="G1615">
        <f>IF($D1615="", "", IF($D1615="Receipt", $C1615*VLOOKUP($B1615, Items!$A:$E, 5, FALSE), IF($D1615="Consumption", -$C1615*VLOOKUP($B1615, Items!$A:$E, 5, FALSE), "")))</f>
        <v>0</v>
      </c>
      <c r="H1615">
        <f>IF($D1615="Consumption", -$C1615*VLOOKUP($B1615, Items!$A:$E, 5, FALSE), 0)</f>
        <v>0</v>
      </c>
    </row>
    <row r="1616" spans="7:8">
      <c r="G1616">
        <f>IF($D1616="", "", IF($D1616="Receipt", $C1616*VLOOKUP($B1616, Items!$A:$E, 5, FALSE), IF($D1616="Consumption", -$C1616*VLOOKUP($B1616, Items!$A:$E, 5, FALSE), "")))</f>
        <v>0</v>
      </c>
      <c r="H1616">
        <f>IF($D1616="Consumption", -$C1616*VLOOKUP($B1616, Items!$A:$E, 5, FALSE), 0)</f>
        <v>0</v>
      </c>
    </row>
    <row r="1617" spans="7:8">
      <c r="G1617">
        <f>IF($D1617="", "", IF($D1617="Receipt", $C1617*VLOOKUP($B1617, Items!$A:$E, 5, FALSE), IF($D1617="Consumption", -$C1617*VLOOKUP($B1617, Items!$A:$E, 5, FALSE), "")))</f>
        <v>0</v>
      </c>
      <c r="H1617">
        <f>IF($D1617="Consumption", -$C1617*VLOOKUP($B1617, Items!$A:$E, 5, FALSE), 0)</f>
        <v>0</v>
      </c>
    </row>
    <row r="1618" spans="7:8">
      <c r="G1618">
        <f>IF($D1618="", "", IF($D1618="Receipt", $C1618*VLOOKUP($B1618, Items!$A:$E, 5, FALSE), IF($D1618="Consumption", -$C1618*VLOOKUP($B1618, Items!$A:$E, 5, FALSE), "")))</f>
        <v>0</v>
      </c>
      <c r="H1618">
        <f>IF($D1618="Consumption", -$C1618*VLOOKUP($B1618, Items!$A:$E, 5, FALSE), 0)</f>
        <v>0</v>
      </c>
    </row>
    <row r="1619" spans="7:8">
      <c r="G1619">
        <f>IF($D1619="", "", IF($D1619="Receipt", $C1619*VLOOKUP($B1619, Items!$A:$E, 5, FALSE), IF($D1619="Consumption", -$C1619*VLOOKUP($B1619, Items!$A:$E, 5, FALSE), "")))</f>
        <v>0</v>
      </c>
      <c r="H1619">
        <f>IF($D1619="Consumption", -$C1619*VLOOKUP($B1619, Items!$A:$E, 5, FALSE), 0)</f>
        <v>0</v>
      </c>
    </row>
    <row r="1620" spans="7:8">
      <c r="G1620">
        <f>IF($D1620="", "", IF($D1620="Receipt", $C1620*VLOOKUP($B1620, Items!$A:$E, 5, FALSE), IF($D1620="Consumption", -$C1620*VLOOKUP($B1620, Items!$A:$E, 5, FALSE), "")))</f>
        <v>0</v>
      </c>
      <c r="H1620">
        <f>IF($D1620="Consumption", -$C1620*VLOOKUP($B1620, Items!$A:$E, 5, FALSE), 0)</f>
        <v>0</v>
      </c>
    </row>
    <row r="1621" spans="7:8">
      <c r="G1621">
        <f>IF($D1621="", "", IF($D1621="Receipt", $C1621*VLOOKUP($B1621, Items!$A:$E, 5, FALSE), IF($D1621="Consumption", -$C1621*VLOOKUP($B1621, Items!$A:$E, 5, FALSE), "")))</f>
        <v>0</v>
      </c>
      <c r="H1621">
        <f>IF($D1621="Consumption", -$C1621*VLOOKUP($B1621, Items!$A:$E, 5, FALSE), 0)</f>
        <v>0</v>
      </c>
    </row>
    <row r="1622" spans="7:8">
      <c r="G1622">
        <f>IF($D1622="", "", IF($D1622="Receipt", $C1622*VLOOKUP($B1622, Items!$A:$E, 5, FALSE), IF($D1622="Consumption", -$C1622*VLOOKUP($B1622, Items!$A:$E, 5, FALSE), "")))</f>
        <v>0</v>
      </c>
      <c r="H1622">
        <f>IF($D1622="Consumption", -$C1622*VLOOKUP($B1622, Items!$A:$E, 5, FALSE), 0)</f>
        <v>0</v>
      </c>
    </row>
    <row r="1623" spans="7:8">
      <c r="G1623">
        <f>IF($D1623="", "", IF($D1623="Receipt", $C1623*VLOOKUP($B1623, Items!$A:$E, 5, FALSE), IF($D1623="Consumption", -$C1623*VLOOKUP($B1623, Items!$A:$E, 5, FALSE), "")))</f>
        <v>0</v>
      </c>
      <c r="H1623">
        <f>IF($D1623="Consumption", -$C1623*VLOOKUP($B1623, Items!$A:$E, 5, FALSE), 0)</f>
        <v>0</v>
      </c>
    </row>
    <row r="1624" spans="7:8">
      <c r="G1624">
        <f>IF($D1624="", "", IF($D1624="Receipt", $C1624*VLOOKUP($B1624, Items!$A:$E, 5, FALSE), IF($D1624="Consumption", -$C1624*VLOOKUP($B1624, Items!$A:$E, 5, FALSE), "")))</f>
        <v>0</v>
      </c>
      <c r="H1624">
        <f>IF($D1624="Consumption", -$C1624*VLOOKUP($B1624, Items!$A:$E, 5, FALSE), 0)</f>
        <v>0</v>
      </c>
    </row>
    <row r="1625" spans="7:8">
      <c r="G1625">
        <f>IF($D1625="", "", IF($D1625="Receipt", $C1625*VLOOKUP($B1625, Items!$A:$E, 5, FALSE), IF($D1625="Consumption", -$C1625*VLOOKUP($B1625, Items!$A:$E, 5, FALSE), "")))</f>
        <v>0</v>
      </c>
      <c r="H1625">
        <f>IF($D1625="Consumption", -$C1625*VLOOKUP($B1625, Items!$A:$E, 5, FALSE), 0)</f>
        <v>0</v>
      </c>
    </row>
    <row r="1626" spans="7:8">
      <c r="G1626">
        <f>IF($D1626="", "", IF($D1626="Receipt", $C1626*VLOOKUP($B1626, Items!$A:$E, 5, FALSE), IF($D1626="Consumption", -$C1626*VLOOKUP($B1626, Items!$A:$E, 5, FALSE), "")))</f>
        <v>0</v>
      </c>
      <c r="H1626">
        <f>IF($D1626="Consumption", -$C1626*VLOOKUP($B1626, Items!$A:$E, 5, FALSE), 0)</f>
        <v>0</v>
      </c>
    </row>
    <row r="1627" spans="7:8">
      <c r="G1627">
        <f>IF($D1627="", "", IF($D1627="Receipt", $C1627*VLOOKUP($B1627, Items!$A:$E, 5, FALSE), IF($D1627="Consumption", -$C1627*VLOOKUP($B1627, Items!$A:$E, 5, FALSE), "")))</f>
        <v>0</v>
      </c>
      <c r="H1627">
        <f>IF($D1627="Consumption", -$C1627*VLOOKUP($B1627, Items!$A:$E, 5, FALSE), 0)</f>
        <v>0</v>
      </c>
    </row>
    <row r="1628" spans="7:8">
      <c r="G1628">
        <f>IF($D1628="", "", IF($D1628="Receipt", $C1628*VLOOKUP($B1628, Items!$A:$E, 5, FALSE), IF($D1628="Consumption", -$C1628*VLOOKUP($B1628, Items!$A:$E, 5, FALSE), "")))</f>
        <v>0</v>
      </c>
      <c r="H1628">
        <f>IF($D1628="Consumption", -$C1628*VLOOKUP($B1628, Items!$A:$E, 5, FALSE), 0)</f>
        <v>0</v>
      </c>
    </row>
    <row r="1629" spans="7:8">
      <c r="G1629">
        <f>IF($D1629="", "", IF($D1629="Receipt", $C1629*VLOOKUP($B1629, Items!$A:$E, 5, FALSE), IF($D1629="Consumption", -$C1629*VLOOKUP($B1629, Items!$A:$E, 5, FALSE), "")))</f>
        <v>0</v>
      </c>
      <c r="H1629">
        <f>IF($D1629="Consumption", -$C1629*VLOOKUP($B1629, Items!$A:$E, 5, FALSE), 0)</f>
        <v>0</v>
      </c>
    </row>
    <row r="1630" spans="7:8">
      <c r="G1630">
        <f>IF($D1630="", "", IF($D1630="Receipt", $C1630*VLOOKUP($B1630, Items!$A:$E, 5, FALSE), IF($D1630="Consumption", -$C1630*VLOOKUP($B1630, Items!$A:$E, 5, FALSE), "")))</f>
        <v>0</v>
      </c>
      <c r="H1630">
        <f>IF($D1630="Consumption", -$C1630*VLOOKUP($B1630, Items!$A:$E, 5, FALSE), 0)</f>
        <v>0</v>
      </c>
    </row>
    <row r="1631" spans="7:8">
      <c r="G1631">
        <f>IF($D1631="", "", IF($D1631="Receipt", $C1631*VLOOKUP($B1631, Items!$A:$E, 5, FALSE), IF($D1631="Consumption", -$C1631*VLOOKUP($B1631, Items!$A:$E, 5, FALSE), "")))</f>
        <v>0</v>
      </c>
      <c r="H1631">
        <f>IF($D1631="Consumption", -$C1631*VLOOKUP($B1631, Items!$A:$E, 5, FALSE), 0)</f>
        <v>0</v>
      </c>
    </row>
    <row r="1632" spans="7:8">
      <c r="G1632">
        <f>IF($D1632="", "", IF($D1632="Receipt", $C1632*VLOOKUP($B1632, Items!$A:$E, 5, FALSE), IF($D1632="Consumption", -$C1632*VLOOKUP($B1632, Items!$A:$E, 5, FALSE), "")))</f>
        <v>0</v>
      </c>
      <c r="H1632">
        <f>IF($D1632="Consumption", -$C1632*VLOOKUP($B1632, Items!$A:$E, 5, FALSE), 0)</f>
        <v>0</v>
      </c>
    </row>
    <row r="1633" spans="7:8">
      <c r="G1633">
        <f>IF($D1633="", "", IF($D1633="Receipt", $C1633*VLOOKUP($B1633, Items!$A:$E, 5, FALSE), IF($D1633="Consumption", -$C1633*VLOOKUP($B1633, Items!$A:$E, 5, FALSE), "")))</f>
        <v>0</v>
      </c>
      <c r="H1633">
        <f>IF($D1633="Consumption", -$C1633*VLOOKUP($B1633, Items!$A:$E, 5, FALSE), 0)</f>
        <v>0</v>
      </c>
    </row>
    <row r="1634" spans="7:8">
      <c r="G1634">
        <f>IF($D1634="", "", IF($D1634="Receipt", $C1634*VLOOKUP($B1634, Items!$A:$E, 5, FALSE), IF($D1634="Consumption", -$C1634*VLOOKUP($B1634, Items!$A:$E, 5, FALSE), "")))</f>
        <v>0</v>
      </c>
      <c r="H1634">
        <f>IF($D1634="Consumption", -$C1634*VLOOKUP($B1634, Items!$A:$E, 5, FALSE), 0)</f>
        <v>0</v>
      </c>
    </row>
    <row r="1635" spans="7:8">
      <c r="G1635">
        <f>IF($D1635="", "", IF($D1635="Receipt", $C1635*VLOOKUP($B1635, Items!$A:$E, 5, FALSE), IF($D1635="Consumption", -$C1635*VLOOKUP($B1635, Items!$A:$E, 5, FALSE), "")))</f>
        <v>0</v>
      </c>
      <c r="H1635">
        <f>IF($D1635="Consumption", -$C1635*VLOOKUP($B1635, Items!$A:$E, 5, FALSE), 0)</f>
        <v>0</v>
      </c>
    </row>
    <row r="1636" spans="7:8">
      <c r="G1636">
        <f>IF($D1636="", "", IF($D1636="Receipt", $C1636*VLOOKUP($B1636, Items!$A:$E, 5, FALSE), IF($D1636="Consumption", -$C1636*VLOOKUP($B1636, Items!$A:$E, 5, FALSE), "")))</f>
        <v>0</v>
      </c>
      <c r="H1636">
        <f>IF($D1636="Consumption", -$C1636*VLOOKUP($B1636, Items!$A:$E, 5, FALSE), 0)</f>
        <v>0</v>
      </c>
    </row>
    <row r="1637" spans="7:8">
      <c r="G1637">
        <f>IF($D1637="", "", IF($D1637="Receipt", $C1637*VLOOKUP($B1637, Items!$A:$E, 5, FALSE), IF($D1637="Consumption", -$C1637*VLOOKUP($B1637, Items!$A:$E, 5, FALSE), "")))</f>
        <v>0</v>
      </c>
      <c r="H1637">
        <f>IF($D1637="Consumption", -$C1637*VLOOKUP($B1637, Items!$A:$E, 5, FALSE), 0)</f>
        <v>0</v>
      </c>
    </row>
    <row r="1638" spans="7:8">
      <c r="G1638">
        <f>IF($D1638="", "", IF($D1638="Receipt", $C1638*VLOOKUP($B1638, Items!$A:$E, 5, FALSE), IF($D1638="Consumption", -$C1638*VLOOKUP($B1638, Items!$A:$E, 5, FALSE), "")))</f>
        <v>0</v>
      </c>
      <c r="H1638">
        <f>IF($D1638="Consumption", -$C1638*VLOOKUP($B1638, Items!$A:$E, 5, FALSE), 0)</f>
        <v>0</v>
      </c>
    </row>
    <row r="1639" spans="7:8">
      <c r="G1639">
        <f>IF($D1639="", "", IF($D1639="Receipt", $C1639*VLOOKUP($B1639, Items!$A:$E, 5, FALSE), IF($D1639="Consumption", -$C1639*VLOOKUP($B1639, Items!$A:$E, 5, FALSE), "")))</f>
        <v>0</v>
      </c>
      <c r="H1639">
        <f>IF($D1639="Consumption", -$C1639*VLOOKUP($B1639, Items!$A:$E, 5, FALSE), 0)</f>
        <v>0</v>
      </c>
    </row>
    <row r="1640" spans="7:8">
      <c r="G1640">
        <f>IF($D1640="", "", IF($D1640="Receipt", $C1640*VLOOKUP($B1640, Items!$A:$E, 5, FALSE), IF($D1640="Consumption", -$C1640*VLOOKUP($B1640, Items!$A:$E, 5, FALSE), "")))</f>
        <v>0</v>
      </c>
      <c r="H1640">
        <f>IF($D1640="Consumption", -$C1640*VLOOKUP($B1640, Items!$A:$E, 5, FALSE), 0)</f>
        <v>0</v>
      </c>
    </row>
    <row r="1641" spans="7:8">
      <c r="G1641">
        <f>IF($D1641="", "", IF($D1641="Receipt", $C1641*VLOOKUP($B1641, Items!$A:$E, 5, FALSE), IF($D1641="Consumption", -$C1641*VLOOKUP($B1641, Items!$A:$E, 5, FALSE), "")))</f>
        <v>0</v>
      </c>
      <c r="H1641">
        <f>IF($D1641="Consumption", -$C1641*VLOOKUP($B1641, Items!$A:$E, 5, FALSE), 0)</f>
        <v>0</v>
      </c>
    </row>
    <row r="1642" spans="7:8">
      <c r="G1642">
        <f>IF($D1642="", "", IF($D1642="Receipt", $C1642*VLOOKUP($B1642, Items!$A:$E, 5, FALSE), IF($D1642="Consumption", -$C1642*VLOOKUP($B1642, Items!$A:$E, 5, FALSE), "")))</f>
        <v>0</v>
      </c>
      <c r="H1642">
        <f>IF($D1642="Consumption", -$C1642*VLOOKUP($B1642, Items!$A:$E, 5, FALSE), 0)</f>
        <v>0</v>
      </c>
    </row>
    <row r="1643" spans="7:8">
      <c r="G1643">
        <f>IF($D1643="", "", IF($D1643="Receipt", $C1643*VLOOKUP($B1643, Items!$A:$E, 5, FALSE), IF($D1643="Consumption", -$C1643*VLOOKUP($B1643, Items!$A:$E, 5, FALSE), "")))</f>
        <v>0</v>
      </c>
      <c r="H1643">
        <f>IF($D1643="Consumption", -$C1643*VLOOKUP($B1643, Items!$A:$E, 5, FALSE), 0)</f>
        <v>0</v>
      </c>
    </row>
    <row r="1644" spans="7:8">
      <c r="G1644">
        <f>IF($D1644="", "", IF($D1644="Receipt", $C1644*VLOOKUP($B1644, Items!$A:$E, 5, FALSE), IF($D1644="Consumption", -$C1644*VLOOKUP($B1644, Items!$A:$E, 5, FALSE), "")))</f>
        <v>0</v>
      </c>
      <c r="H1644">
        <f>IF($D1644="Consumption", -$C1644*VLOOKUP($B1644, Items!$A:$E, 5, FALSE), 0)</f>
        <v>0</v>
      </c>
    </row>
    <row r="1645" spans="7:8">
      <c r="G1645">
        <f>IF($D1645="", "", IF($D1645="Receipt", $C1645*VLOOKUP($B1645, Items!$A:$E, 5, FALSE), IF($D1645="Consumption", -$C1645*VLOOKUP($B1645, Items!$A:$E, 5, FALSE), "")))</f>
        <v>0</v>
      </c>
      <c r="H1645">
        <f>IF($D1645="Consumption", -$C1645*VLOOKUP($B1645, Items!$A:$E, 5, FALSE), 0)</f>
        <v>0</v>
      </c>
    </row>
    <row r="1646" spans="7:8">
      <c r="G1646">
        <f>IF($D1646="", "", IF($D1646="Receipt", $C1646*VLOOKUP($B1646, Items!$A:$E, 5, FALSE), IF($D1646="Consumption", -$C1646*VLOOKUP($B1646, Items!$A:$E, 5, FALSE), "")))</f>
        <v>0</v>
      </c>
      <c r="H1646">
        <f>IF($D1646="Consumption", -$C1646*VLOOKUP($B1646, Items!$A:$E, 5, FALSE), 0)</f>
        <v>0</v>
      </c>
    </row>
    <row r="1647" spans="7:8">
      <c r="G1647">
        <f>IF($D1647="", "", IF($D1647="Receipt", $C1647*VLOOKUP($B1647, Items!$A:$E, 5, FALSE), IF($D1647="Consumption", -$C1647*VLOOKUP($B1647, Items!$A:$E, 5, FALSE), "")))</f>
        <v>0</v>
      </c>
      <c r="H1647">
        <f>IF($D1647="Consumption", -$C1647*VLOOKUP($B1647, Items!$A:$E, 5, FALSE), 0)</f>
        <v>0</v>
      </c>
    </row>
    <row r="1648" spans="7:8">
      <c r="G1648">
        <f>IF($D1648="", "", IF($D1648="Receipt", $C1648*VLOOKUP($B1648, Items!$A:$E, 5, FALSE), IF($D1648="Consumption", -$C1648*VLOOKUP($B1648, Items!$A:$E, 5, FALSE), "")))</f>
        <v>0</v>
      </c>
      <c r="H1648">
        <f>IF($D1648="Consumption", -$C1648*VLOOKUP($B1648, Items!$A:$E, 5, FALSE), 0)</f>
        <v>0</v>
      </c>
    </row>
    <row r="1649" spans="7:8">
      <c r="G1649">
        <f>IF($D1649="", "", IF($D1649="Receipt", $C1649*VLOOKUP($B1649, Items!$A:$E, 5, FALSE), IF($D1649="Consumption", -$C1649*VLOOKUP($B1649, Items!$A:$E, 5, FALSE), "")))</f>
        <v>0</v>
      </c>
      <c r="H1649">
        <f>IF($D1649="Consumption", -$C1649*VLOOKUP($B1649, Items!$A:$E, 5, FALSE), 0)</f>
        <v>0</v>
      </c>
    </row>
    <row r="1650" spans="7:8">
      <c r="G1650">
        <f>IF($D1650="", "", IF($D1650="Receipt", $C1650*VLOOKUP($B1650, Items!$A:$E, 5, FALSE), IF($D1650="Consumption", -$C1650*VLOOKUP($B1650, Items!$A:$E, 5, FALSE), "")))</f>
        <v>0</v>
      </c>
      <c r="H1650">
        <f>IF($D1650="Consumption", -$C1650*VLOOKUP($B1650, Items!$A:$E, 5, FALSE), 0)</f>
        <v>0</v>
      </c>
    </row>
    <row r="1651" spans="7:8">
      <c r="G1651">
        <f>IF($D1651="", "", IF($D1651="Receipt", $C1651*VLOOKUP($B1651, Items!$A:$E, 5, FALSE), IF($D1651="Consumption", -$C1651*VLOOKUP($B1651, Items!$A:$E, 5, FALSE), "")))</f>
        <v>0</v>
      </c>
      <c r="H1651">
        <f>IF($D1651="Consumption", -$C1651*VLOOKUP($B1651, Items!$A:$E, 5, FALSE), 0)</f>
        <v>0</v>
      </c>
    </row>
    <row r="1652" spans="7:8">
      <c r="G1652">
        <f>IF($D1652="", "", IF($D1652="Receipt", $C1652*VLOOKUP($B1652, Items!$A:$E, 5, FALSE), IF($D1652="Consumption", -$C1652*VLOOKUP($B1652, Items!$A:$E, 5, FALSE), "")))</f>
        <v>0</v>
      </c>
      <c r="H1652">
        <f>IF($D1652="Consumption", -$C1652*VLOOKUP($B1652, Items!$A:$E, 5, FALSE), 0)</f>
        <v>0</v>
      </c>
    </row>
    <row r="1653" spans="7:8">
      <c r="G1653">
        <f>IF($D1653="", "", IF($D1653="Receipt", $C1653*VLOOKUP($B1653, Items!$A:$E, 5, FALSE), IF($D1653="Consumption", -$C1653*VLOOKUP($B1653, Items!$A:$E, 5, FALSE), "")))</f>
        <v>0</v>
      </c>
      <c r="H1653">
        <f>IF($D1653="Consumption", -$C1653*VLOOKUP($B1653, Items!$A:$E, 5, FALSE), 0)</f>
        <v>0</v>
      </c>
    </row>
    <row r="1654" spans="7:8">
      <c r="G1654">
        <f>IF($D1654="", "", IF($D1654="Receipt", $C1654*VLOOKUP($B1654, Items!$A:$E, 5, FALSE), IF($D1654="Consumption", -$C1654*VLOOKUP($B1654, Items!$A:$E, 5, FALSE), "")))</f>
        <v>0</v>
      </c>
      <c r="H1654">
        <f>IF($D1654="Consumption", -$C1654*VLOOKUP($B1654, Items!$A:$E, 5, FALSE), 0)</f>
        <v>0</v>
      </c>
    </row>
    <row r="1655" spans="7:8">
      <c r="G1655">
        <f>IF($D1655="", "", IF($D1655="Receipt", $C1655*VLOOKUP($B1655, Items!$A:$E, 5, FALSE), IF($D1655="Consumption", -$C1655*VLOOKUP($B1655, Items!$A:$E, 5, FALSE), "")))</f>
        <v>0</v>
      </c>
      <c r="H1655">
        <f>IF($D1655="Consumption", -$C1655*VLOOKUP($B1655, Items!$A:$E, 5, FALSE), 0)</f>
        <v>0</v>
      </c>
    </row>
    <row r="1656" spans="7:8">
      <c r="G1656">
        <f>IF($D1656="", "", IF($D1656="Receipt", $C1656*VLOOKUP($B1656, Items!$A:$E, 5, FALSE), IF($D1656="Consumption", -$C1656*VLOOKUP($B1656, Items!$A:$E, 5, FALSE), "")))</f>
        <v>0</v>
      </c>
      <c r="H1656">
        <f>IF($D1656="Consumption", -$C1656*VLOOKUP($B1656, Items!$A:$E, 5, FALSE), 0)</f>
        <v>0</v>
      </c>
    </row>
    <row r="1657" spans="7:8">
      <c r="G1657">
        <f>IF($D1657="", "", IF($D1657="Receipt", $C1657*VLOOKUP($B1657, Items!$A:$E, 5, FALSE), IF($D1657="Consumption", -$C1657*VLOOKUP($B1657, Items!$A:$E, 5, FALSE), "")))</f>
        <v>0</v>
      </c>
      <c r="H1657">
        <f>IF($D1657="Consumption", -$C1657*VLOOKUP($B1657, Items!$A:$E, 5, FALSE), 0)</f>
        <v>0</v>
      </c>
    </row>
    <row r="1658" spans="7:8">
      <c r="G1658">
        <f>IF($D1658="", "", IF($D1658="Receipt", $C1658*VLOOKUP($B1658, Items!$A:$E, 5, FALSE), IF($D1658="Consumption", -$C1658*VLOOKUP($B1658, Items!$A:$E, 5, FALSE), "")))</f>
        <v>0</v>
      </c>
      <c r="H1658">
        <f>IF($D1658="Consumption", -$C1658*VLOOKUP($B1658, Items!$A:$E, 5, FALSE), 0)</f>
        <v>0</v>
      </c>
    </row>
    <row r="1659" spans="7:8">
      <c r="G1659">
        <f>IF($D1659="", "", IF($D1659="Receipt", $C1659*VLOOKUP($B1659, Items!$A:$E, 5, FALSE), IF($D1659="Consumption", -$C1659*VLOOKUP($B1659, Items!$A:$E, 5, FALSE), "")))</f>
        <v>0</v>
      </c>
      <c r="H1659">
        <f>IF($D1659="Consumption", -$C1659*VLOOKUP($B1659, Items!$A:$E, 5, FALSE), 0)</f>
        <v>0</v>
      </c>
    </row>
    <row r="1660" spans="7:8">
      <c r="G1660">
        <f>IF($D1660="", "", IF($D1660="Receipt", $C1660*VLOOKUP($B1660, Items!$A:$E, 5, FALSE), IF($D1660="Consumption", -$C1660*VLOOKUP($B1660, Items!$A:$E, 5, FALSE), "")))</f>
        <v>0</v>
      </c>
      <c r="H1660">
        <f>IF($D1660="Consumption", -$C1660*VLOOKUP($B1660, Items!$A:$E, 5, FALSE), 0)</f>
        <v>0</v>
      </c>
    </row>
    <row r="1661" spans="7:8">
      <c r="G1661">
        <f>IF($D1661="", "", IF($D1661="Receipt", $C1661*VLOOKUP($B1661, Items!$A:$E, 5, FALSE), IF($D1661="Consumption", -$C1661*VLOOKUP($B1661, Items!$A:$E, 5, FALSE), "")))</f>
        <v>0</v>
      </c>
      <c r="H1661">
        <f>IF($D1661="Consumption", -$C1661*VLOOKUP($B1661, Items!$A:$E, 5, FALSE), 0)</f>
        <v>0</v>
      </c>
    </row>
    <row r="1662" spans="7:8">
      <c r="G1662">
        <f>IF($D1662="", "", IF($D1662="Receipt", $C1662*VLOOKUP($B1662, Items!$A:$E, 5, FALSE), IF($D1662="Consumption", -$C1662*VLOOKUP($B1662, Items!$A:$E, 5, FALSE), "")))</f>
        <v>0</v>
      </c>
      <c r="H1662">
        <f>IF($D1662="Consumption", -$C1662*VLOOKUP($B1662, Items!$A:$E, 5, FALSE), 0)</f>
        <v>0</v>
      </c>
    </row>
    <row r="1663" spans="7:8">
      <c r="G1663">
        <f>IF($D1663="", "", IF($D1663="Receipt", $C1663*VLOOKUP($B1663, Items!$A:$E, 5, FALSE), IF($D1663="Consumption", -$C1663*VLOOKUP($B1663, Items!$A:$E, 5, FALSE), "")))</f>
        <v>0</v>
      </c>
      <c r="H1663">
        <f>IF($D1663="Consumption", -$C1663*VLOOKUP($B1663, Items!$A:$E, 5, FALSE), 0)</f>
        <v>0</v>
      </c>
    </row>
    <row r="1664" spans="7:8">
      <c r="G1664">
        <f>IF($D1664="", "", IF($D1664="Receipt", $C1664*VLOOKUP($B1664, Items!$A:$E, 5, FALSE), IF($D1664="Consumption", -$C1664*VLOOKUP($B1664, Items!$A:$E, 5, FALSE), "")))</f>
        <v>0</v>
      </c>
      <c r="H1664">
        <f>IF($D1664="Consumption", -$C1664*VLOOKUP($B1664, Items!$A:$E, 5, FALSE), 0)</f>
        <v>0</v>
      </c>
    </row>
    <row r="1665" spans="7:8">
      <c r="G1665">
        <f>IF($D1665="", "", IF($D1665="Receipt", $C1665*VLOOKUP($B1665, Items!$A:$E, 5, FALSE), IF($D1665="Consumption", -$C1665*VLOOKUP($B1665, Items!$A:$E, 5, FALSE), "")))</f>
        <v>0</v>
      </c>
      <c r="H1665">
        <f>IF($D1665="Consumption", -$C1665*VLOOKUP($B1665, Items!$A:$E, 5, FALSE), 0)</f>
        <v>0</v>
      </c>
    </row>
    <row r="1666" spans="7:8">
      <c r="G1666">
        <f>IF($D1666="", "", IF($D1666="Receipt", $C1666*VLOOKUP($B1666, Items!$A:$E, 5, FALSE), IF($D1666="Consumption", -$C1666*VLOOKUP($B1666, Items!$A:$E, 5, FALSE), "")))</f>
        <v>0</v>
      </c>
      <c r="H1666">
        <f>IF($D1666="Consumption", -$C1666*VLOOKUP($B1666, Items!$A:$E, 5, FALSE), 0)</f>
        <v>0</v>
      </c>
    </row>
    <row r="1667" spans="7:8">
      <c r="G1667">
        <f>IF($D1667="", "", IF($D1667="Receipt", $C1667*VLOOKUP($B1667, Items!$A:$E, 5, FALSE), IF($D1667="Consumption", -$C1667*VLOOKUP($B1667, Items!$A:$E, 5, FALSE), "")))</f>
        <v>0</v>
      </c>
      <c r="H1667">
        <f>IF($D1667="Consumption", -$C1667*VLOOKUP($B1667, Items!$A:$E, 5, FALSE), 0)</f>
        <v>0</v>
      </c>
    </row>
    <row r="1668" spans="7:8">
      <c r="G1668">
        <f>IF($D1668="", "", IF($D1668="Receipt", $C1668*VLOOKUP($B1668, Items!$A:$E, 5, FALSE), IF($D1668="Consumption", -$C1668*VLOOKUP($B1668, Items!$A:$E, 5, FALSE), "")))</f>
        <v>0</v>
      </c>
      <c r="H1668">
        <f>IF($D1668="Consumption", -$C1668*VLOOKUP($B1668, Items!$A:$E, 5, FALSE), 0)</f>
        <v>0</v>
      </c>
    </row>
    <row r="1669" spans="7:8">
      <c r="G1669">
        <f>IF($D1669="", "", IF($D1669="Receipt", $C1669*VLOOKUP($B1669, Items!$A:$E, 5, FALSE), IF($D1669="Consumption", -$C1669*VLOOKUP($B1669, Items!$A:$E, 5, FALSE), "")))</f>
        <v>0</v>
      </c>
      <c r="H1669">
        <f>IF($D1669="Consumption", -$C1669*VLOOKUP($B1669, Items!$A:$E, 5, FALSE), 0)</f>
        <v>0</v>
      </c>
    </row>
    <row r="1670" spans="7:8">
      <c r="G1670">
        <f>IF($D1670="", "", IF($D1670="Receipt", $C1670*VLOOKUP($B1670, Items!$A:$E, 5, FALSE), IF($D1670="Consumption", -$C1670*VLOOKUP($B1670, Items!$A:$E, 5, FALSE), "")))</f>
        <v>0</v>
      </c>
      <c r="H1670">
        <f>IF($D1670="Consumption", -$C1670*VLOOKUP($B1670, Items!$A:$E, 5, FALSE), 0)</f>
        <v>0</v>
      </c>
    </row>
    <row r="1671" spans="7:8">
      <c r="G1671">
        <f>IF($D1671="", "", IF($D1671="Receipt", $C1671*VLOOKUP($B1671, Items!$A:$E, 5, FALSE), IF($D1671="Consumption", -$C1671*VLOOKUP($B1671, Items!$A:$E, 5, FALSE), "")))</f>
        <v>0</v>
      </c>
      <c r="H1671">
        <f>IF($D1671="Consumption", -$C1671*VLOOKUP($B1671, Items!$A:$E, 5, FALSE), 0)</f>
        <v>0</v>
      </c>
    </row>
    <row r="1672" spans="7:8">
      <c r="G1672">
        <f>IF($D1672="", "", IF($D1672="Receipt", $C1672*VLOOKUP($B1672, Items!$A:$E, 5, FALSE), IF($D1672="Consumption", -$C1672*VLOOKUP($B1672, Items!$A:$E, 5, FALSE), "")))</f>
        <v>0</v>
      </c>
      <c r="H1672">
        <f>IF($D1672="Consumption", -$C1672*VLOOKUP($B1672, Items!$A:$E, 5, FALSE), 0)</f>
        <v>0</v>
      </c>
    </row>
    <row r="1673" spans="7:8">
      <c r="G1673">
        <f>IF($D1673="", "", IF($D1673="Receipt", $C1673*VLOOKUP($B1673, Items!$A:$E, 5, FALSE), IF($D1673="Consumption", -$C1673*VLOOKUP($B1673, Items!$A:$E, 5, FALSE), "")))</f>
        <v>0</v>
      </c>
      <c r="H1673">
        <f>IF($D1673="Consumption", -$C1673*VLOOKUP($B1673, Items!$A:$E, 5, FALSE), 0)</f>
        <v>0</v>
      </c>
    </row>
    <row r="1674" spans="7:8">
      <c r="G1674">
        <f>IF($D1674="", "", IF($D1674="Receipt", $C1674*VLOOKUP($B1674, Items!$A:$E, 5, FALSE), IF($D1674="Consumption", -$C1674*VLOOKUP($B1674, Items!$A:$E, 5, FALSE), "")))</f>
        <v>0</v>
      </c>
      <c r="H1674">
        <f>IF($D1674="Consumption", -$C1674*VLOOKUP($B1674, Items!$A:$E, 5, FALSE), 0)</f>
        <v>0</v>
      </c>
    </row>
    <row r="1675" spans="7:8">
      <c r="G1675">
        <f>IF($D1675="", "", IF($D1675="Receipt", $C1675*VLOOKUP($B1675, Items!$A:$E, 5, FALSE), IF($D1675="Consumption", -$C1675*VLOOKUP($B1675, Items!$A:$E, 5, FALSE), "")))</f>
        <v>0</v>
      </c>
      <c r="H1675">
        <f>IF($D1675="Consumption", -$C1675*VLOOKUP($B1675, Items!$A:$E, 5, FALSE), 0)</f>
        <v>0</v>
      </c>
    </row>
    <row r="1676" spans="7:8">
      <c r="G1676">
        <f>IF($D1676="", "", IF($D1676="Receipt", $C1676*VLOOKUP($B1676, Items!$A:$E, 5, FALSE), IF($D1676="Consumption", -$C1676*VLOOKUP($B1676, Items!$A:$E, 5, FALSE), "")))</f>
        <v>0</v>
      </c>
      <c r="H1676">
        <f>IF($D1676="Consumption", -$C1676*VLOOKUP($B1676, Items!$A:$E, 5, FALSE), 0)</f>
        <v>0</v>
      </c>
    </row>
    <row r="1677" spans="7:8">
      <c r="G1677">
        <f>IF($D1677="", "", IF($D1677="Receipt", $C1677*VLOOKUP($B1677, Items!$A:$E, 5, FALSE), IF($D1677="Consumption", -$C1677*VLOOKUP($B1677, Items!$A:$E, 5, FALSE), "")))</f>
        <v>0</v>
      </c>
      <c r="H1677">
        <f>IF($D1677="Consumption", -$C1677*VLOOKUP($B1677, Items!$A:$E, 5, FALSE), 0)</f>
        <v>0</v>
      </c>
    </row>
    <row r="1678" spans="7:8">
      <c r="G1678">
        <f>IF($D1678="", "", IF($D1678="Receipt", $C1678*VLOOKUP($B1678, Items!$A:$E, 5, FALSE), IF($D1678="Consumption", -$C1678*VLOOKUP($B1678, Items!$A:$E, 5, FALSE), "")))</f>
        <v>0</v>
      </c>
      <c r="H1678">
        <f>IF($D1678="Consumption", -$C1678*VLOOKUP($B1678, Items!$A:$E, 5, FALSE), 0)</f>
        <v>0</v>
      </c>
    </row>
    <row r="1679" spans="7:8">
      <c r="G1679">
        <f>IF($D1679="", "", IF($D1679="Receipt", $C1679*VLOOKUP($B1679, Items!$A:$E, 5, FALSE), IF($D1679="Consumption", -$C1679*VLOOKUP($B1679, Items!$A:$E, 5, FALSE), "")))</f>
        <v>0</v>
      </c>
      <c r="H1679">
        <f>IF($D1679="Consumption", -$C1679*VLOOKUP($B1679, Items!$A:$E, 5, FALSE), 0)</f>
        <v>0</v>
      </c>
    </row>
    <row r="1680" spans="7:8">
      <c r="G1680">
        <f>IF($D1680="", "", IF($D1680="Receipt", $C1680*VLOOKUP($B1680, Items!$A:$E, 5, FALSE), IF($D1680="Consumption", -$C1680*VLOOKUP($B1680, Items!$A:$E, 5, FALSE), "")))</f>
        <v>0</v>
      </c>
      <c r="H1680">
        <f>IF($D1680="Consumption", -$C1680*VLOOKUP($B1680, Items!$A:$E, 5, FALSE), 0)</f>
        <v>0</v>
      </c>
    </row>
    <row r="1681" spans="7:8">
      <c r="G1681">
        <f>IF($D1681="", "", IF($D1681="Receipt", $C1681*VLOOKUP($B1681, Items!$A:$E, 5, FALSE), IF($D1681="Consumption", -$C1681*VLOOKUP($B1681, Items!$A:$E, 5, FALSE), "")))</f>
        <v>0</v>
      </c>
      <c r="H1681">
        <f>IF($D1681="Consumption", -$C1681*VLOOKUP($B1681, Items!$A:$E, 5, FALSE), 0)</f>
        <v>0</v>
      </c>
    </row>
    <row r="1682" spans="7:8">
      <c r="G1682">
        <f>IF($D1682="", "", IF($D1682="Receipt", $C1682*VLOOKUP($B1682, Items!$A:$E, 5, FALSE), IF($D1682="Consumption", -$C1682*VLOOKUP($B1682, Items!$A:$E, 5, FALSE), "")))</f>
        <v>0</v>
      </c>
      <c r="H1682">
        <f>IF($D1682="Consumption", -$C1682*VLOOKUP($B1682, Items!$A:$E, 5, FALSE), 0)</f>
        <v>0</v>
      </c>
    </row>
    <row r="1683" spans="7:8">
      <c r="G1683">
        <f>IF($D1683="", "", IF($D1683="Receipt", $C1683*VLOOKUP($B1683, Items!$A:$E, 5, FALSE), IF($D1683="Consumption", -$C1683*VLOOKUP($B1683, Items!$A:$E, 5, FALSE), "")))</f>
        <v>0</v>
      </c>
      <c r="H1683">
        <f>IF($D1683="Consumption", -$C1683*VLOOKUP($B1683, Items!$A:$E, 5, FALSE), 0)</f>
        <v>0</v>
      </c>
    </row>
    <row r="1684" spans="7:8">
      <c r="G1684">
        <f>IF($D1684="", "", IF($D1684="Receipt", $C1684*VLOOKUP($B1684, Items!$A:$E, 5, FALSE), IF($D1684="Consumption", -$C1684*VLOOKUP($B1684, Items!$A:$E, 5, FALSE), "")))</f>
        <v>0</v>
      </c>
      <c r="H1684">
        <f>IF($D1684="Consumption", -$C1684*VLOOKUP($B1684, Items!$A:$E, 5, FALSE), 0)</f>
        <v>0</v>
      </c>
    </row>
    <row r="1685" spans="7:8">
      <c r="G1685">
        <f>IF($D1685="", "", IF($D1685="Receipt", $C1685*VLOOKUP($B1685, Items!$A:$E, 5, FALSE), IF($D1685="Consumption", -$C1685*VLOOKUP($B1685, Items!$A:$E, 5, FALSE), "")))</f>
        <v>0</v>
      </c>
      <c r="H1685">
        <f>IF($D1685="Consumption", -$C1685*VLOOKUP($B1685, Items!$A:$E, 5, FALSE), 0)</f>
        <v>0</v>
      </c>
    </row>
    <row r="1686" spans="7:8">
      <c r="G1686">
        <f>IF($D1686="", "", IF($D1686="Receipt", $C1686*VLOOKUP($B1686, Items!$A:$E, 5, FALSE), IF($D1686="Consumption", -$C1686*VLOOKUP($B1686, Items!$A:$E, 5, FALSE), "")))</f>
        <v>0</v>
      </c>
      <c r="H1686">
        <f>IF($D1686="Consumption", -$C1686*VLOOKUP($B1686, Items!$A:$E, 5, FALSE), 0)</f>
        <v>0</v>
      </c>
    </row>
    <row r="1687" spans="7:8">
      <c r="G1687">
        <f>IF($D1687="", "", IF($D1687="Receipt", $C1687*VLOOKUP($B1687, Items!$A:$E, 5, FALSE), IF($D1687="Consumption", -$C1687*VLOOKUP($B1687, Items!$A:$E, 5, FALSE), "")))</f>
        <v>0</v>
      </c>
      <c r="H1687">
        <f>IF($D1687="Consumption", -$C1687*VLOOKUP($B1687, Items!$A:$E, 5, FALSE), 0)</f>
        <v>0</v>
      </c>
    </row>
    <row r="1688" spans="7:8">
      <c r="G1688">
        <f>IF($D1688="", "", IF($D1688="Receipt", $C1688*VLOOKUP($B1688, Items!$A:$E, 5, FALSE), IF($D1688="Consumption", -$C1688*VLOOKUP($B1688, Items!$A:$E, 5, FALSE), "")))</f>
        <v>0</v>
      </c>
      <c r="H1688">
        <f>IF($D1688="Consumption", -$C1688*VLOOKUP($B1688, Items!$A:$E, 5, FALSE), 0)</f>
        <v>0</v>
      </c>
    </row>
    <row r="1689" spans="7:8">
      <c r="G1689">
        <f>IF($D1689="", "", IF($D1689="Receipt", $C1689*VLOOKUP($B1689, Items!$A:$E, 5, FALSE), IF($D1689="Consumption", -$C1689*VLOOKUP($B1689, Items!$A:$E, 5, FALSE), "")))</f>
        <v>0</v>
      </c>
      <c r="H1689">
        <f>IF($D1689="Consumption", -$C1689*VLOOKUP($B1689, Items!$A:$E, 5, FALSE), 0)</f>
        <v>0</v>
      </c>
    </row>
    <row r="1690" spans="7:8">
      <c r="G1690">
        <f>IF($D1690="", "", IF($D1690="Receipt", $C1690*VLOOKUP($B1690, Items!$A:$E, 5, FALSE), IF($D1690="Consumption", -$C1690*VLOOKUP($B1690, Items!$A:$E, 5, FALSE), "")))</f>
        <v>0</v>
      </c>
      <c r="H1690">
        <f>IF($D1690="Consumption", -$C1690*VLOOKUP($B1690, Items!$A:$E, 5, FALSE), 0)</f>
        <v>0</v>
      </c>
    </row>
    <row r="1691" spans="7:8">
      <c r="G1691">
        <f>IF($D1691="", "", IF($D1691="Receipt", $C1691*VLOOKUP($B1691, Items!$A:$E, 5, FALSE), IF($D1691="Consumption", -$C1691*VLOOKUP($B1691, Items!$A:$E, 5, FALSE), "")))</f>
        <v>0</v>
      </c>
      <c r="H1691">
        <f>IF($D1691="Consumption", -$C1691*VLOOKUP($B1691, Items!$A:$E, 5, FALSE), 0)</f>
        <v>0</v>
      </c>
    </row>
    <row r="1692" spans="7:8">
      <c r="G1692">
        <f>IF($D1692="", "", IF($D1692="Receipt", $C1692*VLOOKUP($B1692, Items!$A:$E, 5, FALSE), IF($D1692="Consumption", -$C1692*VLOOKUP($B1692, Items!$A:$E, 5, FALSE), "")))</f>
        <v>0</v>
      </c>
      <c r="H1692">
        <f>IF($D1692="Consumption", -$C1692*VLOOKUP($B1692, Items!$A:$E, 5, FALSE), 0)</f>
        <v>0</v>
      </c>
    </row>
    <row r="1693" spans="7:8">
      <c r="G1693">
        <f>IF($D1693="", "", IF($D1693="Receipt", $C1693*VLOOKUP($B1693, Items!$A:$E, 5, FALSE), IF($D1693="Consumption", -$C1693*VLOOKUP($B1693, Items!$A:$E, 5, FALSE), "")))</f>
        <v>0</v>
      </c>
      <c r="H1693">
        <f>IF($D1693="Consumption", -$C1693*VLOOKUP($B1693, Items!$A:$E, 5, FALSE), 0)</f>
        <v>0</v>
      </c>
    </row>
    <row r="1694" spans="7:8">
      <c r="G1694">
        <f>IF($D1694="", "", IF($D1694="Receipt", $C1694*VLOOKUP($B1694, Items!$A:$E, 5, FALSE), IF($D1694="Consumption", -$C1694*VLOOKUP($B1694, Items!$A:$E, 5, FALSE), "")))</f>
        <v>0</v>
      </c>
      <c r="H1694">
        <f>IF($D1694="Consumption", -$C1694*VLOOKUP($B1694, Items!$A:$E, 5, FALSE), 0)</f>
        <v>0</v>
      </c>
    </row>
    <row r="1695" spans="7:8">
      <c r="G1695">
        <f>IF($D1695="", "", IF($D1695="Receipt", $C1695*VLOOKUP($B1695, Items!$A:$E, 5, FALSE), IF($D1695="Consumption", -$C1695*VLOOKUP($B1695, Items!$A:$E, 5, FALSE), "")))</f>
        <v>0</v>
      </c>
      <c r="H1695">
        <f>IF($D1695="Consumption", -$C1695*VLOOKUP($B1695, Items!$A:$E, 5, FALSE), 0)</f>
        <v>0</v>
      </c>
    </row>
    <row r="1696" spans="7:8">
      <c r="G1696">
        <f>IF($D1696="", "", IF($D1696="Receipt", $C1696*VLOOKUP($B1696, Items!$A:$E, 5, FALSE), IF($D1696="Consumption", -$C1696*VLOOKUP($B1696, Items!$A:$E, 5, FALSE), "")))</f>
        <v>0</v>
      </c>
      <c r="H1696">
        <f>IF($D1696="Consumption", -$C1696*VLOOKUP($B1696, Items!$A:$E, 5, FALSE), 0)</f>
        <v>0</v>
      </c>
    </row>
    <row r="1697" spans="7:8">
      <c r="G1697">
        <f>IF($D1697="", "", IF($D1697="Receipt", $C1697*VLOOKUP($B1697, Items!$A:$E, 5, FALSE), IF($D1697="Consumption", -$C1697*VLOOKUP($B1697, Items!$A:$E, 5, FALSE), "")))</f>
        <v>0</v>
      </c>
      <c r="H1697">
        <f>IF($D1697="Consumption", -$C1697*VLOOKUP($B1697, Items!$A:$E, 5, FALSE), 0)</f>
        <v>0</v>
      </c>
    </row>
    <row r="1698" spans="7:8">
      <c r="G1698">
        <f>IF($D1698="", "", IF($D1698="Receipt", $C1698*VLOOKUP($B1698, Items!$A:$E, 5, FALSE), IF($D1698="Consumption", -$C1698*VLOOKUP($B1698, Items!$A:$E, 5, FALSE), "")))</f>
        <v>0</v>
      </c>
      <c r="H1698">
        <f>IF($D1698="Consumption", -$C1698*VLOOKUP($B1698, Items!$A:$E, 5, FALSE), 0)</f>
        <v>0</v>
      </c>
    </row>
    <row r="1699" spans="7:8">
      <c r="G1699">
        <f>IF($D1699="", "", IF($D1699="Receipt", $C1699*VLOOKUP($B1699, Items!$A:$E, 5, FALSE), IF($D1699="Consumption", -$C1699*VLOOKUP($B1699, Items!$A:$E, 5, FALSE), "")))</f>
        <v>0</v>
      </c>
      <c r="H1699">
        <f>IF($D1699="Consumption", -$C1699*VLOOKUP($B1699, Items!$A:$E, 5, FALSE), 0)</f>
        <v>0</v>
      </c>
    </row>
    <row r="1700" spans="7:8">
      <c r="G1700">
        <f>IF($D1700="", "", IF($D1700="Receipt", $C1700*VLOOKUP($B1700, Items!$A:$E, 5, FALSE), IF($D1700="Consumption", -$C1700*VLOOKUP($B1700, Items!$A:$E, 5, FALSE), "")))</f>
        <v>0</v>
      </c>
      <c r="H1700">
        <f>IF($D1700="Consumption", -$C1700*VLOOKUP($B1700, Items!$A:$E, 5, FALSE), 0)</f>
        <v>0</v>
      </c>
    </row>
    <row r="1701" spans="7:8">
      <c r="G1701">
        <f>IF($D1701="", "", IF($D1701="Receipt", $C1701*VLOOKUP($B1701, Items!$A:$E, 5, FALSE), IF($D1701="Consumption", -$C1701*VLOOKUP($B1701, Items!$A:$E, 5, FALSE), "")))</f>
        <v>0</v>
      </c>
      <c r="H1701">
        <f>IF($D1701="Consumption", -$C1701*VLOOKUP($B1701, Items!$A:$E, 5, FALSE), 0)</f>
        <v>0</v>
      </c>
    </row>
    <row r="1702" spans="7:8">
      <c r="G1702">
        <f>IF($D1702="", "", IF($D1702="Receipt", $C1702*VLOOKUP($B1702, Items!$A:$E, 5, FALSE), IF($D1702="Consumption", -$C1702*VLOOKUP($B1702, Items!$A:$E, 5, FALSE), "")))</f>
        <v>0</v>
      </c>
      <c r="H1702">
        <f>IF($D1702="Consumption", -$C1702*VLOOKUP($B1702, Items!$A:$E, 5, FALSE), 0)</f>
        <v>0</v>
      </c>
    </row>
    <row r="1703" spans="7:8">
      <c r="G1703">
        <f>IF($D1703="", "", IF($D1703="Receipt", $C1703*VLOOKUP($B1703, Items!$A:$E, 5, FALSE), IF($D1703="Consumption", -$C1703*VLOOKUP($B1703, Items!$A:$E, 5, FALSE), "")))</f>
        <v>0</v>
      </c>
      <c r="H1703">
        <f>IF($D1703="Consumption", -$C1703*VLOOKUP($B1703, Items!$A:$E, 5, FALSE), 0)</f>
        <v>0</v>
      </c>
    </row>
    <row r="1704" spans="7:8">
      <c r="G1704">
        <f>IF($D1704="", "", IF($D1704="Receipt", $C1704*VLOOKUP($B1704, Items!$A:$E, 5, FALSE), IF($D1704="Consumption", -$C1704*VLOOKUP($B1704, Items!$A:$E, 5, FALSE), "")))</f>
        <v>0</v>
      </c>
      <c r="H1704">
        <f>IF($D1704="Consumption", -$C1704*VLOOKUP($B1704, Items!$A:$E, 5, FALSE), 0)</f>
        <v>0</v>
      </c>
    </row>
    <row r="1705" spans="7:8">
      <c r="G1705">
        <f>IF($D1705="", "", IF($D1705="Receipt", $C1705*VLOOKUP($B1705, Items!$A:$E, 5, FALSE), IF($D1705="Consumption", -$C1705*VLOOKUP($B1705, Items!$A:$E, 5, FALSE), "")))</f>
        <v>0</v>
      </c>
      <c r="H1705">
        <f>IF($D1705="Consumption", -$C1705*VLOOKUP($B1705, Items!$A:$E, 5, FALSE), 0)</f>
        <v>0</v>
      </c>
    </row>
    <row r="1706" spans="7:8">
      <c r="G1706">
        <f>IF($D1706="", "", IF($D1706="Receipt", $C1706*VLOOKUP($B1706, Items!$A:$E, 5, FALSE), IF($D1706="Consumption", -$C1706*VLOOKUP($B1706, Items!$A:$E, 5, FALSE), "")))</f>
        <v>0</v>
      </c>
      <c r="H1706">
        <f>IF($D1706="Consumption", -$C1706*VLOOKUP($B1706, Items!$A:$E, 5, FALSE), 0)</f>
        <v>0</v>
      </c>
    </row>
    <row r="1707" spans="7:8">
      <c r="G1707">
        <f>IF($D1707="", "", IF($D1707="Receipt", $C1707*VLOOKUP($B1707, Items!$A:$E, 5, FALSE), IF($D1707="Consumption", -$C1707*VLOOKUP($B1707, Items!$A:$E, 5, FALSE), "")))</f>
        <v>0</v>
      </c>
      <c r="H1707">
        <f>IF($D1707="Consumption", -$C1707*VLOOKUP($B1707, Items!$A:$E, 5, FALSE), 0)</f>
        <v>0</v>
      </c>
    </row>
    <row r="1708" spans="7:8">
      <c r="G1708">
        <f>IF($D1708="", "", IF($D1708="Receipt", $C1708*VLOOKUP($B1708, Items!$A:$E, 5, FALSE), IF($D1708="Consumption", -$C1708*VLOOKUP($B1708, Items!$A:$E, 5, FALSE), "")))</f>
        <v>0</v>
      </c>
      <c r="H1708">
        <f>IF($D1708="Consumption", -$C1708*VLOOKUP($B1708, Items!$A:$E, 5, FALSE), 0)</f>
        <v>0</v>
      </c>
    </row>
    <row r="1709" spans="7:8">
      <c r="G1709">
        <f>IF($D1709="", "", IF($D1709="Receipt", $C1709*VLOOKUP($B1709, Items!$A:$E, 5, FALSE), IF($D1709="Consumption", -$C1709*VLOOKUP($B1709, Items!$A:$E, 5, FALSE), "")))</f>
        <v>0</v>
      </c>
      <c r="H1709">
        <f>IF($D1709="Consumption", -$C1709*VLOOKUP($B1709, Items!$A:$E, 5, FALSE), 0)</f>
        <v>0</v>
      </c>
    </row>
    <row r="1710" spans="7:8">
      <c r="G1710">
        <f>IF($D1710="", "", IF($D1710="Receipt", $C1710*VLOOKUP($B1710, Items!$A:$E, 5, FALSE), IF($D1710="Consumption", -$C1710*VLOOKUP($B1710, Items!$A:$E, 5, FALSE), "")))</f>
        <v>0</v>
      </c>
      <c r="H1710">
        <f>IF($D1710="Consumption", -$C1710*VLOOKUP($B1710, Items!$A:$E, 5, FALSE), 0)</f>
        <v>0</v>
      </c>
    </row>
    <row r="1711" spans="7:8">
      <c r="G1711">
        <f>IF($D1711="", "", IF($D1711="Receipt", $C1711*VLOOKUP($B1711, Items!$A:$E, 5, FALSE), IF($D1711="Consumption", -$C1711*VLOOKUP($B1711, Items!$A:$E, 5, FALSE), "")))</f>
        <v>0</v>
      </c>
      <c r="H1711">
        <f>IF($D1711="Consumption", -$C1711*VLOOKUP($B1711, Items!$A:$E, 5, FALSE), 0)</f>
        <v>0</v>
      </c>
    </row>
    <row r="1712" spans="7:8">
      <c r="G1712">
        <f>IF($D1712="", "", IF($D1712="Receipt", $C1712*VLOOKUP($B1712, Items!$A:$E, 5, FALSE), IF($D1712="Consumption", -$C1712*VLOOKUP($B1712, Items!$A:$E, 5, FALSE), "")))</f>
        <v>0</v>
      </c>
      <c r="H1712">
        <f>IF($D1712="Consumption", -$C1712*VLOOKUP($B1712, Items!$A:$E, 5, FALSE), 0)</f>
        <v>0</v>
      </c>
    </row>
    <row r="1713" spans="7:8">
      <c r="G1713">
        <f>IF($D1713="", "", IF($D1713="Receipt", $C1713*VLOOKUP($B1713, Items!$A:$E, 5, FALSE), IF($D1713="Consumption", -$C1713*VLOOKUP($B1713, Items!$A:$E, 5, FALSE), "")))</f>
        <v>0</v>
      </c>
      <c r="H1713">
        <f>IF($D1713="Consumption", -$C1713*VLOOKUP($B1713, Items!$A:$E, 5, FALSE), 0)</f>
        <v>0</v>
      </c>
    </row>
    <row r="1714" spans="7:8">
      <c r="G1714">
        <f>IF($D1714="", "", IF($D1714="Receipt", $C1714*VLOOKUP($B1714, Items!$A:$E, 5, FALSE), IF($D1714="Consumption", -$C1714*VLOOKUP($B1714, Items!$A:$E, 5, FALSE), "")))</f>
        <v>0</v>
      </c>
      <c r="H1714">
        <f>IF($D1714="Consumption", -$C1714*VLOOKUP($B1714, Items!$A:$E, 5, FALSE), 0)</f>
        <v>0</v>
      </c>
    </row>
    <row r="1715" spans="7:8">
      <c r="G1715">
        <f>IF($D1715="", "", IF($D1715="Receipt", $C1715*VLOOKUP($B1715, Items!$A:$E, 5, FALSE), IF($D1715="Consumption", -$C1715*VLOOKUP($B1715, Items!$A:$E, 5, FALSE), "")))</f>
        <v>0</v>
      </c>
      <c r="H1715">
        <f>IF($D1715="Consumption", -$C1715*VLOOKUP($B1715, Items!$A:$E, 5, FALSE), 0)</f>
        <v>0</v>
      </c>
    </row>
    <row r="1716" spans="7:8">
      <c r="G1716">
        <f>IF($D1716="", "", IF($D1716="Receipt", $C1716*VLOOKUP($B1716, Items!$A:$E, 5, FALSE), IF($D1716="Consumption", -$C1716*VLOOKUP($B1716, Items!$A:$E, 5, FALSE), "")))</f>
        <v>0</v>
      </c>
      <c r="H1716">
        <f>IF($D1716="Consumption", -$C1716*VLOOKUP($B1716, Items!$A:$E, 5, FALSE), 0)</f>
        <v>0</v>
      </c>
    </row>
    <row r="1717" spans="7:8">
      <c r="G1717">
        <f>IF($D1717="", "", IF($D1717="Receipt", $C1717*VLOOKUP($B1717, Items!$A:$E, 5, FALSE), IF($D1717="Consumption", -$C1717*VLOOKUP($B1717, Items!$A:$E, 5, FALSE), "")))</f>
        <v>0</v>
      </c>
      <c r="H1717">
        <f>IF($D1717="Consumption", -$C1717*VLOOKUP($B1717, Items!$A:$E, 5, FALSE), 0)</f>
        <v>0</v>
      </c>
    </row>
    <row r="1718" spans="7:8">
      <c r="G1718">
        <f>IF($D1718="", "", IF($D1718="Receipt", $C1718*VLOOKUP($B1718, Items!$A:$E, 5, FALSE), IF($D1718="Consumption", -$C1718*VLOOKUP($B1718, Items!$A:$E, 5, FALSE), "")))</f>
        <v>0</v>
      </c>
      <c r="H1718">
        <f>IF($D1718="Consumption", -$C1718*VLOOKUP($B1718, Items!$A:$E, 5, FALSE), 0)</f>
        <v>0</v>
      </c>
    </row>
    <row r="1719" spans="7:8">
      <c r="G1719">
        <f>IF($D1719="", "", IF($D1719="Receipt", $C1719*VLOOKUP($B1719, Items!$A:$E, 5, FALSE), IF($D1719="Consumption", -$C1719*VLOOKUP($B1719, Items!$A:$E, 5, FALSE), "")))</f>
        <v>0</v>
      </c>
      <c r="H1719">
        <f>IF($D1719="Consumption", -$C1719*VLOOKUP($B1719, Items!$A:$E, 5, FALSE), 0)</f>
        <v>0</v>
      </c>
    </row>
    <row r="1720" spans="7:8">
      <c r="G1720">
        <f>IF($D1720="", "", IF($D1720="Receipt", $C1720*VLOOKUP($B1720, Items!$A:$E, 5, FALSE), IF($D1720="Consumption", -$C1720*VLOOKUP($B1720, Items!$A:$E, 5, FALSE), "")))</f>
        <v>0</v>
      </c>
      <c r="H1720">
        <f>IF($D1720="Consumption", -$C1720*VLOOKUP($B1720, Items!$A:$E, 5, FALSE), 0)</f>
        <v>0</v>
      </c>
    </row>
    <row r="1721" spans="7:8">
      <c r="G1721">
        <f>IF($D1721="", "", IF($D1721="Receipt", $C1721*VLOOKUP($B1721, Items!$A:$E, 5, FALSE), IF($D1721="Consumption", -$C1721*VLOOKUP($B1721, Items!$A:$E, 5, FALSE), "")))</f>
        <v>0</v>
      </c>
      <c r="H1721">
        <f>IF($D1721="Consumption", -$C1721*VLOOKUP($B1721, Items!$A:$E, 5, FALSE), 0)</f>
        <v>0</v>
      </c>
    </row>
    <row r="1722" spans="7:8">
      <c r="G1722">
        <f>IF($D1722="", "", IF($D1722="Receipt", $C1722*VLOOKUP($B1722, Items!$A:$E, 5, FALSE), IF($D1722="Consumption", -$C1722*VLOOKUP($B1722, Items!$A:$E, 5, FALSE), "")))</f>
        <v>0</v>
      </c>
      <c r="H1722">
        <f>IF($D1722="Consumption", -$C1722*VLOOKUP($B1722, Items!$A:$E, 5, FALSE), 0)</f>
        <v>0</v>
      </c>
    </row>
    <row r="1723" spans="7:8">
      <c r="G1723">
        <f>IF($D1723="", "", IF($D1723="Receipt", $C1723*VLOOKUP($B1723, Items!$A:$E, 5, FALSE), IF($D1723="Consumption", -$C1723*VLOOKUP($B1723, Items!$A:$E, 5, FALSE), "")))</f>
        <v>0</v>
      </c>
      <c r="H1723">
        <f>IF($D1723="Consumption", -$C1723*VLOOKUP($B1723, Items!$A:$E, 5, FALSE), 0)</f>
        <v>0</v>
      </c>
    </row>
    <row r="1724" spans="7:8">
      <c r="G1724">
        <f>IF($D1724="", "", IF($D1724="Receipt", $C1724*VLOOKUP($B1724, Items!$A:$E, 5, FALSE), IF($D1724="Consumption", -$C1724*VLOOKUP($B1724, Items!$A:$E, 5, FALSE), "")))</f>
        <v>0</v>
      </c>
      <c r="H1724">
        <f>IF($D1724="Consumption", -$C1724*VLOOKUP($B1724, Items!$A:$E, 5, FALSE), 0)</f>
        <v>0</v>
      </c>
    </row>
    <row r="1725" spans="7:8">
      <c r="G1725">
        <f>IF($D1725="", "", IF($D1725="Receipt", $C1725*VLOOKUP($B1725, Items!$A:$E, 5, FALSE), IF($D1725="Consumption", -$C1725*VLOOKUP($B1725, Items!$A:$E, 5, FALSE), "")))</f>
        <v>0</v>
      </c>
      <c r="H1725">
        <f>IF($D1725="Consumption", -$C1725*VLOOKUP($B1725, Items!$A:$E, 5, FALSE), 0)</f>
        <v>0</v>
      </c>
    </row>
    <row r="1726" spans="7:8">
      <c r="G1726">
        <f>IF($D1726="", "", IF($D1726="Receipt", $C1726*VLOOKUP($B1726, Items!$A:$E, 5, FALSE), IF($D1726="Consumption", -$C1726*VLOOKUP($B1726, Items!$A:$E, 5, FALSE), "")))</f>
        <v>0</v>
      </c>
      <c r="H1726">
        <f>IF($D1726="Consumption", -$C1726*VLOOKUP($B1726, Items!$A:$E, 5, FALSE), 0)</f>
        <v>0</v>
      </c>
    </row>
    <row r="1727" spans="7:8">
      <c r="G1727">
        <f>IF($D1727="", "", IF($D1727="Receipt", $C1727*VLOOKUP($B1727, Items!$A:$E, 5, FALSE), IF($D1727="Consumption", -$C1727*VLOOKUP($B1727, Items!$A:$E, 5, FALSE), "")))</f>
        <v>0</v>
      </c>
      <c r="H1727">
        <f>IF($D1727="Consumption", -$C1727*VLOOKUP($B1727, Items!$A:$E, 5, FALSE), 0)</f>
        <v>0</v>
      </c>
    </row>
    <row r="1728" spans="7:8">
      <c r="G1728">
        <f>IF($D1728="", "", IF($D1728="Receipt", $C1728*VLOOKUP($B1728, Items!$A:$E, 5, FALSE), IF($D1728="Consumption", -$C1728*VLOOKUP($B1728, Items!$A:$E, 5, FALSE), "")))</f>
        <v>0</v>
      </c>
      <c r="H1728">
        <f>IF($D1728="Consumption", -$C1728*VLOOKUP($B1728, Items!$A:$E, 5, FALSE), 0)</f>
        <v>0</v>
      </c>
    </row>
    <row r="1729" spans="7:8">
      <c r="G1729">
        <f>IF($D1729="", "", IF($D1729="Receipt", $C1729*VLOOKUP($B1729, Items!$A:$E, 5, FALSE), IF($D1729="Consumption", -$C1729*VLOOKUP($B1729, Items!$A:$E, 5, FALSE), "")))</f>
        <v>0</v>
      </c>
      <c r="H1729">
        <f>IF($D1729="Consumption", -$C1729*VLOOKUP($B1729, Items!$A:$E, 5, FALSE), 0)</f>
        <v>0</v>
      </c>
    </row>
    <row r="1730" spans="7:8">
      <c r="G1730">
        <f>IF($D1730="", "", IF($D1730="Receipt", $C1730*VLOOKUP($B1730, Items!$A:$E, 5, FALSE), IF($D1730="Consumption", -$C1730*VLOOKUP($B1730, Items!$A:$E, 5, FALSE), "")))</f>
        <v>0</v>
      </c>
      <c r="H1730">
        <f>IF($D1730="Consumption", -$C1730*VLOOKUP($B1730, Items!$A:$E, 5, FALSE), 0)</f>
        <v>0</v>
      </c>
    </row>
    <row r="1731" spans="7:8">
      <c r="G1731">
        <f>IF($D1731="", "", IF($D1731="Receipt", $C1731*VLOOKUP($B1731, Items!$A:$E, 5, FALSE), IF($D1731="Consumption", -$C1731*VLOOKUP($B1731, Items!$A:$E, 5, FALSE), "")))</f>
        <v>0</v>
      </c>
      <c r="H1731">
        <f>IF($D1731="Consumption", -$C1731*VLOOKUP($B1731, Items!$A:$E, 5, FALSE), 0)</f>
        <v>0</v>
      </c>
    </row>
    <row r="1732" spans="7:8">
      <c r="G1732">
        <f>IF($D1732="", "", IF($D1732="Receipt", $C1732*VLOOKUP($B1732, Items!$A:$E, 5, FALSE), IF($D1732="Consumption", -$C1732*VLOOKUP($B1732, Items!$A:$E, 5, FALSE), "")))</f>
        <v>0</v>
      </c>
      <c r="H1732">
        <f>IF($D1732="Consumption", -$C1732*VLOOKUP($B1732, Items!$A:$E, 5, FALSE), 0)</f>
        <v>0</v>
      </c>
    </row>
    <row r="1733" spans="7:8">
      <c r="G1733">
        <f>IF($D1733="", "", IF($D1733="Receipt", $C1733*VLOOKUP($B1733, Items!$A:$E, 5, FALSE), IF($D1733="Consumption", -$C1733*VLOOKUP($B1733, Items!$A:$E, 5, FALSE), "")))</f>
        <v>0</v>
      </c>
      <c r="H1733">
        <f>IF($D1733="Consumption", -$C1733*VLOOKUP($B1733, Items!$A:$E, 5, FALSE), 0)</f>
        <v>0</v>
      </c>
    </row>
    <row r="1734" spans="7:8">
      <c r="G1734">
        <f>IF($D1734="", "", IF($D1734="Receipt", $C1734*VLOOKUP($B1734, Items!$A:$E, 5, FALSE), IF($D1734="Consumption", -$C1734*VLOOKUP($B1734, Items!$A:$E, 5, FALSE), "")))</f>
        <v>0</v>
      </c>
      <c r="H1734">
        <f>IF($D1734="Consumption", -$C1734*VLOOKUP($B1734, Items!$A:$E, 5, FALSE), 0)</f>
        <v>0</v>
      </c>
    </row>
    <row r="1735" spans="7:8">
      <c r="G1735">
        <f>IF($D1735="", "", IF($D1735="Receipt", $C1735*VLOOKUP($B1735, Items!$A:$E, 5, FALSE), IF($D1735="Consumption", -$C1735*VLOOKUP($B1735, Items!$A:$E, 5, FALSE), "")))</f>
        <v>0</v>
      </c>
      <c r="H1735">
        <f>IF($D1735="Consumption", -$C1735*VLOOKUP($B1735, Items!$A:$E, 5, FALSE), 0)</f>
        <v>0</v>
      </c>
    </row>
    <row r="1736" spans="7:8">
      <c r="G1736">
        <f>IF($D1736="", "", IF($D1736="Receipt", $C1736*VLOOKUP($B1736, Items!$A:$E, 5, FALSE), IF($D1736="Consumption", -$C1736*VLOOKUP($B1736, Items!$A:$E, 5, FALSE), "")))</f>
        <v>0</v>
      </c>
      <c r="H1736">
        <f>IF($D1736="Consumption", -$C1736*VLOOKUP($B1736, Items!$A:$E, 5, FALSE), 0)</f>
        <v>0</v>
      </c>
    </row>
    <row r="1737" spans="7:8">
      <c r="G1737">
        <f>IF($D1737="", "", IF($D1737="Receipt", $C1737*VLOOKUP($B1737, Items!$A:$E, 5, FALSE), IF($D1737="Consumption", -$C1737*VLOOKUP($B1737, Items!$A:$E, 5, FALSE), "")))</f>
        <v>0</v>
      </c>
      <c r="H1737">
        <f>IF($D1737="Consumption", -$C1737*VLOOKUP($B1737, Items!$A:$E, 5, FALSE), 0)</f>
        <v>0</v>
      </c>
    </row>
    <row r="1738" spans="7:8">
      <c r="G1738">
        <f>IF($D1738="", "", IF($D1738="Receipt", $C1738*VLOOKUP($B1738, Items!$A:$E, 5, FALSE), IF($D1738="Consumption", -$C1738*VLOOKUP($B1738, Items!$A:$E, 5, FALSE), "")))</f>
        <v>0</v>
      </c>
      <c r="H1738">
        <f>IF($D1738="Consumption", -$C1738*VLOOKUP($B1738, Items!$A:$E, 5, FALSE), 0)</f>
        <v>0</v>
      </c>
    </row>
    <row r="1739" spans="7:8">
      <c r="G1739">
        <f>IF($D1739="", "", IF($D1739="Receipt", $C1739*VLOOKUP($B1739, Items!$A:$E, 5, FALSE), IF($D1739="Consumption", -$C1739*VLOOKUP($B1739, Items!$A:$E, 5, FALSE), "")))</f>
        <v>0</v>
      </c>
      <c r="H1739">
        <f>IF($D1739="Consumption", -$C1739*VLOOKUP($B1739, Items!$A:$E, 5, FALSE), 0)</f>
        <v>0</v>
      </c>
    </row>
    <row r="1740" spans="7:8">
      <c r="G1740">
        <f>IF($D1740="", "", IF($D1740="Receipt", $C1740*VLOOKUP($B1740, Items!$A:$E, 5, FALSE), IF($D1740="Consumption", -$C1740*VLOOKUP($B1740, Items!$A:$E, 5, FALSE), "")))</f>
        <v>0</v>
      </c>
      <c r="H1740">
        <f>IF($D1740="Consumption", -$C1740*VLOOKUP($B1740, Items!$A:$E, 5, FALSE), 0)</f>
        <v>0</v>
      </c>
    </row>
    <row r="1741" spans="7:8">
      <c r="G1741">
        <f>IF($D1741="", "", IF($D1741="Receipt", $C1741*VLOOKUP($B1741, Items!$A:$E, 5, FALSE), IF($D1741="Consumption", -$C1741*VLOOKUP($B1741, Items!$A:$E, 5, FALSE), "")))</f>
        <v>0</v>
      </c>
      <c r="H1741">
        <f>IF($D1741="Consumption", -$C1741*VLOOKUP($B1741, Items!$A:$E, 5, FALSE), 0)</f>
        <v>0</v>
      </c>
    </row>
    <row r="1742" spans="7:8">
      <c r="G1742">
        <f>IF($D1742="", "", IF($D1742="Receipt", $C1742*VLOOKUP($B1742, Items!$A:$E, 5, FALSE), IF($D1742="Consumption", -$C1742*VLOOKUP($B1742, Items!$A:$E, 5, FALSE), "")))</f>
        <v>0</v>
      </c>
      <c r="H1742">
        <f>IF($D1742="Consumption", -$C1742*VLOOKUP($B1742, Items!$A:$E, 5, FALSE), 0)</f>
        <v>0</v>
      </c>
    </row>
    <row r="1743" spans="7:8">
      <c r="G1743">
        <f>IF($D1743="", "", IF($D1743="Receipt", $C1743*VLOOKUP($B1743, Items!$A:$E, 5, FALSE), IF($D1743="Consumption", -$C1743*VLOOKUP($B1743, Items!$A:$E, 5, FALSE), "")))</f>
        <v>0</v>
      </c>
      <c r="H1743">
        <f>IF($D1743="Consumption", -$C1743*VLOOKUP($B1743, Items!$A:$E, 5, FALSE), 0)</f>
        <v>0</v>
      </c>
    </row>
    <row r="1744" spans="7:8">
      <c r="G1744">
        <f>IF($D1744="", "", IF($D1744="Receipt", $C1744*VLOOKUP($B1744, Items!$A:$E, 5, FALSE), IF($D1744="Consumption", -$C1744*VLOOKUP($B1744, Items!$A:$E, 5, FALSE), "")))</f>
        <v>0</v>
      </c>
      <c r="H1744">
        <f>IF($D1744="Consumption", -$C1744*VLOOKUP($B1744, Items!$A:$E, 5, FALSE), 0)</f>
        <v>0</v>
      </c>
    </row>
    <row r="1745" spans="7:8">
      <c r="G1745">
        <f>IF($D1745="", "", IF($D1745="Receipt", $C1745*VLOOKUP($B1745, Items!$A:$E, 5, FALSE), IF($D1745="Consumption", -$C1745*VLOOKUP($B1745, Items!$A:$E, 5, FALSE), "")))</f>
        <v>0</v>
      </c>
      <c r="H1745">
        <f>IF($D1745="Consumption", -$C1745*VLOOKUP($B1745, Items!$A:$E, 5, FALSE), 0)</f>
        <v>0</v>
      </c>
    </row>
    <row r="1746" spans="7:8">
      <c r="G1746">
        <f>IF($D1746="", "", IF($D1746="Receipt", $C1746*VLOOKUP($B1746, Items!$A:$E, 5, FALSE), IF($D1746="Consumption", -$C1746*VLOOKUP($B1746, Items!$A:$E, 5, FALSE), "")))</f>
        <v>0</v>
      </c>
      <c r="H1746">
        <f>IF($D1746="Consumption", -$C1746*VLOOKUP($B1746, Items!$A:$E, 5, FALSE), 0)</f>
        <v>0</v>
      </c>
    </row>
    <row r="1747" spans="7:8">
      <c r="G1747">
        <f>IF($D1747="", "", IF($D1747="Receipt", $C1747*VLOOKUP($B1747, Items!$A:$E, 5, FALSE), IF($D1747="Consumption", -$C1747*VLOOKUP($B1747, Items!$A:$E, 5, FALSE), "")))</f>
        <v>0</v>
      </c>
      <c r="H1747">
        <f>IF($D1747="Consumption", -$C1747*VLOOKUP($B1747, Items!$A:$E, 5, FALSE), 0)</f>
        <v>0</v>
      </c>
    </row>
    <row r="1748" spans="7:8">
      <c r="G1748">
        <f>IF($D1748="", "", IF($D1748="Receipt", $C1748*VLOOKUP($B1748, Items!$A:$E, 5, FALSE), IF($D1748="Consumption", -$C1748*VLOOKUP($B1748, Items!$A:$E, 5, FALSE), "")))</f>
        <v>0</v>
      </c>
      <c r="H1748">
        <f>IF($D1748="Consumption", -$C1748*VLOOKUP($B1748, Items!$A:$E, 5, FALSE), 0)</f>
        <v>0</v>
      </c>
    </row>
    <row r="1749" spans="7:8">
      <c r="G1749">
        <f>IF($D1749="", "", IF($D1749="Receipt", $C1749*VLOOKUP($B1749, Items!$A:$E, 5, FALSE), IF($D1749="Consumption", -$C1749*VLOOKUP($B1749, Items!$A:$E, 5, FALSE), "")))</f>
        <v>0</v>
      </c>
      <c r="H1749">
        <f>IF($D1749="Consumption", -$C1749*VLOOKUP($B1749, Items!$A:$E, 5, FALSE), 0)</f>
        <v>0</v>
      </c>
    </row>
    <row r="1750" spans="7:8">
      <c r="G1750">
        <f>IF($D1750="", "", IF($D1750="Receipt", $C1750*VLOOKUP($B1750, Items!$A:$E, 5, FALSE), IF($D1750="Consumption", -$C1750*VLOOKUP($B1750, Items!$A:$E, 5, FALSE), "")))</f>
        <v>0</v>
      </c>
      <c r="H1750">
        <f>IF($D1750="Consumption", -$C1750*VLOOKUP($B1750, Items!$A:$E, 5, FALSE), 0)</f>
        <v>0</v>
      </c>
    </row>
    <row r="1751" spans="7:8">
      <c r="G1751">
        <f>IF($D1751="", "", IF($D1751="Receipt", $C1751*VLOOKUP($B1751, Items!$A:$E, 5, FALSE), IF($D1751="Consumption", -$C1751*VLOOKUP($B1751, Items!$A:$E, 5, FALSE), "")))</f>
        <v>0</v>
      </c>
      <c r="H1751">
        <f>IF($D1751="Consumption", -$C1751*VLOOKUP($B1751, Items!$A:$E, 5, FALSE), 0)</f>
        <v>0</v>
      </c>
    </row>
    <row r="1752" spans="7:8">
      <c r="G1752">
        <f>IF($D1752="", "", IF($D1752="Receipt", $C1752*VLOOKUP($B1752, Items!$A:$E, 5, FALSE), IF($D1752="Consumption", -$C1752*VLOOKUP($B1752, Items!$A:$E, 5, FALSE), "")))</f>
        <v>0</v>
      </c>
      <c r="H1752">
        <f>IF($D1752="Consumption", -$C1752*VLOOKUP($B1752, Items!$A:$E, 5, FALSE), 0)</f>
        <v>0</v>
      </c>
    </row>
    <row r="1753" spans="7:8">
      <c r="G1753">
        <f>IF($D1753="", "", IF($D1753="Receipt", $C1753*VLOOKUP($B1753, Items!$A:$E, 5, FALSE), IF($D1753="Consumption", -$C1753*VLOOKUP($B1753, Items!$A:$E, 5, FALSE), "")))</f>
        <v>0</v>
      </c>
      <c r="H1753">
        <f>IF($D1753="Consumption", -$C1753*VLOOKUP($B1753, Items!$A:$E, 5, FALSE), 0)</f>
        <v>0</v>
      </c>
    </row>
    <row r="1754" spans="7:8">
      <c r="G1754">
        <f>IF($D1754="", "", IF($D1754="Receipt", $C1754*VLOOKUP($B1754, Items!$A:$E, 5, FALSE), IF($D1754="Consumption", -$C1754*VLOOKUP($B1754, Items!$A:$E, 5, FALSE), "")))</f>
        <v>0</v>
      </c>
      <c r="H1754">
        <f>IF($D1754="Consumption", -$C1754*VLOOKUP($B1754, Items!$A:$E, 5, FALSE), 0)</f>
        <v>0</v>
      </c>
    </row>
    <row r="1755" spans="7:8">
      <c r="G1755">
        <f>IF($D1755="", "", IF($D1755="Receipt", $C1755*VLOOKUP($B1755, Items!$A:$E, 5, FALSE), IF($D1755="Consumption", -$C1755*VLOOKUP($B1755, Items!$A:$E, 5, FALSE), "")))</f>
        <v>0</v>
      </c>
      <c r="H1755">
        <f>IF($D1755="Consumption", -$C1755*VLOOKUP($B1755, Items!$A:$E, 5, FALSE), 0)</f>
        <v>0</v>
      </c>
    </row>
    <row r="1756" spans="7:8">
      <c r="G1756">
        <f>IF($D1756="", "", IF($D1756="Receipt", $C1756*VLOOKUP($B1756, Items!$A:$E, 5, FALSE), IF($D1756="Consumption", -$C1756*VLOOKUP($B1756, Items!$A:$E, 5, FALSE), "")))</f>
        <v>0</v>
      </c>
      <c r="H1756">
        <f>IF($D1756="Consumption", -$C1756*VLOOKUP($B1756, Items!$A:$E, 5, FALSE), 0)</f>
        <v>0</v>
      </c>
    </row>
    <row r="1757" spans="7:8">
      <c r="G1757">
        <f>IF($D1757="", "", IF($D1757="Receipt", $C1757*VLOOKUP($B1757, Items!$A:$E, 5, FALSE), IF($D1757="Consumption", -$C1757*VLOOKUP($B1757, Items!$A:$E, 5, FALSE), "")))</f>
        <v>0</v>
      </c>
      <c r="H1757">
        <f>IF($D1757="Consumption", -$C1757*VLOOKUP($B1757, Items!$A:$E, 5, FALSE), 0)</f>
        <v>0</v>
      </c>
    </row>
    <row r="1758" spans="7:8">
      <c r="G1758">
        <f>IF($D1758="", "", IF($D1758="Receipt", $C1758*VLOOKUP($B1758, Items!$A:$E, 5, FALSE), IF($D1758="Consumption", -$C1758*VLOOKUP($B1758, Items!$A:$E, 5, FALSE), "")))</f>
        <v>0</v>
      </c>
      <c r="H1758">
        <f>IF($D1758="Consumption", -$C1758*VLOOKUP($B1758, Items!$A:$E, 5, FALSE), 0)</f>
        <v>0</v>
      </c>
    </row>
    <row r="1759" spans="7:8">
      <c r="G1759">
        <f>IF($D1759="", "", IF($D1759="Receipt", $C1759*VLOOKUP($B1759, Items!$A:$E, 5, FALSE), IF($D1759="Consumption", -$C1759*VLOOKUP($B1759, Items!$A:$E, 5, FALSE), "")))</f>
        <v>0</v>
      </c>
      <c r="H1759">
        <f>IF($D1759="Consumption", -$C1759*VLOOKUP($B1759, Items!$A:$E, 5, FALSE), 0)</f>
        <v>0</v>
      </c>
    </row>
    <row r="1760" spans="7:8">
      <c r="G1760">
        <f>IF($D1760="", "", IF($D1760="Receipt", $C1760*VLOOKUP($B1760, Items!$A:$E, 5, FALSE), IF($D1760="Consumption", -$C1760*VLOOKUP($B1760, Items!$A:$E, 5, FALSE), "")))</f>
        <v>0</v>
      </c>
      <c r="H1760">
        <f>IF($D1760="Consumption", -$C1760*VLOOKUP($B1760, Items!$A:$E, 5, FALSE), 0)</f>
        <v>0</v>
      </c>
    </row>
    <row r="1761" spans="7:8">
      <c r="G1761">
        <f>IF($D1761="", "", IF($D1761="Receipt", $C1761*VLOOKUP($B1761, Items!$A:$E, 5, FALSE), IF($D1761="Consumption", -$C1761*VLOOKUP($B1761, Items!$A:$E, 5, FALSE), "")))</f>
        <v>0</v>
      </c>
      <c r="H1761">
        <f>IF($D1761="Consumption", -$C1761*VLOOKUP($B1761, Items!$A:$E, 5, FALSE), 0)</f>
        <v>0</v>
      </c>
    </row>
    <row r="1762" spans="7:8">
      <c r="G1762">
        <f>IF($D1762="", "", IF($D1762="Receipt", $C1762*VLOOKUP($B1762, Items!$A:$E, 5, FALSE), IF($D1762="Consumption", -$C1762*VLOOKUP($B1762, Items!$A:$E, 5, FALSE), "")))</f>
        <v>0</v>
      </c>
      <c r="H1762">
        <f>IF($D1762="Consumption", -$C1762*VLOOKUP($B1762, Items!$A:$E, 5, FALSE), 0)</f>
        <v>0</v>
      </c>
    </row>
    <row r="1763" spans="7:8">
      <c r="G1763">
        <f>IF($D1763="", "", IF($D1763="Receipt", $C1763*VLOOKUP($B1763, Items!$A:$E, 5, FALSE), IF($D1763="Consumption", -$C1763*VLOOKUP($B1763, Items!$A:$E, 5, FALSE), "")))</f>
        <v>0</v>
      </c>
      <c r="H1763">
        <f>IF($D1763="Consumption", -$C1763*VLOOKUP($B1763, Items!$A:$E, 5, FALSE), 0)</f>
        <v>0</v>
      </c>
    </row>
    <row r="1764" spans="7:8">
      <c r="G1764">
        <f>IF($D1764="", "", IF($D1764="Receipt", $C1764*VLOOKUP($B1764, Items!$A:$E, 5, FALSE), IF($D1764="Consumption", -$C1764*VLOOKUP($B1764, Items!$A:$E, 5, FALSE), "")))</f>
        <v>0</v>
      </c>
      <c r="H1764">
        <f>IF($D1764="Consumption", -$C1764*VLOOKUP($B1764, Items!$A:$E, 5, FALSE), 0)</f>
        <v>0</v>
      </c>
    </row>
    <row r="1765" spans="7:8">
      <c r="G1765">
        <f>IF($D1765="", "", IF($D1765="Receipt", $C1765*VLOOKUP($B1765, Items!$A:$E, 5, FALSE), IF($D1765="Consumption", -$C1765*VLOOKUP($B1765, Items!$A:$E, 5, FALSE), "")))</f>
        <v>0</v>
      </c>
      <c r="H1765">
        <f>IF($D1765="Consumption", -$C1765*VLOOKUP($B1765, Items!$A:$E, 5, FALSE), 0)</f>
        <v>0</v>
      </c>
    </row>
    <row r="1766" spans="7:8">
      <c r="G1766">
        <f>IF($D1766="", "", IF($D1766="Receipt", $C1766*VLOOKUP($B1766, Items!$A:$E, 5, FALSE), IF($D1766="Consumption", -$C1766*VLOOKUP($B1766, Items!$A:$E, 5, FALSE), "")))</f>
        <v>0</v>
      </c>
      <c r="H1766">
        <f>IF($D1766="Consumption", -$C1766*VLOOKUP($B1766, Items!$A:$E, 5, FALSE), 0)</f>
        <v>0</v>
      </c>
    </row>
    <row r="1767" spans="7:8">
      <c r="G1767">
        <f>IF($D1767="", "", IF($D1767="Receipt", $C1767*VLOOKUP($B1767, Items!$A:$E, 5, FALSE), IF($D1767="Consumption", -$C1767*VLOOKUP($B1767, Items!$A:$E, 5, FALSE), "")))</f>
        <v>0</v>
      </c>
      <c r="H1767">
        <f>IF($D1767="Consumption", -$C1767*VLOOKUP($B1767, Items!$A:$E, 5, FALSE), 0)</f>
        <v>0</v>
      </c>
    </row>
    <row r="1768" spans="7:8">
      <c r="G1768">
        <f>IF($D1768="", "", IF($D1768="Receipt", $C1768*VLOOKUP($B1768, Items!$A:$E, 5, FALSE), IF($D1768="Consumption", -$C1768*VLOOKUP($B1768, Items!$A:$E, 5, FALSE), "")))</f>
        <v>0</v>
      </c>
      <c r="H1768">
        <f>IF($D1768="Consumption", -$C1768*VLOOKUP($B1768, Items!$A:$E, 5, FALSE), 0)</f>
        <v>0</v>
      </c>
    </row>
    <row r="1769" spans="7:8">
      <c r="G1769">
        <f>IF($D1769="", "", IF($D1769="Receipt", $C1769*VLOOKUP($B1769, Items!$A:$E, 5, FALSE), IF($D1769="Consumption", -$C1769*VLOOKUP($B1769, Items!$A:$E, 5, FALSE), "")))</f>
        <v>0</v>
      </c>
      <c r="H1769">
        <f>IF($D1769="Consumption", -$C1769*VLOOKUP($B1769, Items!$A:$E, 5, FALSE), 0)</f>
        <v>0</v>
      </c>
    </row>
    <row r="1770" spans="7:8">
      <c r="G1770">
        <f>IF($D1770="", "", IF($D1770="Receipt", $C1770*VLOOKUP($B1770, Items!$A:$E, 5, FALSE), IF($D1770="Consumption", -$C1770*VLOOKUP($B1770, Items!$A:$E, 5, FALSE), "")))</f>
        <v>0</v>
      </c>
      <c r="H1770">
        <f>IF($D1770="Consumption", -$C1770*VLOOKUP($B1770, Items!$A:$E, 5, FALSE), 0)</f>
        <v>0</v>
      </c>
    </row>
    <row r="1771" spans="7:8">
      <c r="G1771">
        <f>IF($D1771="", "", IF($D1771="Receipt", $C1771*VLOOKUP($B1771, Items!$A:$E, 5, FALSE), IF($D1771="Consumption", -$C1771*VLOOKUP($B1771, Items!$A:$E, 5, FALSE), "")))</f>
        <v>0</v>
      </c>
      <c r="H1771">
        <f>IF($D1771="Consumption", -$C1771*VLOOKUP($B1771, Items!$A:$E, 5, FALSE), 0)</f>
        <v>0</v>
      </c>
    </row>
    <row r="1772" spans="7:8">
      <c r="G1772">
        <f>IF($D1772="", "", IF($D1772="Receipt", $C1772*VLOOKUP($B1772, Items!$A:$E, 5, FALSE), IF($D1772="Consumption", -$C1772*VLOOKUP($B1772, Items!$A:$E, 5, FALSE), "")))</f>
        <v>0</v>
      </c>
      <c r="H1772">
        <f>IF($D1772="Consumption", -$C1772*VLOOKUP($B1772, Items!$A:$E, 5, FALSE), 0)</f>
        <v>0</v>
      </c>
    </row>
    <row r="1773" spans="7:8">
      <c r="G1773">
        <f>IF($D1773="", "", IF($D1773="Receipt", $C1773*VLOOKUP($B1773, Items!$A:$E, 5, FALSE), IF($D1773="Consumption", -$C1773*VLOOKUP($B1773, Items!$A:$E, 5, FALSE), "")))</f>
        <v>0</v>
      </c>
      <c r="H1773">
        <f>IF($D1773="Consumption", -$C1773*VLOOKUP($B1773, Items!$A:$E, 5, FALSE), 0)</f>
        <v>0</v>
      </c>
    </row>
    <row r="1774" spans="7:8">
      <c r="G1774">
        <f>IF($D1774="", "", IF($D1774="Receipt", $C1774*VLOOKUP($B1774, Items!$A:$E, 5, FALSE), IF($D1774="Consumption", -$C1774*VLOOKUP($B1774, Items!$A:$E, 5, FALSE), "")))</f>
        <v>0</v>
      </c>
      <c r="H1774">
        <f>IF($D1774="Consumption", -$C1774*VLOOKUP($B1774, Items!$A:$E, 5, FALSE), 0)</f>
        <v>0</v>
      </c>
    </row>
    <row r="1775" spans="7:8">
      <c r="G1775">
        <f>IF($D1775="", "", IF($D1775="Receipt", $C1775*VLOOKUP($B1775, Items!$A:$E, 5, FALSE), IF($D1775="Consumption", -$C1775*VLOOKUP($B1775, Items!$A:$E, 5, FALSE), "")))</f>
        <v>0</v>
      </c>
      <c r="H1775">
        <f>IF($D1775="Consumption", -$C1775*VLOOKUP($B1775, Items!$A:$E, 5, FALSE), 0)</f>
        <v>0</v>
      </c>
    </row>
    <row r="1776" spans="7:8">
      <c r="G1776">
        <f>IF($D1776="", "", IF($D1776="Receipt", $C1776*VLOOKUP($B1776, Items!$A:$E, 5, FALSE), IF($D1776="Consumption", -$C1776*VLOOKUP($B1776, Items!$A:$E, 5, FALSE), "")))</f>
        <v>0</v>
      </c>
      <c r="H1776">
        <f>IF($D1776="Consumption", -$C1776*VLOOKUP($B1776, Items!$A:$E, 5, FALSE), 0)</f>
        <v>0</v>
      </c>
    </row>
    <row r="1777" spans="7:8">
      <c r="G1777">
        <f>IF($D1777="", "", IF($D1777="Receipt", $C1777*VLOOKUP($B1777, Items!$A:$E, 5, FALSE), IF($D1777="Consumption", -$C1777*VLOOKUP($B1777, Items!$A:$E, 5, FALSE), "")))</f>
        <v>0</v>
      </c>
      <c r="H1777">
        <f>IF($D1777="Consumption", -$C1777*VLOOKUP($B1777, Items!$A:$E, 5, FALSE), 0)</f>
        <v>0</v>
      </c>
    </row>
    <row r="1778" spans="7:8">
      <c r="G1778">
        <f>IF($D1778="", "", IF($D1778="Receipt", $C1778*VLOOKUP($B1778, Items!$A:$E, 5, FALSE), IF($D1778="Consumption", -$C1778*VLOOKUP($B1778, Items!$A:$E, 5, FALSE), "")))</f>
        <v>0</v>
      </c>
      <c r="H1778">
        <f>IF($D1778="Consumption", -$C1778*VLOOKUP($B1778, Items!$A:$E, 5, FALSE), 0)</f>
        <v>0</v>
      </c>
    </row>
    <row r="1779" spans="7:8">
      <c r="G1779">
        <f>IF($D1779="", "", IF($D1779="Receipt", $C1779*VLOOKUP($B1779, Items!$A:$E, 5, FALSE), IF($D1779="Consumption", -$C1779*VLOOKUP($B1779, Items!$A:$E, 5, FALSE), "")))</f>
        <v>0</v>
      </c>
      <c r="H1779">
        <f>IF($D1779="Consumption", -$C1779*VLOOKUP($B1779, Items!$A:$E, 5, FALSE), 0)</f>
        <v>0</v>
      </c>
    </row>
    <row r="1780" spans="7:8">
      <c r="G1780">
        <f>IF($D1780="", "", IF($D1780="Receipt", $C1780*VLOOKUP($B1780, Items!$A:$E, 5, FALSE), IF($D1780="Consumption", -$C1780*VLOOKUP($B1780, Items!$A:$E, 5, FALSE), "")))</f>
        <v>0</v>
      </c>
      <c r="H1780">
        <f>IF($D1780="Consumption", -$C1780*VLOOKUP($B1780, Items!$A:$E, 5, FALSE), 0)</f>
        <v>0</v>
      </c>
    </row>
    <row r="1781" spans="7:8">
      <c r="G1781">
        <f>IF($D1781="", "", IF($D1781="Receipt", $C1781*VLOOKUP($B1781, Items!$A:$E, 5, FALSE), IF($D1781="Consumption", -$C1781*VLOOKUP($B1781, Items!$A:$E, 5, FALSE), "")))</f>
        <v>0</v>
      </c>
      <c r="H1781">
        <f>IF($D1781="Consumption", -$C1781*VLOOKUP($B1781, Items!$A:$E, 5, FALSE), 0)</f>
        <v>0</v>
      </c>
    </row>
    <row r="1782" spans="7:8">
      <c r="G1782">
        <f>IF($D1782="", "", IF($D1782="Receipt", $C1782*VLOOKUP($B1782, Items!$A:$E, 5, FALSE), IF($D1782="Consumption", -$C1782*VLOOKUP($B1782, Items!$A:$E, 5, FALSE), "")))</f>
        <v>0</v>
      </c>
      <c r="H1782">
        <f>IF($D1782="Consumption", -$C1782*VLOOKUP($B1782, Items!$A:$E, 5, FALSE), 0)</f>
        <v>0</v>
      </c>
    </row>
    <row r="1783" spans="7:8">
      <c r="G1783">
        <f>IF($D1783="", "", IF($D1783="Receipt", $C1783*VLOOKUP($B1783, Items!$A:$E, 5, FALSE), IF($D1783="Consumption", -$C1783*VLOOKUP($B1783, Items!$A:$E, 5, FALSE), "")))</f>
        <v>0</v>
      </c>
      <c r="H1783">
        <f>IF($D1783="Consumption", -$C1783*VLOOKUP($B1783, Items!$A:$E, 5, FALSE), 0)</f>
        <v>0</v>
      </c>
    </row>
    <row r="1784" spans="7:8">
      <c r="G1784">
        <f>IF($D1784="", "", IF($D1784="Receipt", $C1784*VLOOKUP($B1784, Items!$A:$E, 5, FALSE), IF($D1784="Consumption", -$C1784*VLOOKUP($B1784, Items!$A:$E, 5, FALSE), "")))</f>
        <v>0</v>
      </c>
      <c r="H1784">
        <f>IF($D1784="Consumption", -$C1784*VLOOKUP($B1784, Items!$A:$E, 5, FALSE), 0)</f>
        <v>0</v>
      </c>
    </row>
    <row r="1785" spans="7:8">
      <c r="G1785">
        <f>IF($D1785="", "", IF($D1785="Receipt", $C1785*VLOOKUP($B1785, Items!$A:$E, 5, FALSE), IF($D1785="Consumption", -$C1785*VLOOKUP($B1785, Items!$A:$E, 5, FALSE), "")))</f>
        <v>0</v>
      </c>
      <c r="H1785">
        <f>IF($D1785="Consumption", -$C1785*VLOOKUP($B1785, Items!$A:$E, 5, FALSE), 0)</f>
        <v>0</v>
      </c>
    </row>
    <row r="1786" spans="7:8">
      <c r="G1786">
        <f>IF($D1786="", "", IF($D1786="Receipt", $C1786*VLOOKUP($B1786, Items!$A:$E, 5, FALSE), IF($D1786="Consumption", -$C1786*VLOOKUP($B1786, Items!$A:$E, 5, FALSE), "")))</f>
        <v>0</v>
      </c>
      <c r="H1786">
        <f>IF($D1786="Consumption", -$C1786*VLOOKUP($B1786, Items!$A:$E, 5, FALSE), 0)</f>
        <v>0</v>
      </c>
    </row>
    <row r="1787" spans="7:8">
      <c r="G1787">
        <f>IF($D1787="", "", IF($D1787="Receipt", $C1787*VLOOKUP($B1787, Items!$A:$E, 5, FALSE), IF($D1787="Consumption", -$C1787*VLOOKUP($B1787, Items!$A:$E, 5, FALSE), "")))</f>
        <v>0</v>
      </c>
      <c r="H1787">
        <f>IF($D1787="Consumption", -$C1787*VLOOKUP($B1787, Items!$A:$E, 5, FALSE), 0)</f>
        <v>0</v>
      </c>
    </row>
    <row r="1788" spans="7:8">
      <c r="G1788">
        <f>IF($D1788="", "", IF($D1788="Receipt", $C1788*VLOOKUP($B1788, Items!$A:$E, 5, FALSE), IF($D1788="Consumption", -$C1788*VLOOKUP($B1788, Items!$A:$E, 5, FALSE), "")))</f>
        <v>0</v>
      </c>
      <c r="H1788">
        <f>IF($D1788="Consumption", -$C1788*VLOOKUP($B1788, Items!$A:$E, 5, FALSE), 0)</f>
        <v>0</v>
      </c>
    </row>
    <row r="1789" spans="7:8">
      <c r="G1789">
        <f>IF($D1789="", "", IF($D1789="Receipt", $C1789*VLOOKUP($B1789, Items!$A:$E, 5, FALSE), IF($D1789="Consumption", -$C1789*VLOOKUP($B1789, Items!$A:$E, 5, FALSE), "")))</f>
        <v>0</v>
      </c>
      <c r="H1789">
        <f>IF($D1789="Consumption", -$C1789*VLOOKUP($B1789, Items!$A:$E, 5, FALSE), 0)</f>
        <v>0</v>
      </c>
    </row>
    <row r="1790" spans="7:8">
      <c r="G1790">
        <f>IF($D1790="", "", IF($D1790="Receipt", $C1790*VLOOKUP($B1790, Items!$A:$E, 5, FALSE), IF($D1790="Consumption", -$C1790*VLOOKUP($B1790, Items!$A:$E, 5, FALSE), "")))</f>
        <v>0</v>
      </c>
      <c r="H1790">
        <f>IF($D1790="Consumption", -$C1790*VLOOKUP($B1790, Items!$A:$E, 5, FALSE), 0)</f>
        <v>0</v>
      </c>
    </row>
    <row r="1791" spans="7:8">
      <c r="G1791">
        <f>IF($D1791="", "", IF($D1791="Receipt", $C1791*VLOOKUP($B1791, Items!$A:$E, 5, FALSE), IF($D1791="Consumption", -$C1791*VLOOKUP($B1791, Items!$A:$E, 5, FALSE), "")))</f>
        <v>0</v>
      </c>
      <c r="H1791">
        <f>IF($D1791="Consumption", -$C1791*VLOOKUP($B1791, Items!$A:$E, 5, FALSE), 0)</f>
        <v>0</v>
      </c>
    </row>
    <row r="1792" spans="7:8">
      <c r="G1792">
        <f>IF($D1792="", "", IF($D1792="Receipt", $C1792*VLOOKUP($B1792, Items!$A:$E, 5, FALSE), IF($D1792="Consumption", -$C1792*VLOOKUP($B1792, Items!$A:$E, 5, FALSE), "")))</f>
        <v>0</v>
      </c>
      <c r="H1792">
        <f>IF($D1792="Consumption", -$C1792*VLOOKUP($B1792, Items!$A:$E, 5, FALSE), 0)</f>
        <v>0</v>
      </c>
    </row>
    <row r="1793" spans="7:8">
      <c r="G1793">
        <f>IF($D1793="", "", IF($D1793="Receipt", $C1793*VLOOKUP($B1793, Items!$A:$E, 5, FALSE), IF($D1793="Consumption", -$C1793*VLOOKUP($B1793, Items!$A:$E, 5, FALSE), "")))</f>
        <v>0</v>
      </c>
      <c r="H1793">
        <f>IF($D1793="Consumption", -$C1793*VLOOKUP($B1793, Items!$A:$E, 5, FALSE), 0)</f>
        <v>0</v>
      </c>
    </row>
    <row r="1794" spans="7:8">
      <c r="G1794">
        <f>IF($D1794="", "", IF($D1794="Receipt", $C1794*VLOOKUP($B1794, Items!$A:$E, 5, FALSE), IF($D1794="Consumption", -$C1794*VLOOKUP($B1794, Items!$A:$E, 5, FALSE), "")))</f>
        <v>0</v>
      </c>
      <c r="H1794">
        <f>IF($D1794="Consumption", -$C1794*VLOOKUP($B1794, Items!$A:$E, 5, FALSE), 0)</f>
        <v>0</v>
      </c>
    </row>
    <row r="1795" spans="7:8">
      <c r="G1795">
        <f>IF($D1795="", "", IF($D1795="Receipt", $C1795*VLOOKUP($B1795, Items!$A:$E, 5, FALSE), IF($D1795="Consumption", -$C1795*VLOOKUP($B1795, Items!$A:$E, 5, FALSE), "")))</f>
        <v>0</v>
      </c>
      <c r="H1795">
        <f>IF($D1795="Consumption", -$C1795*VLOOKUP($B1795, Items!$A:$E, 5, FALSE), 0)</f>
        <v>0</v>
      </c>
    </row>
    <row r="1796" spans="7:8">
      <c r="G1796">
        <f>IF($D1796="", "", IF($D1796="Receipt", $C1796*VLOOKUP($B1796, Items!$A:$E, 5, FALSE), IF($D1796="Consumption", -$C1796*VLOOKUP($B1796, Items!$A:$E, 5, FALSE), "")))</f>
        <v>0</v>
      </c>
      <c r="H1796">
        <f>IF($D1796="Consumption", -$C1796*VLOOKUP($B1796, Items!$A:$E, 5, FALSE), 0)</f>
        <v>0</v>
      </c>
    </row>
    <row r="1797" spans="7:8">
      <c r="G1797">
        <f>IF($D1797="", "", IF($D1797="Receipt", $C1797*VLOOKUP($B1797, Items!$A:$E, 5, FALSE), IF($D1797="Consumption", -$C1797*VLOOKUP($B1797, Items!$A:$E, 5, FALSE), "")))</f>
        <v>0</v>
      </c>
      <c r="H1797">
        <f>IF($D1797="Consumption", -$C1797*VLOOKUP($B1797, Items!$A:$E, 5, FALSE), 0)</f>
        <v>0</v>
      </c>
    </row>
    <row r="1798" spans="7:8">
      <c r="G1798">
        <f>IF($D1798="", "", IF($D1798="Receipt", $C1798*VLOOKUP($B1798, Items!$A:$E, 5, FALSE), IF($D1798="Consumption", -$C1798*VLOOKUP($B1798, Items!$A:$E, 5, FALSE), "")))</f>
        <v>0</v>
      </c>
      <c r="H1798">
        <f>IF($D1798="Consumption", -$C1798*VLOOKUP($B1798, Items!$A:$E, 5, FALSE), 0)</f>
        <v>0</v>
      </c>
    </row>
    <row r="1799" spans="7:8">
      <c r="G1799">
        <f>IF($D1799="", "", IF($D1799="Receipt", $C1799*VLOOKUP($B1799, Items!$A:$E, 5, FALSE), IF($D1799="Consumption", -$C1799*VLOOKUP($B1799, Items!$A:$E, 5, FALSE), "")))</f>
        <v>0</v>
      </c>
      <c r="H1799">
        <f>IF($D1799="Consumption", -$C1799*VLOOKUP($B1799, Items!$A:$E, 5, FALSE), 0)</f>
        <v>0</v>
      </c>
    </row>
    <row r="1800" spans="7:8">
      <c r="G1800">
        <f>IF($D1800="", "", IF($D1800="Receipt", $C1800*VLOOKUP($B1800, Items!$A:$E, 5, FALSE), IF($D1800="Consumption", -$C1800*VLOOKUP($B1800, Items!$A:$E, 5, FALSE), "")))</f>
        <v>0</v>
      </c>
      <c r="H1800">
        <f>IF($D1800="Consumption", -$C1800*VLOOKUP($B1800, Items!$A:$E, 5, FALSE), 0)</f>
        <v>0</v>
      </c>
    </row>
    <row r="1801" spans="7:8">
      <c r="G1801">
        <f>IF($D1801="", "", IF($D1801="Receipt", $C1801*VLOOKUP($B1801, Items!$A:$E, 5, FALSE), IF($D1801="Consumption", -$C1801*VLOOKUP($B1801, Items!$A:$E, 5, FALSE), "")))</f>
        <v>0</v>
      </c>
      <c r="H1801">
        <f>IF($D1801="Consumption", -$C1801*VLOOKUP($B1801, Items!$A:$E, 5, FALSE), 0)</f>
        <v>0</v>
      </c>
    </row>
    <row r="1802" spans="7:8">
      <c r="G1802">
        <f>IF($D1802="", "", IF($D1802="Receipt", $C1802*VLOOKUP($B1802, Items!$A:$E, 5, FALSE), IF($D1802="Consumption", -$C1802*VLOOKUP($B1802, Items!$A:$E, 5, FALSE), "")))</f>
        <v>0</v>
      </c>
      <c r="H1802">
        <f>IF($D1802="Consumption", -$C1802*VLOOKUP($B1802, Items!$A:$E, 5, FALSE), 0)</f>
        <v>0</v>
      </c>
    </row>
    <row r="1803" spans="7:8">
      <c r="G1803">
        <f>IF($D1803="", "", IF($D1803="Receipt", $C1803*VLOOKUP($B1803, Items!$A:$E, 5, FALSE), IF($D1803="Consumption", -$C1803*VLOOKUP($B1803, Items!$A:$E, 5, FALSE), "")))</f>
        <v>0</v>
      </c>
      <c r="H1803">
        <f>IF($D1803="Consumption", -$C1803*VLOOKUP($B1803, Items!$A:$E, 5, FALSE), 0)</f>
        <v>0</v>
      </c>
    </row>
    <row r="1804" spans="7:8">
      <c r="G1804">
        <f>IF($D1804="", "", IF($D1804="Receipt", $C1804*VLOOKUP($B1804, Items!$A:$E, 5, FALSE), IF($D1804="Consumption", -$C1804*VLOOKUP($B1804, Items!$A:$E, 5, FALSE), "")))</f>
        <v>0</v>
      </c>
      <c r="H1804">
        <f>IF($D1804="Consumption", -$C1804*VLOOKUP($B1804, Items!$A:$E, 5, FALSE), 0)</f>
        <v>0</v>
      </c>
    </row>
    <row r="1805" spans="7:8">
      <c r="G1805">
        <f>IF($D1805="", "", IF($D1805="Receipt", $C1805*VLOOKUP($B1805, Items!$A:$E, 5, FALSE), IF($D1805="Consumption", -$C1805*VLOOKUP($B1805, Items!$A:$E, 5, FALSE), "")))</f>
        <v>0</v>
      </c>
      <c r="H1805">
        <f>IF($D1805="Consumption", -$C1805*VLOOKUP($B1805, Items!$A:$E, 5, FALSE), 0)</f>
        <v>0</v>
      </c>
    </row>
    <row r="1806" spans="7:8">
      <c r="G1806">
        <f>IF($D1806="", "", IF($D1806="Receipt", $C1806*VLOOKUP($B1806, Items!$A:$E, 5, FALSE), IF($D1806="Consumption", -$C1806*VLOOKUP($B1806, Items!$A:$E, 5, FALSE), "")))</f>
        <v>0</v>
      </c>
      <c r="H1806">
        <f>IF($D1806="Consumption", -$C1806*VLOOKUP($B1806, Items!$A:$E, 5, FALSE), 0)</f>
        <v>0</v>
      </c>
    </row>
    <row r="1807" spans="7:8">
      <c r="G1807">
        <f>IF($D1807="", "", IF($D1807="Receipt", $C1807*VLOOKUP($B1807, Items!$A:$E, 5, FALSE), IF($D1807="Consumption", -$C1807*VLOOKUP($B1807, Items!$A:$E, 5, FALSE), "")))</f>
        <v>0</v>
      </c>
      <c r="H1807">
        <f>IF($D1807="Consumption", -$C1807*VLOOKUP($B1807, Items!$A:$E, 5, FALSE), 0)</f>
        <v>0</v>
      </c>
    </row>
    <row r="1808" spans="7:8">
      <c r="G1808">
        <f>IF($D1808="", "", IF($D1808="Receipt", $C1808*VLOOKUP($B1808, Items!$A:$E, 5, FALSE), IF($D1808="Consumption", -$C1808*VLOOKUP($B1808, Items!$A:$E, 5, FALSE), "")))</f>
        <v>0</v>
      </c>
      <c r="H1808">
        <f>IF($D1808="Consumption", -$C1808*VLOOKUP($B1808, Items!$A:$E, 5, FALSE), 0)</f>
        <v>0</v>
      </c>
    </row>
    <row r="1809" spans="7:8">
      <c r="G1809">
        <f>IF($D1809="", "", IF($D1809="Receipt", $C1809*VLOOKUP($B1809, Items!$A:$E, 5, FALSE), IF($D1809="Consumption", -$C1809*VLOOKUP($B1809, Items!$A:$E, 5, FALSE), "")))</f>
        <v>0</v>
      </c>
      <c r="H1809">
        <f>IF($D1809="Consumption", -$C1809*VLOOKUP($B1809, Items!$A:$E, 5, FALSE), 0)</f>
        <v>0</v>
      </c>
    </row>
    <row r="1810" spans="7:8">
      <c r="G1810">
        <f>IF($D1810="", "", IF($D1810="Receipt", $C1810*VLOOKUP($B1810, Items!$A:$E, 5, FALSE), IF($D1810="Consumption", -$C1810*VLOOKUP($B1810, Items!$A:$E, 5, FALSE), "")))</f>
        <v>0</v>
      </c>
      <c r="H1810">
        <f>IF($D1810="Consumption", -$C1810*VLOOKUP($B1810, Items!$A:$E, 5, FALSE), 0)</f>
        <v>0</v>
      </c>
    </row>
    <row r="1811" spans="7:8">
      <c r="G1811">
        <f>IF($D1811="", "", IF($D1811="Receipt", $C1811*VLOOKUP($B1811, Items!$A:$E, 5, FALSE), IF($D1811="Consumption", -$C1811*VLOOKUP($B1811, Items!$A:$E, 5, FALSE), "")))</f>
        <v>0</v>
      </c>
      <c r="H1811">
        <f>IF($D1811="Consumption", -$C1811*VLOOKUP($B1811, Items!$A:$E, 5, FALSE), 0)</f>
        <v>0</v>
      </c>
    </row>
    <row r="1812" spans="7:8">
      <c r="G1812">
        <f>IF($D1812="", "", IF($D1812="Receipt", $C1812*VLOOKUP($B1812, Items!$A:$E, 5, FALSE), IF($D1812="Consumption", -$C1812*VLOOKUP($B1812, Items!$A:$E, 5, FALSE), "")))</f>
        <v>0</v>
      </c>
      <c r="H1812">
        <f>IF($D1812="Consumption", -$C1812*VLOOKUP($B1812, Items!$A:$E, 5, FALSE), 0)</f>
        <v>0</v>
      </c>
    </row>
    <row r="1813" spans="7:8">
      <c r="G1813">
        <f>IF($D1813="", "", IF($D1813="Receipt", $C1813*VLOOKUP($B1813, Items!$A:$E, 5, FALSE), IF($D1813="Consumption", -$C1813*VLOOKUP($B1813, Items!$A:$E, 5, FALSE), "")))</f>
        <v>0</v>
      </c>
      <c r="H1813">
        <f>IF($D1813="Consumption", -$C1813*VLOOKUP($B1813, Items!$A:$E, 5, FALSE), 0)</f>
        <v>0</v>
      </c>
    </row>
    <row r="1814" spans="7:8">
      <c r="G1814">
        <f>IF($D1814="", "", IF($D1814="Receipt", $C1814*VLOOKUP($B1814, Items!$A:$E, 5, FALSE), IF($D1814="Consumption", -$C1814*VLOOKUP($B1814, Items!$A:$E, 5, FALSE), "")))</f>
        <v>0</v>
      </c>
      <c r="H1814">
        <f>IF($D1814="Consumption", -$C1814*VLOOKUP($B1814, Items!$A:$E, 5, FALSE), 0)</f>
        <v>0</v>
      </c>
    </row>
    <row r="1815" spans="7:8">
      <c r="G1815">
        <f>IF($D1815="", "", IF($D1815="Receipt", $C1815*VLOOKUP($B1815, Items!$A:$E, 5, FALSE), IF($D1815="Consumption", -$C1815*VLOOKUP($B1815, Items!$A:$E, 5, FALSE), "")))</f>
        <v>0</v>
      </c>
      <c r="H1815">
        <f>IF($D1815="Consumption", -$C1815*VLOOKUP($B1815, Items!$A:$E, 5, FALSE), 0)</f>
        <v>0</v>
      </c>
    </row>
    <row r="1816" spans="7:8">
      <c r="G1816">
        <f>IF($D1816="", "", IF($D1816="Receipt", $C1816*VLOOKUP($B1816, Items!$A:$E, 5, FALSE), IF($D1816="Consumption", -$C1816*VLOOKUP($B1816, Items!$A:$E, 5, FALSE), "")))</f>
        <v>0</v>
      </c>
      <c r="H1816">
        <f>IF($D1816="Consumption", -$C1816*VLOOKUP($B1816, Items!$A:$E, 5, FALSE), 0)</f>
        <v>0</v>
      </c>
    </row>
    <row r="1817" spans="7:8">
      <c r="G1817">
        <f>IF($D1817="", "", IF($D1817="Receipt", $C1817*VLOOKUP($B1817, Items!$A:$E, 5, FALSE), IF($D1817="Consumption", -$C1817*VLOOKUP($B1817, Items!$A:$E, 5, FALSE), "")))</f>
        <v>0</v>
      </c>
      <c r="H1817">
        <f>IF($D1817="Consumption", -$C1817*VLOOKUP($B1817, Items!$A:$E, 5, FALSE), 0)</f>
        <v>0</v>
      </c>
    </row>
    <row r="1818" spans="7:8">
      <c r="G1818">
        <f>IF($D1818="", "", IF($D1818="Receipt", $C1818*VLOOKUP($B1818, Items!$A:$E, 5, FALSE), IF($D1818="Consumption", -$C1818*VLOOKUP($B1818, Items!$A:$E, 5, FALSE), "")))</f>
        <v>0</v>
      </c>
      <c r="H1818">
        <f>IF($D1818="Consumption", -$C1818*VLOOKUP($B1818, Items!$A:$E, 5, FALSE), 0)</f>
        <v>0</v>
      </c>
    </row>
    <row r="1819" spans="7:8">
      <c r="G1819">
        <f>IF($D1819="", "", IF($D1819="Receipt", $C1819*VLOOKUP($B1819, Items!$A:$E, 5, FALSE), IF($D1819="Consumption", -$C1819*VLOOKUP($B1819, Items!$A:$E, 5, FALSE), "")))</f>
        <v>0</v>
      </c>
      <c r="H1819">
        <f>IF($D1819="Consumption", -$C1819*VLOOKUP($B1819, Items!$A:$E, 5, FALSE), 0)</f>
        <v>0</v>
      </c>
    </row>
    <row r="1820" spans="7:8">
      <c r="G1820">
        <f>IF($D1820="", "", IF($D1820="Receipt", $C1820*VLOOKUP($B1820, Items!$A:$E, 5, FALSE), IF($D1820="Consumption", -$C1820*VLOOKUP($B1820, Items!$A:$E, 5, FALSE), "")))</f>
        <v>0</v>
      </c>
      <c r="H1820">
        <f>IF($D1820="Consumption", -$C1820*VLOOKUP($B1820, Items!$A:$E, 5, FALSE), 0)</f>
        <v>0</v>
      </c>
    </row>
    <row r="1821" spans="7:8">
      <c r="G1821">
        <f>IF($D1821="", "", IF($D1821="Receipt", $C1821*VLOOKUP($B1821, Items!$A:$E, 5, FALSE), IF($D1821="Consumption", -$C1821*VLOOKUP($B1821, Items!$A:$E, 5, FALSE), "")))</f>
        <v>0</v>
      </c>
      <c r="H1821">
        <f>IF($D1821="Consumption", -$C1821*VLOOKUP($B1821, Items!$A:$E, 5, FALSE), 0)</f>
        <v>0</v>
      </c>
    </row>
    <row r="1822" spans="7:8">
      <c r="G1822">
        <f>IF($D1822="", "", IF($D1822="Receipt", $C1822*VLOOKUP($B1822, Items!$A:$E, 5, FALSE), IF($D1822="Consumption", -$C1822*VLOOKUP($B1822, Items!$A:$E, 5, FALSE), "")))</f>
        <v>0</v>
      </c>
      <c r="H1822">
        <f>IF($D1822="Consumption", -$C1822*VLOOKUP($B1822, Items!$A:$E, 5, FALSE), 0)</f>
        <v>0</v>
      </c>
    </row>
    <row r="1823" spans="7:8">
      <c r="G1823">
        <f>IF($D1823="", "", IF($D1823="Receipt", $C1823*VLOOKUP($B1823, Items!$A:$E, 5, FALSE), IF($D1823="Consumption", -$C1823*VLOOKUP($B1823, Items!$A:$E, 5, FALSE), "")))</f>
        <v>0</v>
      </c>
      <c r="H1823">
        <f>IF($D1823="Consumption", -$C1823*VLOOKUP($B1823, Items!$A:$E, 5, FALSE), 0)</f>
        <v>0</v>
      </c>
    </row>
    <row r="1824" spans="7:8">
      <c r="G1824">
        <f>IF($D1824="", "", IF($D1824="Receipt", $C1824*VLOOKUP($B1824, Items!$A:$E, 5, FALSE), IF($D1824="Consumption", -$C1824*VLOOKUP($B1824, Items!$A:$E, 5, FALSE), "")))</f>
        <v>0</v>
      </c>
      <c r="H1824">
        <f>IF($D1824="Consumption", -$C1824*VLOOKUP($B1824, Items!$A:$E, 5, FALSE), 0)</f>
        <v>0</v>
      </c>
    </row>
    <row r="1825" spans="7:8">
      <c r="G1825">
        <f>IF($D1825="", "", IF($D1825="Receipt", $C1825*VLOOKUP($B1825, Items!$A:$E, 5, FALSE), IF($D1825="Consumption", -$C1825*VLOOKUP($B1825, Items!$A:$E, 5, FALSE), "")))</f>
        <v>0</v>
      </c>
      <c r="H1825">
        <f>IF($D1825="Consumption", -$C1825*VLOOKUP($B1825, Items!$A:$E, 5, FALSE), 0)</f>
        <v>0</v>
      </c>
    </row>
    <row r="1826" spans="7:8">
      <c r="G1826">
        <f>IF($D1826="", "", IF($D1826="Receipt", $C1826*VLOOKUP($B1826, Items!$A:$E, 5, FALSE), IF($D1826="Consumption", -$C1826*VLOOKUP($B1826, Items!$A:$E, 5, FALSE), "")))</f>
        <v>0</v>
      </c>
      <c r="H1826">
        <f>IF($D1826="Consumption", -$C1826*VLOOKUP($B1826, Items!$A:$E, 5, FALSE), 0)</f>
        <v>0</v>
      </c>
    </row>
    <row r="1827" spans="7:8">
      <c r="G1827">
        <f>IF($D1827="", "", IF($D1827="Receipt", $C1827*VLOOKUP($B1827, Items!$A:$E, 5, FALSE), IF($D1827="Consumption", -$C1827*VLOOKUP($B1827, Items!$A:$E, 5, FALSE), "")))</f>
        <v>0</v>
      </c>
      <c r="H1827">
        <f>IF($D1827="Consumption", -$C1827*VLOOKUP($B1827, Items!$A:$E, 5, FALSE), 0)</f>
        <v>0</v>
      </c>
    </row>
    <row r="1828" spans="7:8">
      <c r="G1828">
        <f>IF($D1828="", "", IF($D1828="Receipt", $C1828*VLOOKUP($B1828, Items!$A:$E, 5, FALSE), IF($D1828="Consumption", -$C1828*VLOOKUP($B1828, Items!$A:$E, 5, FALSE), "")))</f>
        <v>0</v>
      </c>
      <c r="H1828">
        <f>IF($D1828="Consumption", -$C1828*VLOOKUP($B1828, Items!$A:$E, 5, FALSE), 0)</f>
        <v>0</v>
      </c>
    </row>
    <row r="1829" spans="7:8">
      <c r="G1829">
        <f>IF($D1829="", "", IF($D1829="Receipt", $C1829*VLOOKUP($B1829, Items!$A:$E, 5, FALSE), IF($D1829="Consumption", -$C1829*VLOOKUP($B1829, Items!$A:$E, 5, FALSE), "")))</f>
        <v>0</v>
      </c>
      <c r="H1829">
        <f>IF($D1829="Consumption", -$C1829*VLOOKUP($B1829, Items!$A:$E, 5, FALSE), 0)</f>
        <v>0</v>
      </c>
    </row>
    <row r="1830" spans="7:8">
      <c r="G1830">
        <f>IF($D1830="", "", IF($D1830="Receipt", $C1830*VLOOKUP($B1830, Items!$A:$E, 5, FALSE), IF($D1830="Consumption", -$C1830*VLOOKUP($B1830, Items!$A:$E, 5, FALSE), "")))</f>
        <v>0</v>
      </c>
      <c r="H1830">
        <f>IF($D1830="Consumption", -$C1830*VLOOKUP($B1830, Items!$A:$E, 5, FALSE), 0)</f>
        <v>0</v>
      </c>
    </row>
    <row r="1831" spans="7:8">
      <c r="G1831">
        <f>IF($D1831="", "", IF($D1831="Receipt", $C1831*VLOOKUP($B1831, Items!$A:$E, 5, FALSE), IF($D1831="Consumption", -$C1831*VLOOKUP($B1831, Items!$A:$E, 5, FALSE), "")))</f>
        <v>0</v>
      </c>
      <c r="H1831">
        <f>IF($D1831="Consumption", -$C1831*VLOOKUP($B1831, Items!$A:$E, 5, FALSE), 0)</f>
        <v>0</v>
      </c>
    </row>
    <row r="1832" spans="7:8">
      <c r="G1832">
        <f>IF($D1832="", "", IF($D1832="Receipt", $C1832*VLOOKUP($B1832, Items!$A:$E, 5, FALSE), IF($D1832="Consumption", -$C1832*VLOOKUP($B1832, Items!$A:$E, 5, FALSE), "")))</f>
        <v>0</v>
      </c>
      <c r="H1832">
        <f>IF($D1832="Consumption", -$C1832*VLOOKUP($B1832, Items!$A:$E, 5, FALSE), 0)</f>
        <v>0</v>
      </c>
    </row>
    <row r="1833" spans="7:8">
      <c r="G1833">
        <f>IF($D1833="", "", IF($D1833="Receipt", $C1833*VLOOKUP($B1833, Items!$A:$E, 5, FALSE), IF($D1833="Consumption", -$C1833*VLOOKUP($B1833, Items!$A:$E, 5, FALSE), "")))</f>
        <v>0</v>
      </c>
      <c r="H1833">
        <f>IF($D1833="Consumption", -$C1833*VLOOKUP($B1833, Items!$A:$E, 5, FALSE), 0)</f>
        <v>0</v>
      </c>
    </row>
    <row r="1834" spans="7:8">
      <c r="G1834">
        <f>IF($D1834="", "", IF($D1834="Receipt", $C1834*VLOOKUP($B1834, Items!$A:$E, 5, FALSE), IF($D1834="Consumption", -$C1834*VLOOKUP($B1834, Items!$A:$E, 5, FALSE), "")))</f>
        <v>0</v>
      </c>
      <c r="H1834">
        <f>IF($D1834="Consumption", -$C1834*VLOOKUP($B1834, Items!$A:$E, 5, FALSE), 0)</f>
        <v>0</v>
      </c>
    </row>
    <row r="1835" spans="7:8">
      <c r="G1835">
        <f>IF($D1835="", "", IF($D1835="Receipt", $C1835*VLOOKUP($B1835, Items!$A:$E, 5, FALSE), IF($D1835="Consumption", -$C1835*VLOOKUP($B1835, Items!$A:$E, 5, FALSE), "")))</f>
        <v>0</v>
      </c>
      <c r="H1835">
        <f>IF($D1835="Consumption", -$C1835*VLOOKUP($B1835, Items!$A:$E, 5, FALSE), 0)</f>
        <v>0</v>
      </c>
    </row>
    <row r="1836" spans="7:8">
      <c r="G1836">
        <f>IF($D1836="", "", IF($D1836="Receipt", $C1836*VLOOKUP($B1836, Items!$A:$E, 5, FALSE), IF($D1836="Consumption", -$C1836*VLOOKUP($B1836, Items!$A:$E, 5, FALSE), "")))</f>
        <v>0</v>
      </c>
      <c r="H1836">
        <f>IF($D1836="Consumption", -$C1836*VLOOKUP($B1836, Items!$A:$E, 5, FALSE), 0)</f>
        <v>0</v>
      </c>
    </row>
    <row r="1837" spans="7:8">
      <c r="G1837">
        <f>IF($D1837="", "", IF($D1837="Receipt", $C1837*VLOOKUP($B1837, Items!$A:$E, 5, FALSE), IF($D1837="Consumption", -$C1837*VLOOKUP($B1837, Items!$A:$E, 5, FALSE), "")))</f>
        <v>0</v>
      </c>
      <c r="H1837">
        <f>IF($D1837="Consumption", -$C1837*VLOOKUP($B1837, Items!$A:$E, 5, FALSE), 0)</f>
        <v>0</v>
      </c>
    </row>
    <row r="1838" spans="7:8">
      <c r="G1838">
        <f>IF($D1838="", "", IF($D1838="Receipt", $C1838*VLOOKUP($B1838, Items!$A:$E, 5, FALSE), IF($D1838="Consumption", -$C1838*VLOOKUP($B1838, Items!$A:$E, 5, FALSE), "")))</f>
        <v>0</v>
      </c>
      <c r="H1838">
        <f>IF($D1838="Consumption", -$C1838*VLOOKUP($B1838, Items!$A:$E, 5, FALSE), 0)</f>
        <v>0</v>
      </c>
    </row>
    <row r="1839" spans="7:8">
      <c r="G1839">
        <f>IF($D1839="", "", IF($D1839="Receipt", $C1839*VLOOKUP($B1839, Items!$A:$E, 5, FALSE), IF($D1839="Consumption", -$C1839*VLOOKUP($B1839, Items!$A:$E, 5, FALSE), "")))</f>
        <v>0</v>
      </c>
      <c r="H1839">
        <f>IF($D1839="Consumption", -$C1839*VLOOKUP($B1839, Items!$A:$E, 5, FALSE), 0)</f>
        <v>0</v>
      </c>
    </row>
    <row r="1840" spans="7:8">
      <c r="G1840">
        <f>IF($D1840="", "", IF($D1840="Receipt", $C1840*VLOOKUP($B1840, Items!$A:$E, 5, FALSE), IF($D1840="Consumption", -$C1840*VLOOKUP($B1840, Items!$A:$E, 5, FALSE), "")))</f>
        <v>0</v>
      </c>
      <c r="H1840">
        <f>IF($D1840="Consumption", -$C1840*VLOOKUP($B1840, Items!$A:$E, 5, FALSE), 0)</f>
        <v>0</v>
      </c>
    </row>
    <row r="1841" spans="7:8">
      <c r="G1841">
        <f>IF($D1841="", "", IF($D1841="Receipt", $C1841*VLOOKUP($B1841, Items!$A:$E, 5, FALSE), IF($D1841="Consumption", -$C1841*VLOOKUP($B1841, Items!$A:$E, 5, FALSE), "")))</f>
        <v>0</v>
      </c>
      <c r="H1841">
        <f>IF($D1841="Consumption", -$C1841*VLOOKUP($B1841, Items!$A:$E, 5, FALSE), 0)</f>
        <v>0</v>
      </c>
    </row>
    <row r="1842" spans="7:8">
      <c r="G1842">
        <f>IF($D1842="", "", IF($D1842="Receipt", $C1842*VLOOKUP($B1842, Items!$A:$E, 5, FALSE), IF($D1842="Consumption", -$C1842*VLOOKUP($B1842, Items!$A:$E, 5, FALSE), "")))</f>
        <v>0</v>
      </c>
      <c r="H1842">
        <f>IF($D1842="Consumption", -$C1842*VLOOKUP($B1842, Items!$A:$E, 5, FALSE), 0)</f>
        <v>0</v>
      </c>
    </row>
    <row r="1843" spans="7:8">
      <c r="G1843">
        <f>IF($D1843="", "", IF($D1843="Receipt", $C1843*VLOOKUP($B1843, Items!$A:$E, 5, FALSE), IF($D1843="Consumption", -$C1843*VLOOKUP($B1843, Items!$A:$E, 5, FALSE), "")))</f>
        <v>0</v>
      </c>
      <c r="H1843">
        <f>IF($D1843="Consumption", -$C1843*VLOOKUP($B1843, Items!$A:$E, 5, FALSE), 0)</f>
        <v>0</v>
      </c>
    </row>
    <row r="1844" spans="7:8">
      <c r="G1844">
        <f>IF($D1844="", "", IF($D1844="Receipt", $C1844*VLOOKUP($B1844, Items!$A:$E, 5, FALSE), IF($D1844="Consumption", -$C1844*VLOOKUP($B1844, Items!$A:$E, 5, FALSE), "")))</f>
        <v>0</v>
      </c>
      <c r="H1844">
        <f>IF($D1844="Consumption", -$C1844*VLOOKUP($B1844, Items!$A:$E, 5, FALSE), 0)</f>
        <v>0</v>
      </c>
    </row>
    <row r="1845" spans="7:8">
      <c r="G1845">
        <f>IF($D1845="", "", IF($D1845="Receipt", $C1845*VLOOKUP($B1845, Items!$A:$E, 5, FALSE), IF($D1845="Consumption", -$C1845*VLOOKUP($B1845, Items!$A:$E, 5, FALSE), "")))</f>
        <v>0</v>
      </c>
      <c r="H1845">
        <f>IF($D1845="Consumption", -$C1845*VLOOKUP($B1845, Items!$A:$E, 5, FALSE), 0)</f>
        <v>0</v>
      </c>
    </row>
    <row r="1846" spans="7:8">
      <c r="G1846">
        <f>IF($D1846="", "", IF($D1846="Receipt", $C1846*VLOOKUP($B1846, Items!$A:$E, 5, FALSE), IF($D1846="Consumption", -$C1846*VLOOKUP($B1846, Items!$A:$E, 5, FALSE), "")))</f>
        <v>0</v>
      </c>
      <c r="H1846">
        <f>IF($D1846="Consumption", -$C1846*VLOOKUP($B1846, Items!$A:$E, 5, FALSE), 0)</f>
        <v>0</v>
      </c>
    </row>
    <row r="1847" spans="7:8">
      <c r="G1847">
        <f>IF($D1847="", "", IF($D1847="Receipt", $C1847*VLOOKUP($B1847, Items!$A:$E, 5, FALSE), IF($D1847="Consumption", -$C1847*VLOOKUP($B1847, Items!$A:$E, 5, FALSE), "")))</f>
        <v>0</v>
      </c>
      <c r="H1847">
        <f>IF($D1847="Consumption", -$C1847*VLOOKUP($B1847, Items!$A:$E, 5, FALSE), 0)</f>
        <v>0</v>
      </c>
    </row>
    <row r="1848" spans="7:8">
      <c r="G1848">
        <f>IF($D1848="", "", IF($D1848="Receipt", $C1848*VLOOKUP($B1848, Items!$A:$E, 5, FALSE), IF($D1848="Consumption", -$C1848*VLOOKUP($B1848, Items!$A:$E, 5, FALSE), "")))</f>
        <v>0</v>
      </c>
      <c r="H1848">
        <f>IF($D1848="Consumption", -$C1848*VLOOKUP($B1848, Items!$A:$E, 5, FALSE), 0)</f>
        <v>0</v>
      </c>
    </row>
    <row r="1849" spans="7:8">
      <c r="G1849">
        <f>IF($D1849="", "", IF($D1849="Receipt", $C1849*VLOOKUP($B1849, Items!$A:$E, 5, FALSE), IF($D1849="Consumption", -$C1849*VLOOKUP($B1849, Items!$A:$E, 5, FALSE), "")))</f>
        <v>0</v>
      </c>
      <c r="H1849">
        <f>IF($D1849="Consumption", -$C1849*VLOOKUP($B1849, Items!$A:$E, 5, FALSE), 0)</f>
        <v>0</v>
      </c>
    </row>
    <row r="1850" spans="7:8">
      <c r="G1850">
        <f>IF($D1850="", "", IF($D1850="Receipt", $C1850*VLOOKUP($B1850, Items!$A:$E, 5, FALSE), IF($D1850="Consumption", -$C1850*VLOOKUP($B1850, Items!$A:$E, 5, FALSE), "")))</f>
        <v>0</v>
      </c>
      <c r="H1850">
        <f>IF($D1850="Consumption", -$C1850*VLOOKUP($B1850, Items!$A:$E, 5, FALSE), 0)</f>
        <v>0</v>
      </c>
    </row>
    <row r="1851" spans="7:8">
      <c r="G1851">
        <f>IF($D1851="", "", IF($D1851="Receipt", $C1851*VLOOKUP($B1851, Items!$A:$E, 5, FALSE), IF($D1851="Consumption", -$C1851*VLOOKUP($B1851, Items!$A:$E, 5, FALSE), "")))</f>
        <v>0</v>
      </c>
      <c r="H1851">
        <f>IF($D1851="Consumption", -$C1851*VLOOKUP($B1851, Items!$A:$E, 5, FALSE), 0)</f>
        <v>0</v>
      </c>
    </row>
    <row r="1852" spans="7:8">
      <c r="G1852">
        <f>IF($D1852="", "", IF($D1852="Receipt", $C1852*VLOOKUP($B1852, Items!$A:$E, 5, FALSE), IF($D1852="Consumption", -$C1852*VLOOKUP($B1852, Items!$A:$E, 5, FALSE), "")))</f>
        <v>0</v>
      </c>
      <c r="H1852">
        <f>IF($D1852="Consumption", -$C1852*VLOOKUP($B1852, Items!$A:$E, 5, FALSE), 0)</f>
        <v>0</v>
      </c>
    </row>
    <row r="1853" spans="7:8">
      <c r="G1853">
        <f>IF($D1853="", "", IF($D1853="Receipt", $C1853*VLOOKUP($B1853, Items!$A:$E, 5, FALSE), IF($D1853="Consumption", -$C1853*VLOOKUP($B1853, Items!$A:$E, 5, FALSE), "")))</f>
        <v>0</v>
      </c>
      <c r="H1853">
        <f>IF($D1853="Consumption", -$C1853*VLOOKUP($B1853, Items!$A:$E, 5, FALSE), 0)</f>
        <v>0</v>
      </c>
    </row>
    <row r="1854" spans="7:8">
      <c r="G1854">
        <f>IF($D1854="", "", IF($D1854="Receipt", $C1854*VLOOKUP($B1854, Items!$A:$E, 5, FALSE), IF($D1854="Consumption", -$C1854*VLOOKUP($B1854, Items!$A:$E, 5, FALSE), "")))</f>
        <v>0</v>
      </c>
      <c r="H1854">
        <f>IF($D1854="Consumption", -$C1854*VLOOKUP($B1854, Items!$A:$E, 5, FALSE), 0)</f>
        <v>0</v>
      </c>
    </row>
    <row r="1855" spans="7:8">
      <c r="G1855">
        <f>IF($D1855="", "", IF($D1855="Receipt", $C1855*VLOOKUP($B1855, Items!$A:$E, 5, FALSE), IF($D1855="Consumption", -$C1855*VLOOKUP($B1855, Items!$A:$E, 5, FALSE), "")))</f>
        <v>0</v>
      </c>
      <c r="H1855">
        <f>IF($D1855="Consumption", -$C1855*VLOOKUP($B1855, Items!$A:$E, 5, FALSE), 0)</f>
        <v>0</v>
      </c>
    </row>
    <row r="1856" spans="7:8">
      <c r="G1856">
        <f>IF($D1856="", "", IF($D1856="Receipt", $C1856*VLOOKUP($B1856, Items!$A:$E, 5, FALSE), IF($D1856="Consumption", -$C1856*VLOOKUP($B1856, Items!$A:$E, 5, FALSE), "")))</f>
        <v>0</v>
      </c>
      <c r="H1856">
        <f>IF($D1856="Consumption", -$C1856*VLOOKUP($B1856, Items!$A:$E, 5, FALSE), 0)</f>
        <v>0</v>
      </c>
    </row>
    <row r="1857" spans="7:8">
      <c r="G1857">
        <f>IF($D1857="", "", IF($D1857="Receipt", $C1857*VLOOKUP($B1857, Items!$A:$E, 5, FALSE), IF($D1857="Consumption", -$C1857*VLOOKUP($B1857, Items!$A:$E, 5, FALSE), "")))</f>
        <v>0</v>
      </c>
      <c r="H1857">
        <f>IF($D1857="Consumption", -$C1857*VLOOKUP($B1857, Items!$A:$E, 5, FALSE), 0)</f>
        <v>0</v>
      </c>
    </row>
    <row r="1858" spans="7:8">
      <c r="G1858">
        <f>IF($D1858="", "", IF($D1858="Receipt", $C1858*VLOOKUP($B1858, Items!$A:$E, 5, FALSE), IF($D1858="Consumption", -$C1858*VLOOKUP($B1858, Items!$A:$E, 5, FALSE), "")))</f>
        <v>0</v>
      </c>
      <c r="H1858">
        <f>IF($D1858="Consumption", -$C1858*VLOOKUP($B1858, Items!$A:$E, 5, FALSE), 0)</f>
        <v>0</v>
      </c>
    </row>
    <row r="1859" spans="7:8">
      <c r="G1859">
        <f>IF($D1859="", "", IF($D1859="Receipt", $C1859*VLOOKUP($B1859, Items!$A:$E, 5, FALSE), IF($D1859="Consumption", -$C1859*VLOOKUP($B1859, Items!$A:$E, 5, FALSE), "")))</f>
        <v>0</v>
      </c>
      <c r="H1859">
        <f>IF($D1859="Consumption", -$C1859*VLOOKUP($B1859, Items!$A:$E, 5, FALSE), 0)</f>
        <v>0</v>
      </c>
    </row>
    <row r="1860" spans="7:8">
      <c r="G1860">
        <f>IF($D1860="", "", IF($D1860="Receipt", $C1860*VLOOKUP($B1860, Items!$A:$E, 5, FALSE), IF($D1860="Consumption", -$C1860*VLOOKUP($B1860, Items!$A:$E, 5, FALSE), "")))</f>
        <v>0</v>
      </c>
      <c r="H1860">
        <f>IF($D1860="Consumption", -$C1860*VLOOKUP($B1860, Items!$A:$E, 5, FALSE), 0)</f>
        <v>0</v>
      </c>
    </row>
    <row r="1861" spans="7:8">
      <c r="G1861">
        <f>IF($D1861="", "", IF($D1861="Receipt", $C1861*VLOOKUP($B1861, Items!$A:$E, 5, FALSE), IF($D1861="Consumption", -$C1861*VLOOKUP($B1861, Items!$A:$E, 5, FALSE), "")))</f>
        <v>0</v>
      </c>
      <c r="H1861">
        <f>IF($D1861="Consumption", -$C1861*VLOOKUP($B1861, Items!$A:$E, 5, FALSE), 0)</f>
        <v>0</v>
      </c>
    </row>
    <row r="1862" spans="7:8">
      <c r="G1862">
        <f>IF($D1862="", "", IF($D1862="Receipt", $C1862*VLOOKUP($B1862, Items!$A:$E, 5, FALSE), IF($D1862="Consumption", -$C1862*VLOOKUP($B1862, Items!$A:$E, 5, FALSE), "")))</f>
        <v>0</v>
      </c>
      <c r="H1862">
        <f>IF($D1862="Consumption", -$C1862*VLOOKUP($B1862, Items!$A:$E, 5, FALSE), 0)</f>
        <v>0</v>
      </c>
    </row>
    <row r="1863" spans="7:8">
      <c r="G1863">
        <f>IF($D1863="", "", IF($D1863="Receipt", $C1863*VLOOKUP($B1863, Items!$A:$E, 5, FALSE), IF($D1863="Consumption", -$C1863*VLOOKUP($B1863, Items!$A:$E, 5, FALSE), "")))</f>
        <v>0</v>
      </c>
      <c r="H1863">
        <f>IF($D1863="Consumption", -$C1863*VLOOKUP($B1863, Items!$A:$E, 5, FALSE), 0)</f>
        <v>0</v>
      </c>
    </row>
    <row r="1864" spans="7:8">
      <c r="G1864">
        <f>IF($D1864="", "", IF($D1864="Receipt", $C1864*VLOOKUP($B1864, Items!$A:$E, 5, FALSE), IF($D1864="Consumption", -$C1864*VLOOKUP($B1864, Items!$A:$E, 5, FALSE), "")))</f>
        <v>0</v>
      </c>
      <c r="H1864">
        <f>IF($D1864="Consumption", -$C1864*VLOOKUP($B1864, Items!$A:$E, 5, FALSE), 0)</f>
        <v>0</v>
      </c>
    </row>
    <row r="1865" spans="7:8">
      <c r="G1865">
        <f>IF($D1865="", "", IF($D1865="Receipt", $C1865*VLOOKUP($B1865, Items!$A:$E, 5, FALSE), IF($D1865="Consumption", -$C1865*VLOOKUP($B1865, Items!$A:$E, 5, FALSE), "")))</f>
        <v>0</v>
      </c>
      <c r="H1865">
        <f>IF($D1865="Consumption", -$C1865*VLOOKUP($B1865, Items!$A:$E, 5, FALSE), 0)</f>
        <v>0</v>
      </c>
    </row>
    <row r="1866" spans="7:8">
      <c r="G1866">
        <f>IF($D1866="", "", IF($D1866="Receipt", $C1866*VLOOKUP($B1866, Items!$A:$E, 5, FALSE), IF($D1866="Consumption", -$C1866*VLOOKUP($B1866, Items!$A:$E, 5, FALSE), "")))</f>
        <v>0</v>
      </c>
      <c r="H1866">
        <f>IF($D1866="Consumption", -$C1866*VLOOKUP($B1866, Items!$A:$E, 5, FALSE), 0)</f>
        <v>0</v>
      </c>
    </row>
    <row r="1867" spans="7:8">
      <c r="G1867">
        <f>IF($D1867="", "", IF($D1867="Receipt", $C1867*VLOOKUP($B1867, Items!$A:$E, 5, FALSE), IF($D1867="Consumption", -$C1867*VLOOKUP($B1867, Items!$A:$E, 5, FALSE), "")))</f>
        <v>0</v>
      </c>
      <c r="H1867">
        <f>IF($D1867="Consumption", -$C1867*VLOOKUP($B1867, Items!$A:$E, 5, FALSE), 0)</f>
        <v>0</v>
      </c>
    </row>
    <row r="1868" spans="7:8">
      <c r="G1868">
        <f>IF($D1868="", "", IF($D1868="Receipt", $C1868*VLOOKUP($B1868, Items!$A:$E, 5, FALSE), IF($D1868="Consumption", -$C1868*VLOOKUP($B1868, Items!$A:$E, 5, FALSE), "")))</f>
        <v>0</v>
      </c>
      <c r="H1868">
        <f>IF($D1868="Consumption", -$C1868*VLOOKUP($B1868, Items!$A:$E, 5, FALSE), 0)</f>
        <v>0</v>
      </c>
    </row>
    <row r="1869" spans="7:8">
      <c r="G1869">
        <f>IF($D1869="", "", IF($D1869="Receipt", $C1869*VLOOKUP($B1869, Items!$A:$E, 5, FALSE), IF($D1869="Consumption", -$C1869*VLOOKUP($B1869, Items!$A:$E, 5, FALSE), "")))</f>
        <v>0</v>
      </c>
      <c r="H1869">
        <f>IF($D1869="Consumption", -$C1869*VLOOKUP($B1869, Items!$A:$E, 5, FALSE), 0)</f>
        <v>0</v>
      </c>
    </row>
    <row r="1870" spans="7:8">
      <c r="G1870">
        <f>IF($D1870="", "", IF($D1870="Receipt", $C1870*VLOOKUP($B1870, Items!$A:$E, 5, FALSE), IF($D1870="Consumption", -$C1870*VLOOKUP($B1870, Items!$A:$E, 5, FALSE), "")))</f>
        <v>0</v>
      </c>
      <c r="H1870">
        <f>IF($D1870="Consumption", -$C1870*VLOOKUP($B1870, Items!$A:$E, 5, FALSE), 0)</f>
        <v>0</v>
      </c>
    </row>
    <row r="1871" spans="7:8">
      <c r="G1871">
        <f>IF($D1871="", "", IF($D1871="Receipt", $C1871*VLOOKUP($B1871, Items!$A:$E, 5, FALSE), IF($D1871="Consumption", -$C1871*VLOOKUP($B1871, Items!$A:$E, 5, FALSE), "")))</f>
        <v>0</v>
      </c>
      <c r="H1871">
        <f>IF($D1871="Consumption", -$C1871*VLOOKUP($B1871, Items!$A:$E, 5, FALSE), 0)</f>
        <v>0</v>
      </c>
    </row>
    <row r="1872" spans="7:8">
      <c r="G1872">
        <f>IF($D1872="", "", IF($D1872="Receipt", $C1872*VLOOKUP($B1872, Items!$A:$E, 5, FALSE), IF($D1872="Consumption", -$C1872*VLOOKUP($B1872, Items!$A:$E, 5, FALSE), "")))</f>
        <v>0</v>
      </c>
      <c r="H1872">
        <f>IF($D1872="Consumption", -$C1872*VLOOKUP($B1872, Items!$A:$E, 5, FALSE), 0)</f>
        <v>0</v>
      </c>
    </row>
    <row r="1873" spans="7:8">
      <c r="G1873">
        <f>IF($D1873="", "", IF($D1873="Receipt", $C1873*VLOOKUP($B1873, Items!$A:$E, 5, FALSE), IF($D1873="Consumption", -$C1873*VLOOKUP($B1873, Items!$A:$E, 5, FALSE), "")))</f>
        <v>0</v>
      </c>
      <c r="H1873">
        <f>IF($D1873="Consumption", -$C1873*VLOOKUP($B1873, Items!$A:$E, 5, FALSE), 0)</f>
        <v>0</v>
      </c>
    </row>
    <row r="1874" spans="7:8">
      <c r="G1874">
        <f>IF($D1874="", "", IF($D1874="Receipt", $C1874*VLOOKUP($B1874, Items!$A:$E, 5, FALSE), IF($D1874="Consumption", -$C1874*VLOOKUP($B1874, Items!$A:$E, 5, FALSE), "")))</f>
        <v>0</v>
      </c>
      <c r="H1874">
        <f>IF($D1874="Consumption", -$C1874*VLOOKUP($B1874, Items!$A:$E, 5, FALSE), 0)</f>
        <v>0</v>
      </c>
    </row>
    <row r="1875" spans="7:8">
      <c r="G1875">
        <f>IF($D1875="", "", IF($D1875="Receipt", $C1875*VLOOKUP($B1875, Items!$A:$E, 5, FALSE), IF($D1875="Consumption", -$C1875*VLOOKUP($B1875, Items!$A:$E, 5, FALSE), "")))</f>
        <v>0</v>
      </c>
      <c r="H1875">
        <f>IF($D1875="Consumption", -$C1875*VLOOKUP($B1875, Items!$A:$E, 5, FALSE), 0)</f>
        <v>0</v>
      </c>
    </row>
    <row r="1876" spans="7:8">
      <c r="G1876">
        <f>IF($D1876="", "", IF($D1876="Receipt", $C1876*VLOOKUP($B1876, Items!$A:$E, 5, FALSE), IF($D1876="Consumption", -$C1876*VLOOKUP($B1876, Items!$A:$E, 5, FALSE), "")))</f>
        <v>0</v>
      </c>
      <c r="H1876">
        <f>IF($D1876="Consumption", -$C1876*VLOOKUP($B1876, Items!$A:$E, 5, FALSE), 0)</f>
        <v>0</v>
      </c>
    </row>
    <row r="1877" spans="7:8">
      <c r="G1877">
        <f>IF($D1877="", "", IF($D1877="Receipt", $C1877*VLOOKUP($B1877, Items!$A:$E, 5, FALSE), IF($D1877="Consumption", -$C1877*VLOOKUP($B1877, Items!$A:$E, 5, FALSE), "")))</f>
        <v>0</v>
      </c>
      <c r="H1877">
        <f>IF($D1877="Consumption", -$C1877*VLOOKUP($B1877, Items!$A:$E, 5, FALSE), 0)</f>
        <v>0</v>
      </c>
    </row>
    <row r="1878" spans="7:8">
      <c r="G1878">
        <f>IF($D1878="", "", IF($D1878="Receipt", $C1878*VLOOKUP($B1878, Items!$A:$E, 5, FALSE), IF($D1878="Consumption", -$C1878*VLOOKUP($B1878, Items!$A:$E, 5, FALSE), "")))</f>
        <v>0</v>
      </c>
      <c r="H1878">
        <f>IF($D1878="Consumption", -$C1878*VLOOKUP($B1878, Items!$A:$E, 5, FALSE), 0)</f>
        <v>0</v>
      </c>
    </row>
    <row r="1879" spans="7:8">
      <c r="G1879">
        <f>IF($D1879="", "", IF($D1879="Receipt", $C1879*VLOOKUP($B1879, Items!$A:$E, 5, FALSE), IF($D1879="Consumption", -$C1879*VLOOKUP($B1879, Items!$A:$E, 5, FALSE), "")))</f>
        <v>0</v>
      </c>
      <c r="H1879">
        <f>IF($D1879="Consumption", -$C1879*VLOOKUP($B1879, Items!$A:$E, 5, FALSE), 0)</f>
        <v>0</v>
      </c>
    </row>
    <row r="1880" spans="7:8">
      <c r="G1880">
        <f>IF($D1880="", "", IF($D1880="Receipt", $C1880*VLOOKUP($B1880, Items!$A:$E, 5, FALSE), IF($D1880="Consumption", -$C1880*VLOOKUP($B1880, Items!$A:$E, 5, FALSE), "")))</f>
        <v>0</v>
      </c>
      <c r="H1880">
        <f>IF($D1880="Consumption", -$C1880*VLOOKUP($B1880, Items!$A:$E, 5, FALSE), 0)</f>
        <v>0</v>
      </c>
    </row>
    <row r="1881" spans="7:8">
      <c r="G1881">
        <f>IF($D1881="", "", IF($D1881="Receipt", $C1881*VLOOKUP($B1881, Items!$A:$E, 5, FALSE), IF($D1881="Consumption", -$C1881*VLOOKUP($B1881, Items!$A:$E, 5, FALSE), "")))</f>
        <v>0</v>
      </c>
      <c r="H1881">
        <f>IF($D1881="Consumption", -$C1881*VLOOKUP($B1881, Items!$A:$E, 5, FALSE), 0)</f>
        <v>0</v>
      </c>
    </row>
    <row r="1882" spans="7:8">
      <c r="G1882">
        <f>IF($D1882="", "", IF($D1882="Receipt", $C1882*VLOOKUP($B1882, Items!$A:$E, 5, FALSE), IF($D1882="Consumption", -$C1882*VLOOKUP($B1882, Items!$A:$E, 5, FALSE), "")))</f>
        <v>0</v>
      </c>
      <c r="H1882">
        <f>IF($D1882="Consumption", -$C1882*VLOOKUP($B1882, Items!$A:$E, 5, FALSE), 0)</f>
        <v>0</v>
      </c>
    </row>
    <row r="1883" spans="7:8">
      <c r="G1883">
        <f>IF($D1883="", "", IF($D1883="Receipt", $C1883*VLOOKUP($B1883, Items!$A:$E, 5, FALSE), IF($D1883="Consumption", -$C1883*VLOOKUP($B1883, Items!$A:$E, 5, FALSE), "")))</f>
        <v>0</v>
      </c>
      <c r="H1883">
        <f>IF($D1883="Consumption", -$C1883*VLOOKUP($B1883, Items!$A:$E, 5, FALSE), 0)</f>
        <v>0</v>
      </c>
    </row>
    <row r="1884" spans="7:8">
      <c r="G1884">
        <f>IF($D1884="", "", IF($D1884="Receipt", $C1884*VLOOKUP($B1884, Items!$A:$E, 5, FALSE), IF($D1884="Consumption", -$C1884*VLOOKUP($B1884, Items!$A:$E, 5, FALSE), "")))</f>
        <v>0</v>
      </c>
      <c r="H1884">
        <f>IF($D1884="Consumption", -$C1884*VLOOKUP($B1884, Items!$A:$E, 5, FALSE), 0)</f>
        <v>0</v>
      </c>
    </row>
    <row r="1885" spans="7:8">
      <c r="G1885">
        <f>IF($D1885="", "", IF($D1885="Receipt", $C1885*VLOOKUP($B1885, Items!$A:$E, 5, FALSE), IF($D1885="Consumption", -$C1885*VLOOKUP($B1885, Items!$A:$E, 5, FALSE), "")))</f>
        <v>0</v>
      </c>
      <c r="H1885">
        <f>IF($D1885="Consumption", -$C1885*VLOOKUP($B1885, Items!$A:$E, 5, FALSE), 0)</f>
        <v>0</v>
      </c>
    </row>
    <row r="1886" spans="7:8">
      <c r="G1886">
        <f>IF($D1886="", "", IF($D1886="Receipt", $C1886*VLOOKUP($B1886, Items!$A:$E, 5, FALSE), IF($D1886="Consumption", -$C1886*VLOOKUP($B1886, Items!$A:$E, 5, FALSE), "")))</f>
        <v>0</v>
      </c>
      <c r="H1886">
        <f>IF($D1886="Consumption", -$C1886*VLOOKUP($B1886, Items!$A:$E, 5, FALSE), 0)</f>
        <v>0</v>
      </c>
    </row>
    <row r="1887" spans="7:8">
      <c r="G1887">
        <f>IF($D1887="", "", IF($D1887="Receipt", $C1887*VLOOKUP($B1887, Items!$A:$E, 5, FALSE), IF($D1887="Consumption", -$C1887*VLOOKUP($B1887, Items!$A:$E, 5, FALSE), "")))</f>
        <v>0</v>
      </c>
      <c r="H1887">
        <f>IF($D1887="Consumption", -$C1887*VLOOKUP($B1887, Items!$A:$E, 5, FALSE), 0)</f>
        <v>0</v>
      </c>
    </row>
    <row r="1888" spans="7:8">
      <c r="G1888">
        <f>IF($D1888="", "", IF($D1888="Receipt", $C1888*VLOOKUP($B1888, Items!$A:$E, 5, FALSE), IF($D1888="Consumption", -$C1888*VLOOKUP($B1888, Items!$A:$E, 5, FALSE), "")))</f>
        <v>0</v>
      </c>
      <c r="H1888">
        <f>IF($D1888="Consumption", -$C1888*VLOOKUP($B1888, Items!$A:$E, 5, FALSE), 0)</f>
        <v>0</v>
      </c>
    </row>
    <row r="1889" spans="7:8">
      <c r="G1889">
        <f>IF($D1889="", "", IF($D1889="Receipt", $C1889*VLOOKUP($B1889, Items!$A:$E, 5, FALSE), IF($D1889="Consumption", -$C1889*VLOOKUP($B1889, Items!$A:$E, 5, FALSE), "")))</f>
        <v>0</v>
      </c>
      <c r="H1889">
        <f>IF($D1889="Consumption", -$C1889*VLOOKUP($B1889, Items!$A:$E, 5, FALSE), 0)</f>
        <v>0</v>
      </c>
    </row>
    <row r="1890" spans="7:8">
      <c r="G1890">
        <f>IF($D1890="", "", IF($D1890="Receipt", $C1890*VLOOKUP($B1890, Items!$A:$E, 5, FALSE), IF($D1890="Consumption", -$C1890*VLOOKUP($B1890, Items!$A:$E, 5, FALSE), "")))</f>
        <v>0</v>
      </c>
      <c r="H1890">
        <f>IF($D1890="Consumption", -$C1890*VLOOKUP($B1890, Items!$A:$E, 5, FALSE), 0)</f>
        <v>0</v>
      </c>
    </row>
    <row r="1891" spans="7:8">
      <c r="G1891">
        <f>IF($D1891="", "", IF($D1891="Receipt", $C1891*VLOOKUP($B1891, Items!$A:$E, 5, FALSE), IF($D1891="Consumption", -$C1891*VLOOKUP($B1891, Items!$A:$E, 5, FALSE), "")))</f>
        <v>0</v>
      </c>
      <c r="H1891">
        <f>IF($D1891="Consumption", -$C1891*VLOOKUP($B1891, Items!$A:$E, 5, FALSE), 0)</f>
        <v>0</v>
      </c>
    </row>
    <row r="1892" spans="7:8">
      <c r="G1892">
        <f>IF($D1892="", "", IF($D1892="Receipt", $C1892*VLOOKUP($B1892, Items!$A:$E, 5, FALSE), IF($D1892="Consumption", -$C1892*VLOOKUP($B1892, Items!$A:$E, 5, FALSE), "")))</f>
        <v>0</v>
      </c>
      <c r="H1892">
        <f>IF($D1892="Consumption", -$C1892*VLOOKUP($B1892, Items!$A:$E, 5, FALSE), 0)</f>
        <v>0</v>
      </c>
    </row>
    <row r="1893" spans="7:8">
      <c r="G1893">
        <f>IF($D1893="", "", IF($D1893="Receipt", $C1893*VLOOKUP($B1893, Items!$A:$E, 5, FALSE), IF($D1893="Consumption", -$C1893*VLOOKUP($B1893, Items!$A:$E, 5, FALSE), "")))</f>
        <v>0</v>
      </c>
      <c r="H1893">
        <f>IF($D1893="Consumption", -$C1893*VLOOKUP($B1893, Items!$A:$E, 5, FALSE), 0)</f>
        <v>0</v>
      </c>
    </row>
    <row r="1894" spans="7:8">
      <c r="G1894">
        <f>IF($D1894="", "", IF($D1894="Receipt", $C1894*VLOOKUP($B1894, Items!$A:$E, 5, FALSE), IF($D1894="Consumption", -$C1894*VLOOKUP($B1894, Items!$A:$E, 5, FALSE), "")))</f>
        <v>0</v>
      </c>
      <c r="H1894">
        <f>IF($D1894="Consumption", -$C1894*VLOOKUP($B1894, Items!$A:$E, 5, FALSE), 0)</f>
        <v>0</v>
      </c>
    </row>
    <row r="1895" spans="7:8">
      <c r="G1895">
        <f>IF($D1895="", "", IF($D1895="Receipt", $C1895*VLOOKUP($B1895, Items!$A:$E, 5, FALSE), IF($D1895="Consumption", -$C1895*VLOOKUP($B1895, Items!$A:$E, 5, FALSE), "")))</f>
        <v>0</v>
      </c>
      <c r="H1895">
        <f>IF($D1895="Consumption", -$C1895*VLOOKUP($B1895, Items!$A:$E, 5, FALSE), 0)</f>
        <v>0</v>
      </c>
    </row>
    <row r="1896" spans="7:8">
      <c r="G1896">
        <f>IF($D1896="", "", IF($D1896="Receipt", $C1896*VLOOKUP($B1896, Items!$A:$E, 5, FALSE), IF($D1896="Consumption", -$C1896*VLOOKUP($B1896, Items!$A:$E, 5, FALSE), "")))</f>
        <v>0</v>
      </c>
      <c r="H1896">
        <f>IF($D1896="Consumption", -$C1896*VLOOKUP($B1896, Items!$A:$E, 5, FALSE), 0)</f>
        <v>0</v>
      </c>
    </row>
    <row r="1897" spans="7:8">
      <c r="G1897">
        <f>IF($D1897="", "", IF($D1897="Receipt", $C1897*VLOOKUP($B1897, Items!$A:$E, 5, FALSE), IF($D1897="Consumption", -$C1897*VLOOKUP($B1897, Items!$A:$E, 5, FALSE), "")))</f>
        <v>0</v>
      </c>
      <c r="H1897">
        <f>IF($D1897="Consumption", -$C1897*VLOOKUP($B1897, Items!$A:$E, 5, FALSE), 0)</f>
        <v>0</v>
      </c>
    </row>
    <row r="1898" spans="7:8">
      <c r="G1898">
        <f>IF($D1898="", "", IF($D1898="Receipt", $C1898*VLOOKUP($B1898, Items!$A:$E, 5, FALSE), IF($D1898="Consumption", -$C1898*VLOOKUP($B1898, Items!$A:$E, 5, FALSE), "")))</f>
        <v>0</v>
      </c>
      <c r="H1898">
        <f>IF($D1898="Consumption", -$C1898*VLOOKUP($B1898, Items!$A:$E, 5, FALSE), 0)</f>
        <v>0</v>
      </c>
    </row>
    <row r="1899" spans="7:8">
      <c r="G1899">
        <f>IF($D1899="", "", IF($D1899="Receipt", $C1899*VLOOKUP($B1899, Items!$A:$E, 5, FALSE), IF($D1899="Consumption", -$C1899*VLOOKUP($B1899, Items!$A:$E, 5, FALSE), "")))</f>
        <v>0</v>
      </c>
      <c r="H1899">
        <f>IF($D1899="Consumption", -$C1899*VLOOKUP($B1899, Items!$A:$E, 5, FALSE), 0)</f>
        <v>0</v>
      </c>
    </row>
    <row r="1900" spans="7:8">
      <c r="G1900">
        <f>IF($D1900="", "", IF($D1900="Receipt", $C1900*VLOOKUP($B1900, Items!$A:$E, 5, FALSE), IF($D1900="Consumption", -$C1900*VLOOKUP($B1900, Items!$A:$E, 5, FALSE), "")))</f>
        <v>0</v>
      </c>
      <c r="H1900">
        <f>IF($D1900="Consumption", -$C1900*VLOOKUP($B1900, Items!$A:$E, 5, FALSE), 0)</f>
        <v>0</v>
      </c>
    </row>
    <row r="1901" spans="7:8">
      <c r="G1901">
        <f>IF($D1901="", "", IF($D1901="Receipt", $C1901*VLOOKUP($B1901, Items!$A:$E, 5, FALSE), IF($D1901="Consumption", -$C1901*VLOOKUP($B1901, Items!$A:$E, 5, FALSE), "")))</f>
        <v>0</v>
      </c>
      <c r="H1901">
        <f>IF($D1901="Consumption", -$C1901*VLOOKUP($B1901, Items!$A:$E, 5, FALSE), 0)</f>
        <v>0</v>
      </c>
    </row>
    <row r="1902" spans="7:8">
      <c r="G1902">
        <f>IF($D1902="", "", IF($D1902="Receipt", $C1902*VLOOKUP($B1902, Items!$A:$E, 5, FALSE), IF($D1902="Consumption", -$C1902*VLOOKUP($B1902, Items!$A:$E, 5, FALSE), "")))</f>
        <v>0</v>
      </c>
      <c r="H1902">
        <f>IF($D1902="Consumption", -$C1902*VLOOKUP($B1902, Items!$A:$E, 5, FALSE), 0)</f>
        <v>0</v>
      </c>
    </row>
    <row r="1903" spans="7:8">
      <c r="G1903">
        <f>IF($D1903="", "", IF($D1903="Receipt", $C1903*VLOOKUP($B1903, Items!$A:$E, 5, FALSE), IF($D1903="Consumption", -$C1903*VLOOKUP($B1903, Items!$A:$E, 5, FALSE), "")))</f>
        <v>0</v>
      </c>
      <c r="H1903">
        <f>IF($D1903="Consumption", -$C1903*VLOOKUP($B1903, Items!$A:$E, 5, FALSE), 0)</f>
        <v>0</v>
      </c>
    </row>
    <row r="1904" spans="7:8">
      <c r="G1904">
        <f>IF($D1904="", "", IF($D1904="Receipt", $C1904*VLOOKUP($B1904, Items!$A:$E, 5, FALSE), IF($D1904="Consumption", -$C1904*VLOOKUP($B1904, Items!$A:$E, 5, FALSE), "")))</f>
        <v>0</v>
      </c>
      <c r="H1904">
        <f>IF($D1904="Consumption", -$C1904*VLOOKUP($B1904, Items!$A:$E, 5, FALSE), 0)</f>
        <v>0</v>
      </c>
    </row>
    <row r="1905" spans="7:8">
      <c r="G1905">
        <f>IF($D1905="", "", IF($D1905="Receipt", $C1905*VLOOKUP($B1905, Items!$A:$E, 5, FALSE), IF($D1905="Consumption", -$C1905*VLOOKUP($B1905, Items!$A:$E, 5, FALSE), "")))</f>
        <v>0</v>
      </c>
      <c r="H1905">
        <f>IF($D1905="Consumption", -$C1905*VLOOKUP($B1905, Items!$A:$E, 5, FALSE), 0)</f>
        <v>0</v>
      </c>
    </row>
    <row r="1906" spans="7:8">
      <c r="G1906">
        <f>IF($D1906="", "", IF($D1906="Receipt", $C1906*VLOOKUP($B1906, Items!$A:$E, 5, FALSE), IF($D1906="Consumption", -$C1906*VLOOKUP($B1906, Items!$A:$E, 5, FALSE), "")))</f>
        <v>0</v>
      </c>
      <c r="H1906">
        <f>IF($D1906="Consumption", -$C1906*VLOOKUP($B1906, Items!$A:$E, 5, FALSE), 0)</f>
        <v>0</v>
      </c>
    </row>
    <row r="1907" spans="7:8">
      <c r="G1907">
        <f>IF($D1907="", "", IF($D1907="Receipt", $C1907*VLOOKUP($B1907, Items!$A:$E, 5, FALSE), IF($D1907="Consumption", -$C1907*VLOOKUP($B1907, Items!$A:$E, 5, FALSE), "")))</f>
        <v>0</v>
      </c>
      <c r="H1907">
        <f>IF($D1907="Consumption", -$C1907*VLOOKUP($B1907, Items!$A:$E, 5, FALSE), 0)</f>
        <v>0</v>
      </c>
    </row>
    <row r="1908" spans="7:8">
      <c r="G1908">
        <f>IF($D1908="", "", IF($D1908="Receipt", $C1908*VLOOKUP($B1908, Items!$A:$E, 5, FALSE), IF($D1908="Consumption", -$C1908*VLOOKUP($B1908, Items!$A:$E, 5, FALSE), "")))</f>
        <v>0</v>
      </c>
      <c r="H1908">
        <f>IF($D1908="Consumption", -$C1908*VLOOKUP($B1908, Items!$A:$E, 5, FALSE), 0)</f>
        <v>0</v>
      </c>
    </row>
    <row r="1909" spans="7:8">
      <c r="G1909">
        <f>IF($D1909="", "", IF($D1909="Receipt", $C1909*VLOOKUP($B1909, Items!$A:$E, 5, FALSE), IF($D1909="Consumption", -$C1909*VLOOKUP($B1909, Items!$A:$E, 5, FALSE), "")))</f>
        <v>0</v>
      </c>
      <c r="H1909">
        <f>IF($D1909="Consumption", -$C1909*VLOOKUP($B1909, Items!$A:$E, 5, FALSE), 0)</f>
        <v>0</v>
      </c>
    </row>
    <row r="1910" spans="7:8">
      <c r="G1910">
        <f>IF($D1910="", "", IF($D1910="Receipt", $C1910*VLOOKUP($B1910, Items!$A:$E, 5, FALSE), IF($D1910="Consumption", -$C1910*VLOOKUP($B1910, Items!$A:$E, 5, FALSE), "")))</f>
        <v>0</v>
      </c>
      <c r="H1910">
        <f>IF($D1910="Consumption", -$C1910*VLOOKUP($B1910, Items!$A:$E, 5, FALSE), 0)</f>
        <v>0</v>
      </c>
    </row>
    <row r="1911" spans="7:8">
      <c r="G1911">
        <f>IF($D1911="", "", IF($D1911="Receipt", $C1911*VLOOKUP($B1911, Items!$A:$E, 5, FALSE), IF($D1911="Consumption", -$C1911*VLOOKUP($B1911, Items!$A:$E, 5, FALSE), "")))</f>
        <v>0</v>
      </c>
      <c r="H1911">
        <f>IF($D1911="Consumption", -$C1911*VLOOKUP($B1911, Items!$A:$E, 5, FALSE), 0)</f>
        <v>0</v>
      </c>
    </row>
    <row r="1912" spans="7:8">
      <c r="G1912">
        <f>IF($D1912="", "", IF($D1912="Receipt", $C1912*VLOOKUP($B1912, Items!$A:$E, 5, FALSE), IF($D1912="Consumption", -$C1912*VLOOKUP($B1912, Items!$A:$E, 5, FALSE), "")))</f>
        <v>0</v>
      </c>
      <c r="H1912">
        <f>IF($D1912="Consumption", -$C1912*VLOOKUP($B1912, Items!$A:$E, 5, FALSE), 0)</f>
        <v>0</v>
      </c>
    </row>
    <row r="1913" spans="7:8">
      <c r="G1913">
        <f>IF($D1913="", "", IF($D1913="Receipt", $C1913*VLOOKUP($B1913, Items!$A:$E, 5, FALSE), IF($D1913="Consumption", -$C1913*VLOOKUP($B1913, Items!$A:$E, 5, FALSE), "")))</f>
        <v>0</v>
      </c>
      <c r="H1913">
        <f>IF($D1913="Consumption", -$C1913*VLOOKUP($B1913, Items!$A:$E, 5, FALSE), 0)</f>
        <v>0</v>
      </c>
    </row>
    <row r="1914" spans="7:8">
      <c r="G1914">
        <f>IF($D1914="", "", IF($D1914="Receipt", $C1914*VLOOKUP($B1914, Items!$A:$E, 5, FALSE), IF($D1914="Consumption", -$C1914*VLOOKUP($B1914, Items!$A:$E, 5, FALSE), "")))</f>
        <v>0</v>
      </c>
      <c r="H1914">
        <f>IF($D1914="Consumption", -$C1914*VLOOKUP($B1914, Items!$A:$E, 5, FALSE), 0)</f>
        <v>0</v>
      </c>
    </row>
    <row r="1915" spans="7:8">
      <c r="G1915">
        <f>IF($D1915="", "", IF($D1915="Receipt", $C1915*VLOOKUP($B1915, Items!$A:$E, 5, FALSE), IF($D1915="Consumption", -$C1915*VLOOKUP($B1915, Items!$A:$E, 5, FALSE), "")))</f>
        <v>0</v>
      </c>
      <c r="H1915">
        <f>IF($D1915="Consumption", -$C1915*VLOOKUP($B1915, Items!$A:$E, 5, FALSE), 0)</f>
        <v>0</v>
      </c>
    </row>
    <row r="1916" spans="7:8">
      <c r="G1916">
        <f>IF($D1916="", "", IF($D1916="Receipt", $C1916*VLOOKUP($B1916, Items!$A:$E, 5, FALSE), IF($D1916="Consumption", -$C1916*VLOOKUP($B1916, Items!$A:$E, 5, FALSE), "")))</f>
        <v>0</v>
      </c>
      <c r="H1916">
        <f>IF($D1916="Consumption", -$C1916*VLOOKUP($B1916, Items!$A:$E, 5, FALSE), 0)</f>
        <v>0</v>
      </c>
    </row>
    <row r="1917" spans="7:8">
      <c r="G1917">
        <f>IF($D1917="", "", IF($D1917="Receipt", $C1917*VLOOKUP($B1917, Items!$A:$E, 5, FALSE), IF($D1917="Consumption", -$C1917*VLOOKUP($B1917, Items!$A:$E, 5, FALSE), "")))</f>
        <v>0</v>
      </c>
      <c r="H1917">
        <f>IF($D1917="Consumption", -$C1917*VLOOKUP($B1917, Items!$A:$E, 5, FALSE), 0)</f>
        <v>0</v>
      </c>
    </row>
    <row r="1918" spans="7:8">
      <c r="G1918">
        <f>IF($D1918="", "", IF($D1918="Receipt", $C1918*VLOOKUP($B1918, Items!$A:$E, 5, FALSE), IF($D1918="Consumption", -$C1918*VLOOKUP($B1918, Items!$A:$E, 5, FALSE), "")))</f>
        <v>0</v>
      </c>
      <c r="H1918">
        <f>IF($D1918="Consumption", -$C1918*VLOOKUP($B1918, Items!$A:$E, 5, FALSE), 0)</f>
        <v>0</v>
      </c>
    </row>
    <row r="1919" spans="7:8">
      <c r="G1919">
        <f>IF($D1919="", "", IF($D1919="Receipt", $C1919*VLOOKUP($B1919, Items!$A:$E, 5, FALSE), IF($D1919="Consumption", -$C1919*VLOOKUP($B1919, Items!$A:$E, 5, FALSE), "")))</f>
        <v>0</v>
      </c>
      <c r="H1919">
        <f>IF($D1919="Consumption", -$C1919*VLOOKUP($B1919, Items!$A:$E, 5, FALSE), 0)</f>
        <v>0</v>
      </c>
    </row>
    <row r="1920" spans="7:8">
      <c r="G1920">
        <f>IF($D1920="", "", IF($D1920="Receipt", $C1920*VLOOKUP($B1920, Items!$A:$E, 5, FALSE), IF($D1920="Consumption", -$C1920*VLOOKUP($B1920, Items!$A:$E, 5, FALSE), "")))</f>
        <v>0</v>
      </c>
      <c r="H1920">
        <f>IF($D1920="Consumption", -$C1920*VLOOKUP($B1920, Items!$A:$E, 5, FALSE), 0)</f>
        <v>0</v>
      </c>
    </row>
    <row r="1921" spans="7:8">
      <c r="G1921">
        <f>IF($D1921="", "", IF($D1921="Receipt", $C1921*VLOOKUP($B1921, Items!$A:$E, 5, FALSE), IF($D1921="Consumption", -$C1921*VLOOKUP($B1921, Items!$A:$E, 5, FALSE), "")))</f>
        <v>0</v>
      </c>
      <c r="H1921">
        <f>IF($D1921="Consumption", -$C1921*VLOOKUP($B1921, Items!$A:$E, 5, FALSE), 0)</f>
        <v>0</v>
      </c>
    </row>
    <row r="1922" spans="7:8">
      <c r="G1922">
        <f>IF($D1922="", "", IF($D1922="Receipt", $C1922*VLOOKUP($B1922, Items!$A:$E, 5, FALSE), IF($D1922="Consumption", -$C1922*VLOOKUP($B1922, Items!$A:$E, 5, FALSE), "")))</f>
        <v>0</v>
      </c>
      <c r="H1922">
        <f>IF($D1922="Consumption", -$C1922*VLOOKUP($B1922, Items!$A:$E, 5, FALSE), 0)</f>
        <v>0</v>
      </c>
    </row>
    <row r="1923" spans="7:8">
      <c r="G1923">
        <f>IF($D1923="", "", IF($D1923="Receipt", $C1923*VLOOKUP($B1923, Items!$A:$E, 5, FALSE), IF($D1923="Consumption", -$C1923*VLOOKUP($B1923, Items!$A:$E, 5, FALSE), "")))</f>
        <v>0</v>
      </c>
      <c r="H1923">
        <f>IF($D1923="Consumption", -$C1923*VLOOKUP($B1923, Items!$A:$E, 5, FALSE), 0)</f>
        <v>0</v>
      </c>
    </row>
    <row r="1924" spans="7:8">
      <c r="G1924">
        <f>IF($D1924="", "", IF($D1924="Receipt", $C1924*VLOOKUP($B1924, Items!$A:$E, 5, FALSE), IF($D1924="Consumption", -$C1924*VLOOKUP($B1924, Items!$A:$E, 5, FALSE), "")))</f>
        <v>0</v>
      </c>
      <c r="H1924">
        <f>IF($D1924="Consumption", -$C1924*VLOOKUP($B1924, Items!$A:$E, 5, FALSE), 0)</f>
        <v>0</v>
      </c>
    </row>
    <row r="1925" spans="7:8">
      <c r="G1925">
        <f>IF($D1925="", "", IF($D1925="Receipt", $C1925*VLOOKUP($B1925, Items!$A:$E, 5, FALSE), IF($D1925="Consumption", -$C1925*VLOOKUP($B1925, Items!$A:$E, 5, FALSE), "")))</f>
        <v>0</v>
      </c>
      <c r="H1925">
        <f>IF($D1925="Consumption", -$C1925*VLOOKUP($B1925, Items!$A:$E, 5, FALSE), 0)</f>
        <v>0</v>
      </c>
    </row>
    <row r="1926" spans="7:8">
      <c r="G1926">
        <f>IF($D1926="", "", IF($D1926="Receipt", $C1926*VLOOKUP($B1926, Items!$A:$E, 5, FALSE), IF($D1926="Consumption", -$C1926*VLOOKUP($B1926, Items!$A:$E, 5, FALSE), "")))</f>
        <v>0</v>
      </c>
      <c r="H1926">
        <f>IF($D1926="Consumption", -$C1926*VLOOKUP($B1926, Items!$A:$E, 5, FALSE), 0)</f>
        <v>0</v>
      </c>
    </row>
    <row r="1927" spans="7:8">
      <c r="G1927">
        <f>IF($D1927="", "", IF($D1927="Receipt", $C1927*VLOOKUP($B1927, Items!$A:$E, 5, FALSE), IF($D1927="Consumption", -$C1927*VLOOKUP($B1927, Items!$A:$E, 5, FALSE), "")))</f>
        <v>0</v>
      </c>
      <c r="H1927">
        <f>IF($D1927="Consumption", -$C1927*VLOOKUP($B1927, Items!$A:$E, 5, FALSE), 0)</f>
        <v>0</v>
      </c>
    </row>
    <row r="1928" spans="7:8">
      <c r="G1928">
        <f>IF($D1928="", "", IF($D1928="Receipt", $C1928*VLOOKUP($B1928, Items!$A:$E, 5, FALSE), IF($D1928="Consumption", -$C1928*VLOOKUP($B1928, Items!$A:$E, 5, FALSE), "")))</f>
        <v>0</v>
      </c>
      <c r="H1928">
        <f>IF($D1928="Consumption", -$C1928*VLOOKUP($B1928, Items!$A:$E, 5, FALSE), 0)</f>
        <v>0</v>
      </c>
    </row>
    <row r="1929" spans="7:8">
      <c r="G1929">
        <f>IF($D1929="", "", IF($D1929="Receipt", $C1929*VLOOKUP($B1929, Items!$A:$E, 5, FALSE), IF($D1929="Consumption", -$C1929*VLOOKUP($B1929, Items!$A:$E, 5, FALSE), "")))</f>
        <v>0</v>
      </c>
      <c r="H1929">
        <f>IF($D1929="Consumption", -$C1929*VLOOKUP($B1929, Items!$A:$E, 5, FALSE), 0)</f>
        <v>0</v>
      </c>
    </row>
    <row r="1930" spans="7:8">
      <c r="G1930">
        <f>IF($D1930="", "", IF($D1930="Receipt", $C1930*VLOOKUP($B1930, Items!$A:$E, 5, FALSE), IF($D1930="Consumption", -$C1930*VLOOKUP($B1930, Items!$A:$E, 5, FALSE), "")))</f>
        <v>0</v>
      </c>
      <c r="H1930">
        <f>IF($D1930="Consumption", -$C1930*VLOOKUP($B1930, Items!$A:$E, 5, FALSE), 0)</f>
        <v>0</v>
      </c>
    </row>
    <row r="1931" spans="7:8">
      <c r="G1931">
        <f>IF($D1931="", "", IF($D1931="Receipt", $C1931*VLOOKUP($B1931, Items!$A:$E, 5, FALSE), IF($D1931="Consumption", -$C1931*VLOOKUP($B1931, Items!$A:$E, 5, FALSE), "")))</f>
        <v>0</v>
      </c>
      <c r="H1931">
        <f>IF($D1931="Consumption", -$C1931*VLOOKUP($B1931, Items!$A:$E, 5, FALSE), 0)</f>
        <v>0</v>
      </c>
    </row>
    <row r="1932" spans="7:8">
      <c r="G1932">
        <f>IF($D1932="", "", IF($D1932="Receipt", $C1932*VLOOKUP($B1932, Items!$A:$E, 5, FALSE), IF($D1932="Consumption", -$C1932*VLOOKUP($B1932, Items!$A:$E, 5, FALSE), "")))</f>
        <v>0</v>
      </c>
      <c r="H1932">
        <f>IF($D1932="Consumption", -$C1932*VLOOKUP($B1932, Items!$A:$E, 5, FALSE), 0)</f>
        <v>0</v>
      </c>
    </row>
    <row r="1933" spans="7:8">
      <c r="G1933">
        <f>IF($D1933="", "", IF($D1933="Receipt", $C1933*VLOOKUP($B1933, Items!$A:$E, 5, FALSE), IF($D1933="Consumption", -$C1933*VLOOKUP($B1933, Items!$A:$E, 5, FALSE), "")))</f>
        <v>0</v>
      </c>
      <c r="H1933">
        <f>IF($D1933="Consumption", -$C1933*VLOOKUP($B1933, Items!$A:$E, 5, FALSE), 0)</f>
        <v>0</v>
      </c>
    </row>
    <row r="1934" spans="7:8">
      <c r="G1934">
        <f>IF($D1934="", "", IF($D1934="Receipt", $C1934*VLOOKUP($B1934, Items!$A:$E, 5, FALSE), IF($D1934="Consumption", -$C1934*VLOOKUP($B1934, Items!$A:$E, 5, FALSE), "")))</f>
        <v>0</v>
      </c>
      <c r="H1934">
        <f>IF($D1934="Consumption", -$C1934*VLOOKUP($B1934, Items!$A:$E, 5, FALSE), 0)</f>
        <v>0</v>
      </c>
    </row>
    <row r="1935" spans="7:8">
      <c r="G1935">
        <f>IF($D1935="", "", IF($D1935="Receipt", $C1935*VLOOKUP($B1935, Items!$A:$E, 5, FALSE), IF($D1935="Consumption", -$C1935*VLOOKUP($B1935, Items!$A:$E, 5, FALSE), "")))</f>
        <v>0</v>
      </c>
      <c r="H1935">
        <f>IF($D1935="Consumption", -$C1935*VLOOKUP($B1935, Items!$A:$E, 5, FALSE), 0)</f>
        <v>0</v>
      </c>
    </row>
    <row r="1936" spans="7:8">
      <c r="G1936">
        <f>IF($D1936="", "", IF($D1936="Receipt", $C1936*VLOOKUP($B1936, Items!$A:$E, 5, FALSE), IF($D1936="Consumption", -$C1936*VLOOKUP($B1936, Items!$A:$E, 5, FALSE), "")))</f>
        <v>0</v>
      </c>
      <c r="H1936">
        <f>IF($D1936="Consumption", -$C1936*VLOOKUP($B1936, Items!$A:$E, 5, FALSE), 0)</f>
        <v>0</v>
      </c>
    </row>
    <row r="1937" spans="7:8">
      <c r="G1937">
        <f>IF($D1937="", "", IF($D1937="Receipt", $C1937*VLOOKUP($B1937, Items!$A:$E, 5, FALSE), IF($D1937="Consumption", -$C1937*VLOOKUP($B1937, Items!$A:$E, 5, FALSE), "")))</f>
        <v>0</v>
      </c>
      <c r="H1937">
        <f>IF($D1937="Consumption", -$C1937*VLOOKUP($B1937, Items!$A:$E, 5, FALSE), 0)</f>
        <v>0</v>
      </c>
    </row>
    <row r="1938" spans="7:8">
      <c r="G1938">
        <f>IF($D1938="", "", IF($D1938="Receipt", $C1938*VLOOKUP($B1938, Items!$A:$E, 5, FALSE), IF($D1938="Consumption", -$C1938*VLOOKUP($B1938, Items!$A:$E, 5, FALSE), "")))</f>
        <v>0</v>
      </c>
      <c r="H1938">
        <f>IF($D1938="Consumption", -$C1938*VLOOKUP($B1938, Items!$A:$E, 5, FALSE), 0)</f>
        <v>0</v>
      </c>
    </row>
    <row r="1939" spans="7:8">
      <c r="G1939">
        <f>IF($D1939="", "", IF($D1939="Receipt", $C1939*VLOOKUP($B1939, Items!$A:$E, 5, FALSE), IF($D1939="Consumption", -$C1939*VLOOKUP($B1939, Items!$A:$E, 5, FALSE), "")))</f>
        <v>0</v>
      </c>
      <c r="H1939">
        <f>IF($D1939="Consumption", -$C1939*VLOOKUP($B1939, Items!$A:$E, 5, FALSE), 0)</f>
        <v>0</v>
      </c>
    </row>
    <row r="1940" spans="7:8">
      <c r="G1940">
        <f>IF($D1940="", "", IF($D1940="Receipt", $C1940*VLOOKUP($B1940, Items!$A:$E, 5, FALSE), IF($D1940="Consumption", -$C1940*VLOOKUP($B1940, Items!$A:$E, 5, FALSE), "")))</f>
        <v>0</v>
      </c>
      <c r="H1940">
        <f>IF($D1940="Consumption", -$C1940*VLOOKUP($B1940, Items!$A:$E, 5, FALSE), 0)</f>
        <v>0</v>
      </c>
    </row>
    <row r="1941" spans="7:8">
      <c r="G1941">
        <f>IF($D1941="", "", IF($D1941="Receipt", $C1941*VLOOKUP($B1941, Items!$A:$E, 5, FALSE), IF($D1941="Consumption", -$C1941*VLOOKUP($B1941, Items!$A:$E, 5, FALSE), "")))</f>
        <v>0</v>
      </c>
      <c r="H1941">
        <f>IF($D1941="Consumption", -$C1941*VLOOKUP($B1941, Items!$A:$E, 5, FALSE), 0)</f>
        <v>0</v>
      </c>
    </row>
    <row r="1942" spans="7:8">
      <c r="G1942">
        <f>IF($D1942="", "", IF($D1942="Receipt", $C1942*VLOOKUP($B1942, Items!$A:$E, 5, FALSE), IF($D1942="Consumption", -$C1942*VLOOKUP($B1942, Items!$A:$E, 5, FALSE), "")))</f>
        <v>0</v>
      </c>
      <c r="H1942">
        <f>IF($D1942="Consumption", -$C1942*VLOOKUP($B1942, Items!$A:$E, 5, FALSE), 0)</f>
        <v>0</v>
      </c>
    </row>
    <row r="1943" spans="7:8">
      <c r="G1943">
        <f>IF($D1943="", "", IF($D1943="Receipt", $C1943*VLOOKUP($B1943, Items!$A:$E, 5, FALSE), IF($D1943="Consumption", -$C1943*VLOOKUP($B1943, Items!$A:$E, 5, FALSE), "")))</f>
        <v>0</v>
      </c>
      <c r="H1943">
        <f>IF($D1943="Consumption", -$C1943*VLOOKUP($B1943, Items!$A:$E, 5, FALSE), 0)</f>
        <v>0</v>
      </c>
    </row>
    <row r="1944" spans="7:8">
      <c r="G1944">
        <f>IF($D1944="", "", IF($D1944="Receipt", $C1944*VLOOKUP($B1944, Items!$A:$E, 5, FALSE), IF($D1944="Consumption", -$C1944*VLOOKUP($B1944, Items!$A:$E, 5, FALSE), "")))</f>
        <v>0</v>
      </c>
      <c r="H1944">
        <f>IF($D1944="Consumption", -$C1944*VLOOKUP($B1944, Items!$A:$E, 5, FALSE), 0)</f>
        <v>0</v>
      </c>
    </row>
    <row r="1945" spans="7:8">
      <c r="G1945">
        <f>IF($D1945="", "", IF($D1945="Receipt", $C1945*VLOOKUP($B1945, Items!$A:$E, 5, FALSE), IF($D1945="Consumption", -$C1945*VLOOKUP($B1945, Items!$A:$E, 5, FALSE), "")))</f>
        <v>0</v>
      </c>
      <c r="H1945">
        <f>IF($D1945="Consumption", -$C1945*VLOOKUP($B1945, Items!$A:$E, 5, FALSE), 0)</f>
        <v>0</v>
      </c>
    </row>
    <row r="1946" spans="7:8">
      <c r="G1946">
        <f>IF($D1946="", "", IF($D1946="Receipt", $C1946*VLOOKUP($B1946, Items!$A:$E, 5, FALSE), IF($D1946="Consumption", -$C1946*VLOOKUP($B1946, Items!$A:$E, 5, FALSE), "")))</f>
        <v>0</v>
      </c>
      <c r="H1946">
        <f>IF($D1946="Consumption", -$C1946*VLOOKUP($B1946, Items!$A:$E, 5, FALSE), 0)</f>
        <v>0</v>
      </c>
    </row>
    <row r="1947" spans="7:8">
      <c r="G1947">
        <f>IF($D1947="", "", IF($D1947="Receipt", $C1947*VLOOKUP($B1947, Items!$A:$E, 5, FALSE), IF($D1947="Consumption", -$C1947*VLOOKUP($B1947, Items!$A:$E, 5, FALSE), "")))</f>
        <v>0</v>
      </c>
      <c r="H1947">
        <f>IF($D1947="Consumption", -$C1947*VLOOKUP($B1947, Items!$A:$E, 5, FALSE), 0)</f>
        <v>0</v>
      </c>
    </row>
    <row r="1948" spans="7:8">
      <c r="G1948">
        <f>IF($D1948="", "", IF($D1948="Receipt", $C1948*VLOOKUP($B1948, Items!$A:$E, 5, FALSE), IF($D1948="Consumption", -$C1948*VLOOKUP($B1948, Items!$A:$E, 5, FALSE), "")))</f>
        <v>0</v>
      </c>
      <c r="H1948">
        <f>IF($D1948="Consumption", -$C1948*VLOOKUP($B1948, Items!$A:$E, 5, FALSE), 0)</f>
        <v>0</v>
      </c>
    </row>
    <row r="1949" spans="7:8">
      <c r="G1949">
        <f>IF($D1949="", "", IF($D1949="Receipt", $C1949*VLOOKUP($B1949, Items!$A:$E, 5, FALSE), IF($D1949="Consumption", -$C1949*VLOOKUP($B1949, Items!$A:$E, 5, FALSE), "")))</f>
        <v>0</v>
      </c>
      <c r="H1949">
        <f>IF($D1949="Consumption", -$C1949*VLOOKUP($B1949, Items!$A:$E, 5, FALSE), 0)</f>
        <v>0</v>
      </c>
    </row>
    <row r="1950" spans="7:8">
      <c r="G1950">
        <f>IF($D1950="", "", IF($D1950="Receipt", $C1950*VLOOKUP($B1950, Items!$A:$E, 5, FALSE), IF($D1950="Consumption", -$C1950*VLOOKUP($B1950, Items!$A:$E, 5, FALSE), "")))</f>
        <v>0</v>
      </c>
      <c r="H1950">
        <f>IF($D1950="Consumption", -$C1950*VLOOKUP($B1950, Items!$A:$E, 5, FALSE), 0)</f>
        <v>0</v>
      </c>
    </row>
    <row r="1951" spans="7:8">
      <c r="G1951">
        <f>IF($D1951="", "", IF($D1951="Receipt", $C1951*VLOOKUP($B1951, Items!$A:$E, 5, FALSE), IF($D1951="Consumption", -$C1951*VLOOKUP($B1951, Items!$A:$E, 5, FALSE), "")))</f>
        <v>0</v>
      </c>
      <c r="H1951">
        <f>IF($D1951="Consumption", -$C1951*VLOOKUP($B1951, Items!$A:$E, 5, FALSE), 0)</f>
        <v>0</v>
      </c>
    </row>
    <row r="1952" spans="7:8">
      <c r="G1952">
        <f>IF($D1952="", "", IF($D1952="Receipt", $C1952*VLOOKUP($B1952, Items!$A:$E, 5, FALSE), IF($D1952="Consumption", -$C1952*VLOOKUP($B1952, Items!$A:$E, 5, FALSE), "")))</f>
        <v>0</v>
      </c>
      <c r="H1952">
        <f>IF($D1952="Consumption", -$C1952*VLOOKUP($B1952, Items!$A:$E, 5, FALSE), 0)</f>
        <v>0</v>
      </c>
    </row>
    <row r="1953" spans="7:8">
      <c r="G1953">
        <f>IF($D1953="", "", IF($D1953="Receipt", $C1953*VLOOKUP($B1953, Items!$A:$E, 5, FALSE), IF($D1953="Consumption", -$C1953*VLOOKUP($B1953, Items!$A:$E, 5, FALSE), "")))</f>
        <v>0</v>
      </c>
      <c r="H1953">
        <f>IF($D1953="Consumption", -$C1953*VLOOKUP($B1953, Items!$A:$E, 5, FALSE), 0)</f>
        <v>0</v>
      </c>
    </row>
    <row r="1954" spans="7:8">
      <c r="G1954">
        <f>IF($D1954="", "", IF($D1954="Receipt", $C1954*VLOOKUP($B1954, Items!$A:$E, 5, FALSE), IF($D1954="Consumption", -$C1954*VLOOKUP($B1954, Items!$A:$E, 5, FALSE), "")))</f>
        <v>0</v>
      </c>
      <c r="H1954">
        <f>IF($D1954="Consumption", -$C1954*VLOOKUP($B1954, Items!$A:$E, 5, FALSE), 0)</f>
        <v>0</v>
      </c>
    </row>
    <row r="1955" spans="7:8">
      <c r="G1955">
        <f>IF($D1955="", "", IF($D1955="Receipt", $C1955*VLOOKUP($B1955, Items!$A:$E, 5, FALSE), IF($D1955="Consumption", -$C1955*VLOOKUP($B1955, Items!$A:$E, 5, FALSE), "")))</f>
        <v>0</v>
      </c>
      <c r="H1955">
        <f>IF($D1955="Consumption", -$C1955*VLOOKUP($B1955, Items!$A:$E, 5, FALSE), 0)</f>
        <v>0</v>
      </c>
    </row>
    <row r="1956" spans="7:8">
      <c r="G1956">
        <f>IF($D1956="", "", IF($D1956="Receipt", $C1956*VLOOKUP($B1956, Items!$A:$E, 5, FALSE), IF($D1956="Consumption", -$C1956*VLOOKUP($B1956, Items!$A:$E, 5, FALSE), "")))</f>
        <v>0</v>
      </c>
      <c r="H1956">
        <f>IF($D1956="Consumption", -$C1956*VLOOKUP($B1956, Items!$A:$E, 5, FALSE), 0)</f>
        <v>0</v>
      </c>
    </row>
    <row r="1957" spans="7:8">
      <c r="G1957">
        <f>IF($D1957="", "", IF($D1957="Receipt", $C1957*VLOOKUP($B1957, Items!$A:$E, 5, FALSE), IF($D1957="Consumption", -$C1957*VLOOKUP($B1957, Items!$A:$E, 5, FALSE), "")))</f>
        <v>0</v>
      </c>
      <c r="H1957">
        <f>IF($D1957="Consumption", -$C1957*VLOOKUP($B1957, Items!$A:$E, 5, FALSE), 0)</f>
        <v>0</v>
      </c>
    </row>
    <row r="1958" spans="7:8">
      <c r="G1958">
        <f>IF($D1958="", "", IF($D1958="Receipt", $C1958*VLOOKUP($B1958, Items!$A:$E, 5, FALSE), IF($D1958="Consumption", -$C1958*VLOOKUP($B1958, Items!$A:$E, 5, FALSE), "")))</f>
        <v>0</v>
      </c>
      <c r="H1958">
        <f>IF($D1958="Consumption", -$C1958*VLOOKUP($B1958, Items!$A:$E, 5, FALSE), 0)</f>
        <v>0</v>
      </c>
    </row>
    <row r="1959" spans="7:8">
      <c r="G1959">
        <f>IF($D1959="", "", IF($D1959="Receipt", $C1959*VLOOKUP($B1959, Items!$A:$E, 5, FALSE), IF($D1959="Consumption", -$C1959*VLOOKUP($B1959, Items!$A:$E, 5, FALSE), "")))</f>
        <v>0</v>
      </c>
      <c r="H1959">
        <f>IF($D1959="Consumption", -$C1959*VLOOKUP($B1959, Items!$A:$E, 5, FALSE), 0)</f>
        <v>0</v>
      </c>
    </row>
    <row r="1960" spans="7:8">
      <c r="G1960">
        <f>IF($D1960="", "", IF($D1960="Receipt", $C1960*VLOOKUP($B1960, Items!$A:$E, 5, FALSE), IF($D1960="Consumption", -$C1960*VLOOKUP($B1960, Items!$A:$E, 5, FALSE), "")))</f>
        <v>0</v>
      </c>
      <c r="H1960">
        <f>IF($D1960="Consumption", -$C1960*VLOOKUP($B1960, Items!$A:$E, 5, FALSE), 0)</f>
        <v>0</v>
      </c>
    </row>
    <row r="1961" spans="7:8">
      <c r="G1961">
        <f>IF($D1961="", "", IF($D1961="Receipt", $C1961*VLOOKUP($B1961, Items!$A:$E, 5, FALSE), IF($D1961="Consumption", -$C1961*VLOOKUP($B1961, Items!$A:$E, 5, FALSE), "")))</f>
        <v>0</v>
      </c>
      <c r="H1961">
        <f>IF($D1961="Consumption", -$C1961*VLOOKUP($B1961, Items!$A:$E, 5, FALSE), 0)</f>
        <v>0</v>
      </c>
    </row>
    <row r="1962" spans="7:8">
      <c r="G1962">
        <f>IF($D1962="", "", IF($D1962="Receipt", $C1962*VLOOKUP($B1962, Items!$A:$E, 5, FALSE), IF($D1962="Consumption", -$C1962*VLOOKUP($B1962, Items!$A:$E, 5, FALSE), "")))</f>
        <v>0</v>
      </c>
      <c r="H1962">
        <f>IF($D1962="Consumption", -$C1962*VLOOKUP($B1962, Items!$A:$E, 5, FALSE), 0)</f>
        <v>0</v>
      </c>
    </row>
    <row r="1963" spans="7:8">
      <c r="G1963">
        <f>IF($D1963="", "", IF($D1963="Receipt", $C1963*VLOOKUP($B1963, Items!$A:$E, 5, FALSE), IF($D1963="Consumption", -$C1963*VLOOKUP($B1963, Items!$A:$E, 5, FALSE), "")))</f>
        <v>0</v>
      </c>
      <c r="H1963">
        <f>IF($D1963="Consumption", -$C1963*VLOOKUP($B1963, Items!$A:$E, 5, FALSE), 0)</f>
        <v>0</v>
      </c>
    </row>
    <row r="1964" spans="7:8">
      <c r="G1964">
        <f>IF($D1964="", "", IF($D1964="Receipt", $C1964*VLOOKUP($B1964, Items!$A:$E, 5, FALSE), IF($D1964="Consumption", -$C1964*VLOOKUP($B1964, Items!$A:$E, 5, FALSE), "")))</f>
        <v>0</v>
      </c>
      <c r="H1964">
        <f>IF($D1964="Consumption", -$C1964*VLOOKUP($B1964, Items!$A:$E, 5, FALSE), 0)</f>
        <v>0</v>
      </c>
    </row>
    <row r="1965" spans="7:8">
      <c r="G1965">
        <f>IF($D1965="", "", IF($D1965="Receipt", $C1965*VLOOKUP($B1965, Items!$A:$E, 5, FALSE), IF($D1965="Consumption", -$C1965*VLOOKUP($B1965, Items!$A:$E, 5, FALSE), "")))</f>
        <v>0</v>
      </c>
      <c r="H1965">
        <f>IF($D1965="Consumption", -$C1965*VLOOKUP($B1965, Items!$A:$E, 5, FALSE), 0)</f>
        <v>0</v>
      </c>
    </row>
    <row r="1966" spans="7:8">
      <c r="G1966">
        <f>IF($D1966="", "", IF($D1966="Receipt", $C1966*VLOOKUP($B1966, Items!$A:$E, 5, FALSE), IF($D1966="Consumption", -$C1966*VLOOKUP($B1966, Items!$A:$E, 5, FALSE), "")))</f>
        <v>0</v>
      </c>
      <c r="H1966">
        <f>IF($D1966="Consumption", -$C1966*VLOOKUP($B1966, Items!$A:$E, 5, FALSE), 0)</f>
        <v>0</v>
      </c>
    </row>
    <row r="1967" spans="7:8">
      <c r="G1967">
        <f>IF($D1967="", "", IF($D1967="Receipt", $C1967*VLOOKUP($B1967, Items!$A:$E, 5, FALSE), IF($D1967="Consumption", -$C1967*VLOOKUP($B1967, Items!$A:$E, 5, FALSE), "")))</f>
        <v>0</v>
      </c>
      <c r="H1967">
        <f>IF($D1967="Consumption", -$C1967*VLOOKUP($B1967, Items!$A:$E, 5, FALSE), 0)</f>
        <v>0</v>
      </c>
    </row>
    <row r="1968" spans="7:8">
      <c r="G1968">
        <f>IF($D1968="", "", IF($D1968="Receipt", $C1968*VLOOKUP($B1968, Items!$A:$E, 5, FALSE), IF($D1968="Consumption", -$C1968*VLOOKUP($B1968, Items!$A:$E, 5, FALSE), "")))</f>
        <v>0</v>
      </c>
      <c r="H1968">
        <f>IF($D1968="Consumption", -$C1968*VLOOKUP($B1968, Items!$A:$E, 5, FALSE), 0)</f>
        <v>0</v>
      </c>
    </row>
    <row r="1969" spans="7:8">
      <c r="G1969">
        <f>IF($D1969="", "", IF($D1969="Receipt", $C1969*VLOOKUP($B1969, Items!$A:$E, 5, FALSE), IF($D1969="Consumption", -$C1969*VLOOKUP($B1969, Items!$A:$E, 5, FALSE), "")))</f>
        <v>0</v>
      </c>
      <c r="H1969">
        <f>IF($D1969="Consumption", -$C1969*VLOOKUP($B1969, Items!$A:$E, 5, FALSE), 0)</f>
        <v>0</v>
      </c>
    </row>
    <row r="1970" spans="7:8">
      <c r="G1970">
        <f>IF($D1970="", "", IF($D1970="Receipt", $C1970*VLOOKUP($B1970, Items!$A:$E, 5, FALSE), IF($D1970="Consumption", -$C1970*VLOOKUP($B1970, Items!$A:$E, 5, FALSE), "")))</f>
        <v>0</v>
      </c>
      <c r="H1970">
        <f>IF($D1970="Consumption", -$C1970*VLOOKUP($B1970, Items!$A:$E, 5, FALSE), 0)</f>
        <v>0</v>
      </c>
    </row>
    <row r="1971" spans="7:8">
      <c r="G1971">
        <f>IF($D1971="", "", IF($D1971="Receipt", $C1971*VLOOKUP($B1971, Items!$A:$E, 5, FALSE), IF($D1971="Consumption", -$C1971*VLOOKUP($B1971, Items!$A:$E, 5, FALSE), "")))</f>
        <v>0</v>
      </c>
      <c r="H1971">
        <f>IF($D1971="Consumption", -$C1971*VLOOKUP($B1971, Items!$A:$E, 5, FALSE), 0)</f>
        <v>0</v>
      </c>
    </row>
    <row r="1972" spans="7:8">
      <c r="G1972">
        <f>IF($D1972="", "", IF($D1972="Receipt", $C1972*VLOOKUP($B1972, Items!$A:$E, 5, FALSE), IF($D1972="Consumption", -$C1972*VLOOKUP($B1972, Items!$A:$E, 5, FALSE), "")))</f>
        <v>0</v>
      </c>
      <c r="H1972">
        <f>IF($D1972="Consumption", -$C1972*VLOOKUP($B1972, Items!$A:$E, 5, FALSE), 0)</f>
        <v>0</v>
      </c>
    </row>
    <row r="1973" spans="7:8">
      <c r="G1973">
        <f>IF($D1973="", "", IF($D1973="Receipt", $C1973*VLOOKUP($B1973, Items!$A:$E, 5, FALSE), IF($D1973="Consumption", -$C1973*VLOOKUP($B1973, Items!$A:$E, 5, FALSE), "")))</f>
        <v>0</v>
      </c>
      <c r="H1973">
        <f>IF($D1973="Consumption", -$C1973*VLOOKUP($B1973, Items!$A:$E, 5, FALSE), 0)</f>
        <v>0</v>
      </c>
    </row>
    <row r="1974" spans="7:8">
      <c r="G1974">
        <f>IF($D1974="", "", IF($D1974="Receipt", $C1974*VLOOKUP($B1974, Items!$A:$E, 5, FALSE), IF($D1974="Consumption", -$C1974*VLOOKUP($B1974, Items!$A:$E, 5, FALSE), "")))</f>
        <v>0</v>
      </c>
      <c r="H1974">
        <f>IF($D1974="Consumption", -$C1974*VLOOKUP($B1974, Items!$A:$E, 5, FALSE), 0)</f>
        <v>0</v>
      </c>
    </row>
    <row r="1975" spans="7:8">
      <c r="G1975">
        <f>IF($D1975="", "", IF($D1975="Receipt", $C1975*VLOOKUP($B1975, Items!$A:$E, 5, FALSE), IF($D1975="Consumption", -$C1975*VLOOKUP($B1975, Items!$A:$E, 5, FALSE), "")))</f>
        <v>0</v>
      </c>
      <c r="H1975">
        <f>IF($D1975="Consumption", -$C1975*VLOOKUP($B1975, Items!$A:$E, 5, FALSE), 0)</f>
        <v>0</v>
      </c>
    </row>
    <row r="1976" spans="7:8">
      <c r="G1976">
        <f>IF($D1976="", "", IF($D1976="Receipt", $C1976*VLOOKUP($B1976, Items!$A:$E, 5, FALSE), IF($D1976="Consumption", -$C1976*VLOOKUP($B1976, Items!$A:$E, 5, FALSE), "")))</f>
        <v>0</v>
      </c>
      <c r="H1976">
        <f>IF($D1976="Consumption", -$C1976*VLOOKUP($B1976, Items!$A:$E, 5, FALSE), 0)</f>
        <v>0</v>
      </c>
    </row>
    <row r="1977" spans="7:8">
      <c r="G1977">
        <f>IF($D1977="", "", IF($D1977="Receipt", $C1977*VLOOKUP($B1977, Items!$A:$E, 5, FALSE), IF($D1977="Consumption", -$C1977*VLOOKUP($B1977, Items!$A:$E, 5, FALSE), "")))</f>
        <v>0</v>
      </c>
      <c r="H1977">
        <f>IF($D1977="Consumption", -$C1977*VLOOKUP($B1977, Items!$A:$E, 5, FALSE), 0)</f>
        <v>0</v>
      </c>
    </row>
    <row r="1978" spans="7:8">
      <c r="G1978">
        <f>IF($D1978="", "", IF($D1978="Receipt", $C1978*VLOOKUP($B1978, Items!$A:$E, 5, FALSE), IF($D1978="Consumption", -$C1978*VLOOKUP($B1978, Items!$A:$E, 5, FALSE), "")))</f>
        <v>0</v>
      </c>
      <c r="H1978">
        <f>IF($D1978="Consumption", -$C1978*VLOOKUP($B1978, Items!$A:$E, 5, FALSE), 0)</f>
        <v>0</v>
      </c>
    </row>
    <row r="1979" spans="7:8">
      <c r="G1979">
        <f>IF($D1979="", "", IF($D1979="Receipt", $C1979*VLOOKUP($B1979, Items!$A:$E, 5, FALSE), IF($D1979="Consumption", -$C1979*VLOOKUP($B1979, Items!$A:$E, 5, FALSE), "")))</f>
        <v>0</v>
      </c>
      <c r="H1979">
        <f>IF($D1979="Consumption", -$C1979*VLOOKUP($B1979, Items!$A:$E, 5, FALSE), 0)</f>
        <v>0</v>
      </c>
    </row>
    <row r="1980" spans="7:8">
      <c r="G1980">
        <f>IF($D1980="", "", IF($D1980="Receipt", $C1980*VLOOKUP($B1980, Items!$A:$E, 5, FALSE), IF($D1980="Consumption", -$C1980*VLOOKUP($B1980, Items!$A:$E, 5, FALSE), "")))</f>
        <v>0</v>
      </c>
      <c r="H1980">
        <f>IF($D1980="Consumption", -$C1980*VLOOKUP($B1980, Items!$A:$E, 5, FALSE), 0)</f>
        <v>0</v>
      </c>
    </row>
    <row r="1981" spans="7:8">
      <c r="G1981">
        <f>IF($D1981="", "", IF($D1981="Receipt", $C1981*VLOOKUP($B1981, Items!$A:$E, 5, FALSE), IF($D1981="Consumption", -$C1981*VLOOKUP($B1981, Items!$A:$E, 5, FALSE), "")))</f>
        <v>0</v>
      </c>
      <c r="H1981">
        <f>IF($D1981="Consumption", -$C1981*VLOOKUP($B1981, Items!$A:$E, 5, FALSE), 0)</f>
        <v>0</v>
      </c>
    </row>
    <row r="1982" spans="7:8">
      <c r="G1982">
        <f>IF($D1982="", "", IF($D1982="Receipt", $C1982*VLOOKUP($B1982, Items!$A:$E, 5, FALSE), IF($D1982="Consumption", -$C1982*VLOOKUP($B1982, Items!$A:$E, 5, FALSE), "")))</f>
        <v>0</v>
      </c>
      <c r="H1982">
        <f>IF($D1982="Consumption", -$C1982*VLOOKUP($B1982, Items!$A:$E, 5, FALSE), 0)</f>
        <v>0</v>
      </c>
    </row>
    <row r="1983" spans="7:8">
      <c r="G1983">
        <f>IF($D1983="", "", IF($D1983="Receipt", $C1983*VLOOKUP($B1983, Items!$A:$E, 5, FALSE), IF($D1983="Consumption", -$C1983*VLOOKUP($B1983, Items!$A:$E, 5, FALSE), "")))</f>
        <v>0</v>
      </c>
      <c r="H1983">
        <f>IF($D1983="Consumption", -$C1983*VLOOKUP($B1983, Items!$A:$E, 5, FALSE), 0)</f>
        <v>0</v>
      </c>
    </row>
    <row r="1984" spans="7:8">
      <c r="G1984">
        <f>IF($D1984="", "", IF($D1984="Receipt", $C1984*VLOOKUP($B1984, Items!$A:$E, 5, FALSE), IF($D1984="Consumption", -$C1984*VLOOKUP($B1984, Items!$A:$E, 5, FALSE), "")))</f>
        <v>0</v>
      </c>
      <c r="H1984">
        <f>IF($D1984="Consumption", -$C1984*VLOOKUP($B1984, Items!$A:$E, 5, FALSE), 0)</f>
        <v>0</v>
      </c>
    </row>
    <row r="1985" spans="7:8">
      <c r="G1985">
        <f>IF($D1985="", "", IF($D1985="Receipt", $C1985*VLOOKUP($B1985, Items!$A:$E, 5, FALSE), IF($D1985="Consumption", -$C1985*VLOOKUP($B1985, Items!$A:$E, 5, FALSE), "")))</f>
        <v>0</v>
      </c>
      <c r="H1985">
        <f>IF($D1985="Consumption", -$C1985*VLOOKUP($B1985, Items!$A:$E, 5, FALSE), 0)</f>
        <v>0</v>
      </c>
    </row>
    <row r="1986" spans="7:8">
      <c r="G1986">
        <f>IF($D1986="", "", IF($D1986="Receipt", $C1986*VLOOKUP($B1986, Items!$A:$E, 5, FALSE), IF($D1986="Consumption", -$C1986*VLOOKUP($B1986, Items!$A:$E, 5, FALSE), "")))</f>
        <v>0</v>
      </c>
      <c r="H1986">
        <f>IF($D1986="Consumption", -$C1986*VLOOKUP($B1986, Items!$A:$E, 5, FALSE), 0)</f>
        <v>0</v>
      </c>
    </row>
    <row r="1987" spans="7:8">
      <c r="G1987">
        <f>IF($D1987="", "", IF($D1987="Receipt", $C1987*VLOOKUP($B1987, Items!$A:$E, 5, FALSE), IF($D1987="Consumption", -$C1987*VLOOKUP($B1987, Items!$A:$E, 5, FALSE), "")))</f>
        <v>0</v>
      </c>
      <c r="H1987">
        <f>IF($D1987="Consumption", -$C1987*VLOOKUP($B1987, Items!$A:$E, 5, FALSE), 0)</f>
        <v>0</v>
      </c>
    </row>
    <row r="1988" spans="7:8">
      <c r="G1988">
        <f>IF($D1988="", "", IF($D1988="Receipt", $C1988*VLOOKUP($B1988, Items!$A:$E, 5, FALSE), IF($D1988="Consumption", -$C1988*VLOOKUP($B1988, Items!$A:$E, 5, FALSE), "")))</f>
        <v>0</v>
      </c>
      <c r="H1988">
        <f>IF($D1988="Consumption", -$C1988*VLOOKUP($B1988, Items!$A:$E, 5, FALSE), 0)</f>
        <v>0</v>
      </c>
    </row>
    <row r="1989" spans="7:8">
      <c r="G1989">
        <f>IF($D1989="", "", IF($D1989="Receipt", $C1989*VLOOKUP($B1989, Items!$A:$E, 5, FALSE), IF($D1989="Consumption", -$C1989*VLOOKUP($B1989, Items!$A:$E, 5, FALSE), "")))</f>
        <v>0</v>
      </c>
      <c r="H1989">
        <f>IF($D1989="Consumption", -$C1989*VLOOKUP($B1989, Items!$A:$E, 5, FALSE), 0)</f>
        <v>0</v>
      </c>
    </row>
    <row r="1990" spans="7:8">
      <c r="G1990">
        <f>IF($D1990="", "", IF($D1990="Receipt", $C1990*VLOOKUP($B1990, Items!$A:$E, 5, FALSE), IF($D1990="Consumption", -$C1990*VLOOKUP($B1990, Items!$A:$E, 5, FALSE), "")))</f>
        <v>0</v>
      </c>
      <c r="H1990">
        <f>IF($D1990="Consumption", -$C1990*VLOOKUP($B1990, Items!$A:$E, 5, FALSE), 0)</f>
        <v>0</v>
      </c>
    </row>
    <row r="1991" spans="7:8">
      <c r="G1991">
        <f>IF($D1991="", "", IF($D1991="Receipt", $C1991*VLOOKUP($B1991, Items!$A:$E, 5, FALSE), IF($D1991="Consumption", -$C1991*VLOOKUP($B1991, Items!$A:$E, 5, FALSE), "")))</f>
        <v>0</v>
      </c>
      <c r="H1991">
        <f>IF($D1991="Consumption", -$C1991*VLOOKUP($B1991, Items!$A:$E, 5, FALSE), 0)</f>
        <v>0</v>
      </c>
    </row>
    <row r="1992" spans="7:8">
      <c r="G1992">
        <f>IF($D1992="", "", IF($D1992="Receipt", $C1992*VLOOKUP($B1992, Items!$A:$E, 5, FALSE), IF($D1992="Consumption", -$C1992*VLOOKUP($B1992, Items!$A:$E, 5, FALSE), "")))</f>
        <v>0</v>
      </c>
      <c r="H1992">
        <f>IF($D1992="Consumption", -$C1992*VLOOKUP($B1992, Items!$A:$E, 5, FALSE), 0)</f>
        <v>0</v>
      </c>
    </row>
    <row r="1993" spans="7:8">
      <c r="G1993">
        <f>IF($D1993="", "", IF($D1993="Receipt", $C1993*VLOOKUP($B1993, Items!$A:$E, 5, FALSE), IF($D1993="Consumption", -$C1993*VLOOKUP($B1993, Items!$A:$E, 5, FALSE), "")))</f>
        <v>0</v>
      </c>
      <c r="H1993">
        <f>IF($D1993="Consumption", -$C1993*VLOOKUP($B1993, Items!$A:$E, 5, FALSE), 0)</f>
        <v>0</v>
      </c>
    </row>
    <row r="1994" spans="7:8">
      <c r="G1994">
        <f>IF($D1994="", "", IF($D1994="Receipt", $C1994*VLOOKUP($B1994, Items!$A:$E, 5, FALSE), IF($D1994="Consumption", -$C1994*VLOOKUP($B1994, Items!$A:$E, 5, FALSE), "")))</f>
        <v>0</v>
      </c>
      <c r="H1994">
        <f>IF($D1994="Consumption", -$C1994*VLOOKUP($B1994, Items!$A:$E, 5, FALSE), 0)</f>
        <v>0</v>
      </c>
    </row>
    <row r="1995" spans="7:8">
      <c r="G1995">
        <f>IF($D1995="", "", IF($D1995="Receipt", $C1995*VLOOKUP($B1995, Items!$A:$E, 5, FALSE), IF($D1995="Consumption", -$C1995*VLOOKUP($B1995, Items!$A:$E, 5, FALSE), "")))</f>
        <v>0</v>
      </c>
      <c r="H1995">
        <f>IF($D1995="Consumption", -$C1995*VLOOKUP($B1995, Items!$A:$E, 5, FALSE), 0)</f>
        <v>0</v>
      </c>
    </row>
    <row r="1996" spans="7:8">
      <c r="G1996">
        <f>IF($D1996="", "", IF($D1996="Receipt", $C1996*VLOOKUP($B1996, Items!$A:$E, 5, FALSE), IF($D1996="Consumption", -$C1996*VLOOKUP($B1996, Items!$A:$E, 5, FALSE), "")))</f>
        <v>0</v>
      </c>
      <c r="H1996">
        <f>IF($D1996="Consumption", -$C1996*VLOOKUP($B1996, Items!$A:$E, 5, FALSE), 0)</f>
        <v>0</v>
      </c>
    </row>
    <row r="1997" spans="7:8">
      <c r="G1997">
        <f>IF($D1997="", "", IF($D1997="Receipt", $C1997*VLOOKUP($B1997, Items!$A:$E, 5, FALSE), IF($D1997="Consumption", -$C1997*VLOOKUP($B1997, Items!$A:$E, 5, FALSE), "")))</f>
        <v>0</v>
      </c>
      <c r="H1997">
        <f>IF($D1997="Consumption", -$C1997*VLOOKUP($B1997, Items!$A:$E, 5, FALSE), 0)</f>
        <v>0</v>
      </c>
    </row>
    <row r="1998" spans="7:8">
      <c r="G1998">
        <f>IF($D1998="", "", IF($D1998="Receipt", $C1998*VLOOKUP($B1998, Items!$A:$E, 5, FALSE), IF($D1998="Consumption", -$C1998*VLOOKUP($B1998, Items!$A:$E, 5, FALSE), "")))</f>
        <v>0</v>
      </c>
      <c r="H1998">
        <f>IF($D1998="Consumption", -$C1998*VLOOKUP($B1998, Items!$A:$E, 5, FALSE), 0)</f>
        <v>0</v>
      </c>
    </row>
    <row r="1999" spans="7:8">
      <c r="G1999">
        <f>IF($D1999="", "", IF($D1999="Receipt", $C1999*VLOOKUP($B1999, Items!$A:$E, 5, FALSE), IF($D1999="Consumption", -$C1999*VLOOKUP($B1999, Items!$A:$E, 5, FALSE), "")))</f>
        <v>0</v>
      </c>
      <c r="H1999">
        <f>IF($D1999="Consumption", -$C1999*VLOOKUP($B1999, Items!$A:$E, 5, FALSE), 0)</f>
        <v>0</v>
      </c>
    </row>
    <row r="2000" spans="7:8">
      <c r="G2000">
        <f>IF($D2000="", "", IF($D2000="Receipt", $C2000*VLOOKUP($B2000, Items!$A:$E, 5, FALSE), IF($D2000="Consumption", -$C2000*VLOOKUP($B2000, Items!$A:$E, 5, FALSE), "")))</f>
        <v>0</v>
      </c>
      <c r="H2000">
        <f>IF($D2000="Consumption", -$C2000*VLOOKUP($B2000, Items!$A:$E, 5, FALSE), 0)</f>
        <v>0</v>
      </c>
    </row>
    <row r="2001" spans="7:8">
      <c r="G2001">
        <f>IF($D2001="", "", IF($D2001="Receipt", $C2001*VLOOKUP($B2001, Items!$A:$E, 5, FALSE), IF($D2001="Consumption", -$C2001*VLOOKUP($B2001, Items!$A:$E, 5, FALSE), "")))</f>
        <v>0</v>
      </c>
      <c r="H2001">
        <f>IF($D2001="Consumption", -$C2001*VLOOKUP($B2001, Items!$A:$E, 5, FALSE), 0)</f>
        <v>0</v>
      </c>
    </row>
    <row r="2002" spans="7:8">
      <c r="G2002">
        <f>IF($D2002="", "", IF($D2002="Receipt", $C2002*VLOOKUP($B2002, Items!$A:$E, 5, FALSE), IF($D2002="Consumption", -$C2002*VLOOKUP($B2002, Items!$A:$E, 5, FALSE), "")))</f>
        <v>0</v>
      </c>
      <c r="H2002">
        <f>IF($D2002="Consumption", -$C2002*VLOOKUP($B2002, Items!$A:$E, 5, FALSE), 0)</f>
        <v>0</v>
      </c>
    </row>
    <row r="2003" spans="7:8">
      <c r="G2003">
        <f>IF($D2003="", "", IF($D2003="Receipt", $C2003*VLOOKUP($B2003, Items!$A:$E, 5, FALSE), IF($D2003="Consumption", -$C2003*VLOOKUP($B2003, Items!$A:$E, 5, FALSE), "")))</f>
        <v>0</v>
      </c>
      <c r="H2003">
        <f>IF($D2003="Consumption", -$C2003*VLOOKUP($B2003, Items!$A:$E, 5, FALSE), 0)</f>
        <v>0</v>
      </c>
    </row>
    <row r="2004" spans="7:8">
      <c r="G2004">
        <f>IF($D2004="", "", IF($D2004="Receipt", $C2004*VLOOKUP($B2004, Items!$A:$E, 5, FALSE), IF($D2004="Consumption", -$C2004*VLOOKUP($B2004, Items!$A:$E, 5, FALSE), "")))</f>
        <v>0</v>
      </c>
      <c r="H2004">
        <f>IF($D2004="Consumption", -$C2004*VLOOKUP($B2004, Items!$A:$E, 5, FALSE), 0)</f>
        <v>0</v>
      </c>
    </row>
    <row r="2005" spans="7:8">
      <c r="G2005">
        <f>IF($D2005="", "", IF($D2005="Receipt", $C2005*VLOOKUP($B2005, Items!$A:$E, 5, FALSE), IF($D2005="Consumption", -$C2005*VLOOKUP($B2005, Items!$A:$E, 5, FALSE), "")))</f>
        <v>0</v>
      </c>
      <c r="H2005">
        <f>IF($D2005="Consumption", -$C2005*VLOOKUP($B2005, Items!$A:$E, 5, FALSE), 0)</f>
        <v>0</v>
      </c>
    </row>
    <row r="2006" spans="7:8">
      <c r="G2006">
        <f>IF($D2006="", "", IF($D2006="Receipt", $C2006*VLOOKUP($B2006, Items!$A:$E, 5, FALSE), IF($D2006="Consumption", -$C2006*VLOOKUP($B2006, Items!$A:$E, 5, FALSE), "")))</f>
        <v>0</v>
      </c>
      <c r="H2006">
        <f>IF($D2006="Consumption", -$C2006*VLOOKUP($B2006, Items!$A:$E, 5, FALSE), 0)</f>
        <v>0</v>
      </c>
    </row>
    <row r="2007" spans="7:8">
      <c r="G2007">
        <f>IF($D2007="", "", IF($D2007="Receipt", $C2007*VLOOKUP($B2007, Items!$A:$E, 5, FALSE), IF($D2007="Consumption", -$C2007*VLOOKUP($B2007, Items!$A:$E, 5, FALSE), "")))</f>
        <v>0</v>
      </c>
      <c r="H2007">
        <f>IF($D2007="Consumption", -$C2007*VLOOKUP($B2007, Items!$A:$E, 5, FALSE), 0)</f>
        <v>0</v>
      </c>
    </row>
    <row r="2008" spans="7:8">
      <c r="G2008">
        <f>IF($D2008="", "", IF($D2008="Receipt", $C2008*VLOOKUP($B2008, Items!$A:$E, 5, FALSE), IF($D2008="Consumption", -$C2008*VLOOKUP($B2008, Items!$A:$E, 5, FALSE), "")))</f>
        <v>0</v>
      </c>
      <c r="H2008">
        <f>IF($D2008="Consumption", -$C2008*VLOOKUP($B2008, Items!$A:$E, 5, FALSE), 0)</f>
        <v>0</v>
      </c>
    </row>
    <row r="2009" spans="7:8">
      <c r="G2009">
        <f>IF($D2009="", "", IF($D2009="Receipt", $C2009*VLOOKUP($B2009, Items!$A:$E, 5, FALSE), IF($D2009="Consumption", -$C2009*VLOOKUP($B2009, Items!$A:$E, 5, FALSE), "")))</f>
        <v>0</v>
      </c>
      <c r="H2009">
        <f>IF($D2009="Consumption", -$C2009*VLOOKUP($B2009, Items!$A:$E, 5, FALSE), 0)</f>
        <v>0</v>
      </c>
    </row>
    <row r="2010" spans="7:8">
      <c r="G2010">
        <f>IF($D2010="", "", IF($D2010="Receipt", $C2010*VLOOKUP($B2010, Items!$A:$E, 5, FALSE), IF($D2010="Consumption", -$C2010*VLOOKUP($B2010, Items!$A:$E, 5, FALSE), "")))</f>
        <v>0</v>
      </c>
      <c r="H2010">
        <f>IF($D2010="Consumption", -$C2010*VLOOKUP($B2010, Items!$A:$E, 5, FALSE), 0)</f>
        <v>0</v>
      </c>
    </row>
    <row r="2011" spans="7:8">
      <c r="G2011">
        <f>IF($D2011="", "", IF($D2011="Receipt", $C2011*VLOOKUP($B2011, Items!$A:$E, 5, FALSE), IF($D2011="Consumption", -$C2011*VLOOKUP($B2011, Items!$A:$E, 5, FALSE), "")))</f>
        <v>0</v>
      </c>
      <c r="H2011">
        <f>IF($D2011="Consumption", -$C2011*VLOOKUP($B2011, Items!$A:$E, 5, FALSE), 0)</f>
        <v>0</v>
      </c>
    </row>
    <row r="2012" spans="7:8">
      <c r="G2012">
        <f>IF($D2012="", "", IF($D2012="Receipt", $C2012*VLOOKUP($B2012, Items!$A:$E, 5, FALSE), IF($D2012="Consumption", -$C2012*VLOOKUP($B2012, Items!$A:$E, 5, FALSE), "")))</f>
        <v>0</v>
      </c>
      <c r="H2012">
        <f>IF($D2012="Consumption", -$C2012*VLOOKUP($B2012, Items!$A:$E, 5, FALSE), 0)</f>
        <v>0</v>
      </c>
    </row>
    <row r="2013" spans="7:8">
      <c r="G2013">
        <f>IF($D2013="", "", IF($D2013="Receipt", $C2013*VLOOKUP($B2013, Items!$A:$E, 5, FALSE), IF($D2013="Consumption", -$C2013*VLOOKUP($B2013, Items!$A:$E, 5, FALSE), "")))</f>
        <v>0</v>
      </c>
      <c r="H2013">
        <f>IF($D2013="Consumption", -$C2013*VLOOKUP($B2013, Items!$A:$E, 5, FALSE), 0)</f>
        <v>0</v>
      </c>
    </row>
    <row r="2014" spans="7:8">
      <c r="G2014">
        <f>IF($D2014="", "", IF($D2014="Receipt", $C2014*VLOOKUP($B2014, Items!$A:$E, 5, FALSE), IF($D2014="Consumption", -$C2014*VLOOKUP($B2014, Items!$A:$E, 5, FALSE), "")))</f>
        <v>0</v>
      </c>
      <c r="H2014">
        <f>IF($D2014="Consumption", -$C2014*VLOOKUP($B2014, Items!$A:$E, 5, FALSE), 0)</f>
        <v>0</v>
      </c>
    </row>
    <row r="2015" spans="7:8">
      <c r="G2015">
        <f>IF($D2015="", "", IF($D2015="Receipt", $C2015*VLOOKUP($B2015, Items!$A:$E, 5, FALSE), IF($D2015="Consumption", -$C2015*VLOOKUP($B2015, Items!$A:$E, 5, FALSE), "")))</f>
        <v>0</v>
      </c>
      <c r="H2015">
        <f>IF($D2015="Consumption", -$C2015*VLOOKUP($B2015, Items!$A:$E, 5, FALSE), 0)</f>
        <v>0</v>
      </c>
    </row>
    <row r="2016" spans="7:8">
      <c r="G2016">
        <f>IF($D2016="", "", IF($D2016="Receipt", $C2016*VLOOKUP($B2016, Items!$A:$E, 5, FALSE), IF($D2016="Consumption", -$C2016*VLOOKUP($B2016, Items!$A:$E, 5, FALSE), "")))</f>
        <v>0</v>
      </c>
      <c r="H2016">
        <f>IF($D2016="Consumption", -$C2016*VLOOKUP($B2016, Items!$A:$E, 5, FALSE), 0)</f>
        <v>0</v>
      </c>
    </row>
    <row r="2017" spans="7:8">
      <c r="G2017">
        <f>IF($D2017="", "", IF($D2017="Receipt", $C2017*VLOOKUP($B2017, Items!$A:$E, 5, FALSE), IF($D2017="Consumption", -$C2017*VLOOKUP($B2017, Items!$A:$E, 5, FALSE), "")))</f>
        <v>0</v>
      </c>
      <c r="H2017">
        <f>IF($D2017="Consumption", -$C2017*VLOOKUP($B2017, Items!$A:$E, 5, FALSE), 0)</f>
        <v>0</v>
      </c>
    </row>
    <row r="2018" spans="7:8">
      <c r="G2018">
        <f>IF($D2018="", "", IF($D2018="Receipt", $C2018*VLOOKUP($B2018, Items!$A:$E, 5, FALSE), IF($D2018="Consumption", -$C2018*VLOOKUP($B2018, Items!$A:$E, 5, FALSE), "")))</f>
        <v>0</v>
      </c>
      <c r="H2018">
        <f>IF($D2018="Consumption", -$C2018*VLOOKUP($B2018, Items!$A:$E, 5, FALSE), 0)</f>
        <v>0</v>
      </c>
    </row>
    <row r="2019" spans="7:8">
      <c r="G2019">
        <f>IF($D2019="", "", IF($D2019="Receipt", $C2019*VLOOKUP($B2019, Items!$A:$E, 5, FALSE), IF($D2019="Consumption", -$C2019*VLOOKUP($B2019, Items!$A:$E, 5, FALSE), "")))</f>
        <v>0</v>
      </c>
      <c r="H2019">
        <f>IF($D2019="Consumption", -$C2019*VLOOKUP($B2019, Items!$A:$E, 5, FALSE), 0)</f>
        <v>0</v>
      </c>
    </row>
    <row r="2020" spans="7:8">
      <c r="G2020">
        <f>IF($D2020="", "", IF($D2020="Receipt", $C2020*VLOOKUP($B2020, Items!$A:$E, 5, FALSE), IF($D2020="Consumption", -$C2020*VLOOKUP($B2020, Items!$A:$E, 5, FALSE), "")))</f>
        <v>0</v>
      </c>
      <c r="H2020">
        <f>IF($D2020="Consumption", -$C2020*VLOOKUP($B2020, Items!$A:$E, 5, FALSE), 0)</f>
        <v>0</v>
      </c>
    </row>
    <row r="2021" spans="7:8">
      <c r="G2021">
        <f>IF($D2021="", "", IF($D2021="Receipt", $C2021*VLOOKUP($B2021, Items!$A:$E, 5, FALSE), IF($D2021="Consumption", -$C2021*VLOOKUP($B2021, Items!$A:$E, 5, FALSE), "")))</f>
        <v>0</v>
      </c>
      <c r="H2021">
        <f>IF($D2021="Consumption", -$C2021*VLOOKUP($B2021, Items!$A:$E, 5, FALSE), 0)</f>
        <v>0</v>
      </c>
    </row>
    <row r="2022" spans="7:8">
      <c r="G2022">
        <f>IF($D2022="", "", IF($D2022="Receipt", $C2022*VLOOKUP($B2022, Items!$A:$E, 5, FALSE), IF($D2022="Consumption", -$C2022*VLOOKUP($B2022, Items!$A:$E, 5, FALSE), "")))</f>
        <v>0</v>
      </c>
      <c r="H2022">
        <f>IF($D2022="Consumption", -$C2022*VLOOKUP($B2022, Items!$A:$E, 5, FALSE), 0)</f>
        <v>0</v>
      </c>
    </row>
    <row r="2023" spans="7:8">
      <c r="G2023">
        <f>IF($D2023="", "", IF($D2023="Receipt", $C2023*VLOOKUP($B2023, Items!$A:$E, 5, FALSE), IF($D2023="Consumption", -$C2023*VLOOKUP($B2023, Items!$A:$E, 5, FALSE), "")))</f>
        <v>0</v>
      </c>
      <c r="H2023">
        <f>IF($D2023="Consumption", -$C2023*VLOOKUP($B2023, Items!$A:$E, 5, FALSE), 0)</f>
        <v>0</v>
      </c>
    </row>
    <row r="2024" spans="7:8">
      <c r="G2024">
        <f>IF($D2024="", "", IF($D2024="Receipt", $C2024*VLOOKUP($B2024, Items!$A:$E, 5, FALSE), IF($D2024="Consumption", -$C2024*VLOOKUP($B2024, Items!$A:$E, 5, FALSE), "")))</f>
        <v>0</v>
      </c>
      <c r="H2024">
        <f>IF($D2024="Consumption", -$C2024*VLOOKUP($B2024, Items!$A:$E, 5, FALSE), 0)</f>
        <v>0</v>
      </c>
    </row>
    <row r="2025" spans="7:8">
      <c r="G2025">
        <f>IF($D2025="", "", IF($D2025="Receipt", $C2025*VLOOKUP($B2025, Items!$A:$E, 5, FALSE), IF($D2025="Consumption", -$C2025*VLOOKUP($B2025, Items!$A:$E, 5, FALSE), "")))</f>
        <v>0</v>
      </c>
      <c r="H2025">
        <f>IF($D2025="Consumption", -$C2025*VLOOKUP($B2025, Items!$A:$E, 5, FALSE), 0)</f>
        <v>0</v>
      </c>
    </row>
    <row r="2026" spans="7:8">
      <c r="G2026">
        <f>IF($D2026="", "", IF($D2026="Receipt", $C2026*VLOOKUP($B2026, Items!$A:$E, 5, FALSE), IF($D2026="Consumption", -$C2026*VLOOKUP($B2026, Items!$A:$E, 5, FALSE), "")))</f>
        <v>0</v>
      </c>
      <c r="H2026">
        <f>IF($D2026="Consumption", -$C2026*VLOOKUP($B2026, Items!$A:$E, 5, FALSE), 0)</f>
        <v>0</v>
      </c>
    </row>
    <row r="2027" spans="7:8">
      <c r="G2027">
        <f>IF($D2027="", "", IF($D2027="Receipt", $C2027*VLOOKUP($B2027, Items!$A:$E, 5, FALSE), IF($D2027="Consumption", -$C2027*VLOOKUP($B2027, Items!$A:$E, 5, FALSE), "")))</f>
        <v>0</v>
      </c>
      <c r="H2027">
        <f>IF($D2027="Consumption", -$C2027*VLOOKUP($B2027, Items!$A:$E, 5, FALSE), 0)</f>
        <v>0</v>
      </c>
    </row>
    <row r="2028" spans="7:8">
      <c r="G2028">
        <f>IF($D2028="", "", IF($D2028="Receipt", $C2028*VLOOKUP($B2028, Items!$A:$E, 5, FALSE), IF($D2028="Consumption", -$C2028*VLOOKUP($B2028, Items!$A:$E, 5, FALSE), "")))</f>
        <v>0</v>
      </c>
      <c r="H2028">
        <f>IF($D2028="Consumption", -$C2028*VLOOKUP($B2028, Items!$A:$E, 5, FALSE), 0)</f>
        <v>0</v>
      </c>
    </row>
    <row r="2029" spans="7:8">
      <c r="G2029">
        <f>IF($D2029="", "", IF($D2029="Receipt", $C2029*VLOOKUP($B2029, Items!$A:$E, 5, FALSE), IF($D2029="Consumption", -$C2029*VLOOKUP($B2029, Items!$A:$E, 5, FALSE), "")))</f>
        <v>0</v>
      </c>
      <c r="H2029">
        <f>IF($D2029="Consumption", -$C2029*VLOOKUP($B2029, Items!$A:$E, 5, FALSE), 0)</f>
        <v>0</v>
      </c>
    </row>
    <row r="2030" spans="7:8">
      <c r="G2030">
        <f>IF($D2030="", "", IF($D2030="Receipt", $C2030*VLOOKUP($B2030, Items!$A:$E, 5, FALSE), IF($D2030="Consumption", -$C2030*VLOOKUP($B2030, Items!$A:$E, 5, FALSE), "")))</f>
        <v>0</v>
      </c>
      <c r="H2030">
        <f>IF($D2030="Consumption", -$C2030*VLOOKUP($B2030, Items!$A:$E, 5, FALSE), 0)</f>
        <v>0</v>
      </c>
    </row>
    <row r="2031" spans="7:8">
      <c r="G2031">
        <f>IF($D2031="", "", IF($D2031="Receipt", $C2031*VLOOKUP($B2031, Items!$A:$E, 5, FALSE), IF($D2031="Consumption", -$C2031*VLOOKUP($B2031, Items!$A:$E, 5, FALSE), "")))</f>
        <v>0</v>
      </c>
      <c r="H2031">
        <f>IF($D2031="Consumption", -$C2031*VLOOKUP($B2031, Items!$A:$E, 5, FALSE), 0)</f>
        <v>0</v>
      </c>
    </row>
    <row r="2032" spans="7:8">
      <c r="G2032">
        <f>IF($D2032="", "", IF($D2032="Receipt", $C2032*VLOOKUP($B2032, Items!$A:$E, 5, FALSE), IF($D2032="Consumption", -$C2032*VLOOKUP($B2032, Items!$A:$E, 5, FALSE), "")))</f>
        <v>0</v>
      </c>
      <c r="H2032">
        <f>IF($D2032="Consumption", -$C2032*VLOOKUP($B2032, Items!$A:$E, 5, FALSE), 0)</f>
        <v>0</v>
      </c>
    </row>
    <row r="2033" spans="7:8">
      <c r="G2033">
        <f>IF($D2033="", "", IF($D2033="Receipt", $C2033*VLOOKUP($B2033, Items!$A:$E, 5, FALSE), IF($D2033="Consumption", -$C2033*VLOOKUP($B2033, Items!$A:$E, 5, FALSE), "")))</f>
        <v>0</v>
      </c>
      <c r="H2033">
        <f>IF($D2033="Consumption", -$C2033*VLOOKUP($B2033, Items!$A:$E, 5, FALSE), 0)</f>
        <v>0</v>
      </c>
    </row>
    <row r="2034" spans="7:8">
      <c r="G2034">
        <f>IF($D2034="", "", IF($D2034="Receipt", $C2034*VLOOKUP($B2034, Items!$A:$E, 5, FALSE), IF($D2034="Consumption", -$C2034*VLOOKUP($B2034, Items!$A:$E, 5, FALSE), "")))</f>
        <v>0</v>
      </c>
      <c r="H2034">
        <f>IF($D2034="Consumption", -$C2034*VLOOKUP($B2034, Items!$A:$E, 5, FALSE), 0)</f>
        <v>0</v>
      </c>
    </row>
    <row r="2035" spans="7:8">
      <c r="G2035">
        <f>IF($D2035="", "", IF($D2035="Receipt", $C2035*VLOOKUP($B2035, Items!$A:$E, 5, FALSE), IF($D2035="Consumption", -$C2035*VLOOKUP($B2035, Items!$A:$E, 5, FALSE), "")))</f>
        <v>0</v>
      </c>
      <c r="H2035">
        <f>IF($D2035="Consumption", -$C2035*VLOOKUP($B2035, Items!$A:$E, 5, FALSE), 0)</f>
        <v>0</v>
      </c>
    </row>
    <row r="2036" spans="7:8">
      <c r="G2036">
        <f>IF($D2036="", "", IF($D2036="Receipt", $C2036*VLOOKUP($B2036, Items!$A:$E, 5, FALSE), IF($D2036="Consumption", -$C2036*VLOOKUP($B2036, Items!$A:$E, 5, FALSE), "")))</f>
        <v>0</v>
      </c>
      <c r="H2036">
        <f>IF($D2036="Consumption", -$C2036*VLOOKUP($B2036, Items!$A:$E, 5, FALSE), 0)</f>
        <v>0</v>
      </c>
    </row>
    <row r="2037" spans="7:8">
      <c r="G2037">
        <f>IF($D2037="", "", IF($D2037="Receipt", $C2037*VLOOKUP($B2037, Items!$A:$E, 5, FALSE), IF($D2037="Consumption", -$C2037*VLOOKUP($B2037, Items!$A:$E, 5, FALSE), "")))</f>
        <v>0</v>
      </c>
      <c r="H2037">
        <f>IF($D2037="Consumption", -$C2037*VLOOKUP($B2037, Items!$A:$E, 5, FALSE), 0)</f>
        <v>0</v>
      </c>
    </row>
    <row r="2038" spans="7:8">
      <c r="G2038">
        <f>IF($D2038="", "", IF($D2038="Receipt", $C2038*VLOOKUP($B2038, Items!$A:$E, 5, FALSE), IF($D2038="Consumption", -$C2038*VLOOKUP($B2038, Items!$A:$E, 5, FALSE), "")))</f>
        <v>0</v>
      </c>
      <c r="H2038">
        <f>IF($D2038="Consumption", -$C2038*VLOOKUP($B2038, Items!$A:$E, 5, FALSE), 0)</f>
        <v>0</v>
      </c>
    </row>
    <row r="2039" spans="7:8">
      <c r="G2039">
        <f>IF($D2039="", "", IF($D2039="Receipt", $C2039*VLOOKUP($B2039, Items!$A:$E, 5, FALSE), IF($D2039="Consumption", -$C2039*VLOOKUP($B2039, Items!$A:$E, 5, FALSE), "")))</f>
        <v>0</v>
      </c>
      <c r="H2039">
        <f>IF($D2039="Consumption", -$C2039*VLOOKUP($B2039, Items!$A:$E, 5, FALSE), 0)</f>
        <v>0</v>
      </c>
    </row>
    <row r="2040" spans="7:8">
      <c r="G2040">
        <f>IF($D2040="", "", IF($D2040="Receipt", $C2040*VLOOKUP($B2040, Items!$A:$E, 5, FALSE), IF($D2040="Consumption", -$C2040*VLOOKUP($B2040, Items!$A:$E, 5, FALSE), "")))</f>
        <v>0</v>
      </c>
      <c r="H2040">
        <f>IF($D2040="Consumption", -$C2040*VLOOKUP($B2040, Items!$A:$E, 5, FALSE), 0)</f>
        <v>0</v>
      </c>
    </row>
    <row r="2041" spans="7:8">
      <c r="G2041">
        <f>IF($D2041="", "", IF($D2041="Receipt", $C2041*VLOOKUP($B2041, Items!$A:$E, 5, FALSE), IF($D2041="Consumption", -$C2041*VLOOKUP($B2041, Items!$A:$E, 5, FALSE), "")))</f>
        <v>0</v>
      </c>
      <c r="H2041">
        <f>IF($D2041="Consumption", -$C2041*VLOOKUP($B2041, Items!$A:$E, 5, FALSE), 0)</f>
        <v>0</v>
      </c>
    </row>
    <row r="2042" spans="7:8">
      <c r="G2042">
        <f>IF($D2042="", "", IF($D2042="Receipt", $C2042*VLOOKUP($B2042, Items!$A:$E, 5, FALSE), IF($D2042="Consumption", -$C2042*VLOOKUP($B2042, Items!$A:$E, 5, FALSE), "")))</f>
        <v>0</v>
      </c>
      <c r="H2042">
        <f>IF($D2042="Consumption", -$C2042*VLOOKUP($B2042, Items!$A:$E, 5, FALSE), 0)</f>
        <v>0</v>
      </c>
    </row>
    <row r="2043" spans="7:8">
      <c r="G2043">
        <f>IF($D2043="", "", IF($D2043="Receipt", $C2043*VLOOKUP($B2043, Items!$A:$E, 5, FALSE), IF($D2043="Consumption", -$C2043*VLOOKUP($B2043, Items!$A:$E, 5, FALSE), "")))</f>
        <v>0</v>
      </c>
      <c r="H2043">
        <f>IF($D2043="Consumption", -$C2043*VLOOKUP($B2043, Items!$A:$E, 5, FALSE), 0)</f>
        <v>0</v>
      </c>
    </row>
    <row r="2044" spans="7:8">
      <c r="G2044">
        <f>IF($D2044="", "", IF($D2044="Receipt", $C2044*VLOOKUP($B2044, Items!$A:$E, 5, FALSE), IF($D2044="Consumption", -$C2044*VLOOKUP($B2044, Items!$A:$E, 5, FALSE), "")))</f>
        <v>0</v>
      </c>
      <c r="H2044">
        <f>IF($D2044="Consumption", -$C2044*VLOOKUP($B2044, Items!$A:$E, 5, FALSE), 0)</f>
        <v>0</v>
      </c>
    </row>
    <row r="2045" spans="7:8">
      <c r="G2045">
        <f>IF($D2045="", "", IF($D2045="Receipt", $C2045*VLOOKUP($B2045, Items!$A:$E, 5, FALSE), IF($D2045="Consumption", -$C2045*VLOOKUP($B2045, Items!$A:$E, 5, FALSE), "")))</f>
        <v>0</v>
      </c>
      <c r="H2045">
        <f>IF($D2045="Consumption", -$C2045*VLOOKUP($B2045, Items!$A:$E, 5, FALSE), 0)</f>
        <v>0</v>
      </c>
    </row>
    <row r="2046" spans="7:8">
      <c r="G2046">
        <f>IF($D2046="", "", IF($D2046="Receipt", $C2046*VLOOKUP($B2046, Items!$A:$E, 5, FALSE), IF($D2046="Consumption", -$C2046*VLOOKUP($B2046, Items!$A:$E, 5, FALSE), "")))</f>
        <v>0</v>
      </c>
      <c r="H2046">
        <f>IF($D2046="Consumption", -$C2046*VLOOKUP($B2046, Items!$A:$E, 5, FALSE), 0)</f>
        <v>0</v>
      </c>
    </row>
    <row r="2047" spans="7:8">
      <c r="G2047">
        <f>IF($D2047="", "", IF($D2047="Receipt", $C2047*VLOOKUP($B2047, Items!$A:$E, 5, FALSE), IF($D2047="Consumption", -$C2047*VLOOKUP($B2047, Items!$A:$E, 5, FALSE), "")))</f>
        <v>0</v>
      </c>
      <c r="H2047">
        <f>IF($D2047="Consumption", -$C2047*VLOOKUP($B2047, Items!$A:$E, 5, FALSE), 0)</f>
        <v>0</v>
      </c>
    </row>
    <row r="2048" spans="7:8">
      <c r="G2048">
        <f>IF($D2048="", "", IF($D2048="Receipt", $C2048*VLOOKUP($B2048, Items!$A:$E, 5, FALSE), IF($D2048="Consumption", -$C2048*VLOOKUP($B2048, Items!$A:$E, 5, FALSE), "")))</f>
        <v>0</v>
      </c>
      <c r="H2048">
        <f>IF($D2048="Consumption", -$C2048*VLOOKUP($B2048, Items!$A:$E, 5, FALSE), 0)</f>
        <v>0</v>
      </c>
    </row>
    <row r="2049" spans="7:8">
      <c r="G2049">
        <f>IF($D2049="", "", IF($D2049="Receipt", $C2049*VLOOKUP($B2049, Items!$A:$E, 5, FALSE), IF($D2049="Consumption", -$C2049*VLOOKUP($B2049, Items!$A:$E, 5, FALSE), "")))</f>
        <v>0</v>
      </c>
      <c r="H2049">
        <f>IF($D2049="Consumption", -$C2049*VLOOKUP($B2049, Items!$A:$E, 5, FALSE), 0)</f>
        <v>0</v>
      </c>
    </row>
    <row r="2050" spans="7:8">
      <c r="G2050">
        <f>IF($D2050="", "", IF($D2050="Receipt", $C2050*VLOOKUP($B2050, Items!$A:$E, 5, FALSE), IF($D2050="Consumption", -$C2050*VLOOKUP($B2050, Items!$A:$E, 5, FALSE), "")))</f>
        <v>0</v>
      </c>
      <c r="H2050">
        <f>IF($D2050="Consumption", -$C2050*VLOOKUP($B2050, Items!$A:$E, 5, FALSE), 0)</f>
        <v>0</v>
      </c>
    </row>
    <row r="2051" spans="7:8">
      <c r="G2051">
        <f>IF($D2051="", "", IF($D2051="Receipt", $C2051*VLOOKUP($B2051, Items!$A:$E, 5, FALSE), IF($D2051="Consumption", -$C2051*VLOOKUP($B2051, Items!$A:$E, 5, FALSE), "")))</f>
        <v>0</v>
      </c>
      <c r="H2051">
        <f>IF($D2051="Consumption", -$C2051*VLOOKUP($B2051, Items!$A:$E, 5, FALSE), 0)</f>
        <v>0</v>
      </c>
    </row>
    <row r="2052" spans="7:8">
      <c r="G2052">
        <f>IF($D2052="", "", IF($D2052="Receipt", $C2052*VLOOKUP($B2052, Items!$A:$E, 5, FALSE), IF($D2052="Consumption", -$C2052*VLOOKUP($B2052, Items!$A:$E, 5, FALSE), "")))</f>
        <v>0</v>
      </c>
      <c r="H2052">
        <f>IF($D2052="Consumption", -$C2052*VLOOKUP($B2052, Items!$A:$E, 5, FALSE), 0)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9" width="18.7109375" customWidth="1"/>
  </cols>
  <sheetData>
    <row r="1" spans="1:5">
      <c r="A1" s="1" t="s">
        <v>23</v>
      </c>
      <c r="B1" s="1" t="s">
        <v>0</v>
      </c>
      <c r="C1" s="1" t="s">
        <v>24</v>
      </c>
      <c r="D1" s="1" t="s">
        <v>82</v>
      </c>
      <c r="E1" s="1" t="s">
        <v>83</v>
      </c>
    </row>
    <row r="2" spans="1:5">
      <c r="A2" s="2">
        <v>45877</v>
      </c>
      <c r="B2" t="s">
        <v>12</v>
      </c>
      <c r="C2">
        <v>1</v>
      </c>
      <c r="D2">
        <v>7.007880640898267</v>
      </c>
      <c r="E2">
        <v>7.007880640898267</v>
      </c>
    </row>
    <row r="3" spans="1:5">
      <c r="A3" s="2">
        <v>45880</v>
      </c>
      <c r="B3" t="s">
        <v>10</v>
      </c>
      <c r="C3">
        <v>22</v>
      </c>
      <c r="D3">
        <v>1078.926938516349</v>
      </c>
      <c r="E3">
        <v>23736.39264735968</v>
      </c>
    </row>
    <row r="4" spans="1:5">
      <c r="A4" s="2">
        <v>45896</v>
      </c>
      <c r="B4" t="s">
        <v>9</v>
      </c>
      <c r="C4">
        <v>8</v>
      </c>
      <c r="D4">
        <v>260.4176225868744</v>
      </c>
      <c r="E4">
        <v>2083.340980694995</v>
      </c>
    </row>
    <row r="5" spans="1:5">
      <c r="A5" s="2">
        <v>45902</v>
      </c>
      <c r="B5" t="s">
        <v>9</v>
      </c>
      <c r="C5">
        <v>24</v>
      </c>
      <c r="D5">
        <v>334.9633415247272</v>
      </c>
      <c r="E5">
        <v>8039.120196593454</v>
      </c>
    </row>
    <row r="6" spans="1:5">
      <c r="A6" s="2">
        <v>45905</v>
      </c>
      <c r="B6" t="s">
        <v>9</v>
      </c>
      <c r="C6">
        <v>5</v>
      </c>
      <c r="D6">
        <v>288.8356315750076</v>
      </c>
      <c r="E6">
        <v>1444.178157875038</v>
      </c>
    </row>
    <row r="7" spans="1:5">
      <c r="A7" s="2">
        <v>45912</v>
      </c>
      <c r="B7" t="s">
        <v>9</v>
      </c>
      <c r="C7">
        <v>7</v>
      </c>
      <c r="D7">
        <v>330.221538479072</v>
      </c>
      <c r="E7">
        <v>2311.550769353504</v>
      </c>
    </row>
    <row r="8" spans="1:5">
      <c r="A8" s="2">
        <v>45921</v>
      </c>
      <c r="B8" t="s">
        <v>9</v>
      </c>
      <c r="C8">
        <v>7</v>
      </c>
      <c r="D8">
        <v>237.5915373428167</v>
      </c>
      <c r="E8">
        <v>1663.140761399717</v>
      </c>
    </row>
    <row r="9" spans="1:5">
      <c r="A9" s="2">
        <v>45922</v>
      </c>
      <c r="B9" t="s">
        <v>11</v>
      </c>
      <c r="C9">
        <v>24</v>
      </c>
      <c r="D9">
        <v>2638.456008599575</v>
      </c>
      <c r="E9">
        <v>63322.9442063898</v>
      </c>
    </row>
    <row r="10" spans="1:5">
      <c r="A10" s="2">
        <v>45924</v>
      </c>
      <c r="B10" t="s">
        <v>9</v>
      </c>
      <c r="C10">
        <v>21</v>
      </c>
      <c r="D10">
        <v>272.1808474085473</v>
      </c>
      <c r="E10">
        <v>5715.797795579494</v>
      </c>
    </row>
    <row r="11" spans="1:5">
      <c r="A11" s="2">
        <v>45925</v>
      </c>
      <c r="B11" t="s">
        <v>9</v>
      </c>
      <c r="C11">
        <v>5</v>
      </c>
      <c r="D11">
        <v>273.7571812535749</v>
      </c>
      <c r="E11">
        <v>1368.785906267874</v>
      </c>
    </row>
    <row r="12" spans="1:5">
      <c r="A12" s="2">
        <v>45926</v>
      </c>
      <c r="B12" t="s">
        <v>10</v>
      </c>
      <c r="C12">
        <v>21</v>
      </c>
      <c r="D12">
        <v>1489.409708008911</v>
      </c>
      <c r="E12">
        <v>31277.60386818713</v>
      </c>
    </row>
    <row r="13" spans="1:5">
      <c r="A13" s="2">
        <v>45932</v>
      </c>
      <c r="B13" t="s">
        <v>10</v>
      </c>
      <c r="C13">
        <v>7</v>
      </c>
      <c r="D13">
        <v>1177.460186870545</v>
      </c>
      <c r="E13">
        <v>8242.221308093816</v>
      </c>
    </row>
    <row r="14" spans="1:5">
      <c r="A14" s="2">
        <v>45934</v>
      </c>
      <c r="B14" t="s">
        <v>12</v>
      </c>
      <c r="C14">
        <v>12</v>
      </c>
      <c r="D14">
        <v>5.272921233829194</v>
      </c>
      <c r="E14">
        <v>63.27505480595032</v>
      </c>
    </row>
    <row r="15" spans="1:5">
      <c r="A15" s="2">
        <v>45941</v>
      </c>
      <c r="B15" t="s">
        <v>10</v>
      </c>
      <c r="C15">
        <v>7</v>
      </c>
      <c r="D15">
        <v>1441.014806016191</v>
      </c>
      <c r="E15">
        <v>10087.10364211334</v>
      </c>
    </row>
    <row r="16" spans="1:5">
      <c r="A16" s="2">
        <v>45947</v>
      </c>
      <c r="B16" t="s">
        <v>12</v>
      </c>
      <c r="C16">
        <v>23</v>
      </c>
      <c r="D16">
        <v>6.975619766438757</v>
      </c>
      <c r="E16">
        <v>160.4392546280914</v>
      </c>
    </row>
    <row r="17" spans="1:5">
      <c r="A17" s="2">
        <v>45954</v>
      </c>
      <c r="B17" t="s">
        <v>10</v>
      </c>
      <c r="C17">
        <v>3</v>
      </c>
      <c r="D17">
        <v>1403.629566310481</v>
      </c>
      <c r="E17">
        <v>4210.888698931442</v>
      </c>
    </row>
    <row r="18" spans="1:5">
      <c r="A18" s="2">
        <v>45963</v>
      </c>
      <c r="B18" t="s">
        <v>12</v>
      </c>
      <c r="C18">
        <v>1</v>
      </c>
      <c r="D18">
        <v>7.033296691504659</v>
      </c>
      <c r="E18">
        <v>7.033296691504659</v>
      </c>
    </row>
    <row r="19" spans="1:5">
      <c r="A19" s="2">
        <v>45963</v>
      </c>
      <c r="B19" t="s">
        <v>10</v>
      </c>
      <c r="C19">
        <v>15</v>
      </c>
      <c r="D19">
        <v>1375.264034288106</v>
      </c>
      <c r="E19">
        <v>20628.96051432159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9" width="18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s="2">
        <v>45964</v>
      </c>
    </row>
    <row r="3" spans="1:2">
      <c r="A3" t="s">
        <v>87</v>
      </c>
      <c r="B3" s="2">
        <v>45846</v>
      </c>
    </row>
    <row r="4" spans="1:2">
      <c r="A4" t="s">
        <v>88</v>
      </c>
      <c r="B4">
        <v>0</v>
      </c>
    </row>
    <row r="5" spans="1:2">
      <c r="A5" t="s">
        <v>89</v>
      </c>
      <c r="B5">
        <v>1000</v>
      </c>
    </row>
    <row r="6" spans="1:2">
      <c r="A6" t="s">
        <v>90</v>
      </c>
      <c r="B6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7" width="18.7109375" style="3" customWidth="1"/>
    <col min="8" max="9" width="18.7109375" customWidth="1"/>
  </cols>
  <sheetData>
    <row r="1" spans="1:7">
      <c r="A1" s="1" t="s">
        <v>23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>
      <c r="A2" s="2">
        <v>45905</v>
      </c>
      <c r="B2" s="3">
        <f>Cfg_BaselineOpeningValue + SUMIFS(Mov_Value, Mov_Date, "&gt;"&amp;Cfg_BaselineDate, Mov_Date, "&lt;"&amp;$A2)</f>
        <v>0</v>
      </c>
      <c r="C2" s="3">
        <f>SUMIFS(Mov_Value, Mov_Type, "Receipt", Mov_Date, $A2)</f>
        <v>0</v>
      </c>
      <c r="D2" s="3">
        <f>Cfg_BaselineOpeningValue + SUMIFS(Mov_Value, Mov_Date, "&gt;"&amp;Cfg_BaselineDate, Mov_Date, "&lt;="&amp;$A2)</f>
        <v>0</v>
      </c>
      <c r="E2" s="3">
        <f>B2+C2-D2</f>
        <v>0</v>
      </c>
      <c r="F2" s="3">
        <f>SUMIFS(Sales_Amount, Sales_Date, $A2)</f>
        <v>0</v>
      </c>
      <c r="G2" s="3">
        <f>F2-E2</f>
        <v>0</v>
      </c>
    </row>
    <row r="3" spans="1:7">
      <c r="A3" s="2">
        <v>45906</v>
      </c>
      <c r="B3" s="3">
        <f>Cfg_BaselineOpeningValue + SUMIFS(Mov_Value, Mov_Date, "&gt;"&amp;Cfg_BaselineDate, Mov_Date, "&lt;"&amp;$A3)</f>
        <v>0</v>
      </c>
      <c r="C3" s="3">
        <f>SUMIFS(Mov_Value, Mov_Type, "Receipt", Mov_Date, $A3)</f>
        <v>0</v>
      </c>
      <c r="D3" s="3">
        <f>Cfg_BaselineOpeningValue + SUMIFS(Mov_Value, Mov_Date, "&gt;"&amp;Cfg_BaselineDate, Mov_Date, "&lt;="&amp;$A3)</f>
        <v>0</v>
      </c>
      <c r="E3" s="3">
        <f>B3+C3-D3</f>
        <v>0</v>
      </c>
      <c r="F3" s="3">
        <f>SUMIFS(Sales_Amount, Sales_Date, $A3)</f>
        <v>0</v>
      </c>
      <c r="G3" s="3">
        <f>F3-E3</f>
        <v>0</v>
      </c>
    </row>
    <row r="4" spans="1:7">
      <c r="A4" s="2">
        <v>45907</v>
      </c>
      <c r="B4" s="3">
        <f>Cfg_BaselineOpeningValue + SUMIFS(Mov_Value, Mov_Date, "&gt;"&amp;Cfg_BaselineDate, Mov_Date, "&lt;"&amp;$A4)</f>
        <v>0</v>
      </c>
      <c r="C4" s="3">
        <f>SUMIFS(Mov_Value, Mov_Type, "Receipt", Mov_Date, $A4)</f>
        <v>0</v>
      </c>
      <c r="D4" s="3">
        <f>Cfg_BaselineOpeningValue + SUMIFS(Mov_Value, Mov_Date, "&gt;"&amp;Cfg_BaselineDate, Mov_Date, "&lt;="&amp;$A4)</f>
        <v>0</v>
      </c>
      <c r="E4" s="3">
        <f>B4+C4-D4</f>
        <v>0</v>
      </c>
      <c r="F4" s="3">
        <f>SUMIFS(Sales_Amount, Sales_Date, $A4)</f>
        <v>0</v>
      </c>
      <c r="G4" s="3">
        <f>F4-E4</f>
        <v>0</v>
      </c>
    </row>
    <row r="5" spans="1:7">
      <c r="A5" s="2">
        <v>45908</v>
      </c>
      <c r="B5" s="3">
        <f>Cfg_BaselineOpeningValue + SUMIFS(Mov_Value, Mov_Date, "&gt;"&amp;Cfg_BaselineDate, Mov_Date, "&lt;"&amp;$A5)</f>
        <v>0</v>
      </c>
      <c r="C5" s="3">
        <f>SUMIFS(Mov_Value, Mov_Type, "Receipt", Mov_Date, $A5)</f>
        <v>0</v>
      </c>
      <c r="D5" s="3">
        <f>Cfg_BaselineOpeningValue + SUMIFS(Mov_Value, Mov_Date, "&gt;"&amp;Cfg_BaselineDate, Mov_Date, "&lt;="&amp;$A5)</f>
        <v>0</v>
      </c>
      <c r="E5" s="3">
        <f>B5+C5-D5</f>
        <v>0</v>
      </c>
      <c r="F5" s="3">
        <f>SUMIFS(Sales_Amount, Sales_Date, $A5)</f>
        <v>0</v>
      </c>
      <c r="G5" s="3">
        <f>F5-E5</f>
        <v>0</v>
      </c>
    </row>
    <row r="6" spans="1:7">
      <c r="A6" s="2">
        <v>45909</v>
      </c>
      <c r="B6" s="3">
        <f>Cfg_BaselineOpeningValue + SUMIFS(Mov_Value, Mov_Date, "&gt;"&amp;Cfg_BaselineDate, Mov_Date, "&lt;"&amp;$A6)</f>
        <v>0</v>
      </c>
      <c r="C6" s="3">
        <f>SUMIFS(Mov_Value, Mov_Type, "Receipt", Mov_Date, $A6)</f>
        <v>0</v>
      </c>
      <c r="D6" s="3">
        <f>Cfg_BaselineOpeningValue + SUMIFS(Mov_Value, Mov_Date, "&gt;"&amp;Cfg_BaselineDate, Mov_Date, "&lt;="&amp;$A6)</f>
        <v>0</v>
      </c>
      <c r="E6" s="3">
        <f>B6+C6-D6</f>
        <v>0</v>
      </c>
      <c r="F6" s="3">
        <f>SUMIFS(Sales_Amount, Sales_Date, $A6)</f>
        <v>0</v>
      </c>
      <c r="G6" s="3">
        <f>F6-E6</f>
        <v>0</v>
      </c>
    </row>
    <row r="7" spans="1:7">
      <c r="A7" s="2">
        <v>45910</v>
      </c>
      <c r="B7" s="3">
        <f>Cfg_BaselineOpeningValue + SUMIFS(Mov_Value, Mov_Date, "&gt;"&amp;Cfg_BaselineDate, Mov_Date, "&lt;"&amp;$A7)</f>
        <v>0</v>
      </c>
      <c r="C7" s="3">
        <f>SUMIFS(Mov_Value, Mov_Type, "Receipt", Mov_Date, $A7)</f>
        <v>0</v>
      </c>
      <c r="D7" s="3">
        <f>Cfg_BaselineOpeningValue + SUMIFS(Mov_Value, Mov_Date, "&gt;"&amp;Cfg_BaselineDate, Mov_Date, "&lt;="&amp;$A7)</f>
        <v>0</v>
      </c>
      <c r="E7" s="3">
        <f>B7+C7-D7</f>
        <v>0</v>
      </c>
      <c r="F7" s="3">
        <f>SUMIFS(Sales_Amount, Sales_Date, $A7)</f>
        <v>0</v>
      </c>
      <c r="G7" s="3">
        <f>F7-E7</f>
        <v>0</v>
      </c>
    </row>
    <row r="8" spans="1:7">
      <c r="A8" s="2">
        <v>45911</v>
      </c>
      <c r="B8" s="3">
        <f>Cfg_BaselineOpeningValue + SUMIFS(Mov_Value, Mov_Date, "&gt;"&amp;Cfg_BaselineDate, Mov_Date, "&lt;"&amp;$A8)</f>
        <v>0</v>
      </c>
      <c r="C8" s="3">
        <f>SUMIFS(Mov_Value, Mov_Type, "Receipt", Mov_Date, $A8)</f>
        <v>0</v>
      </c>
      <c r="D8" s="3">
        <f>Cfg_BaselineOpeningValue + SUMIFS(Mov_Value, Mov_Date, "&gt;"&amp;Cfg_BaselineDate, Mov_Date, "&lt;="&amp;$A8)</f>
        <v>0</v>
      </c>
      <c r="E8" s="3">
        <f>B8+C8-D8</f>
        <v>0</v>
      </c>
      <c r="F8" s="3">
        <f>SUMIFS(Sales_Amount, Sales_Date, $A8)</f>
        <v>0</v>
      </c>
      <c r="G8" s="3">
        <f>F8-E8</f>
        <v>0</v>
      </c>
    </row>
    <row r="9" spans="1:7">
      <c r="A9" s="2">
        <v>45912</v>
      </c>
      <c r="B9" s="3">
        <f>Cfg_BaselineOpeningValue + SUMIFS(Mov_Value, Mov_Date, "&gt;"&amp;Cfg_BaselineDate, Mov_Date, "&lt;"&amp;$A9)</f>
        <v>0</v>
      </c>
      <c r="C9" s="3">
        <f>SUMIFS(Mov_Value, Mov_Type, "Receipt", Mov_Date, $A9)</f>
        <v>0</v>
      </c>
      <c r="D9" s="3">
        <f>Cfg_BaselineOpeningValue + SUMIFS(Mov_Value, Mov_Date, "&gt;"&amp;Cfg_BaselineDate, Mov_Date, "&lt;="&amp;$A9)</f>
        <v>0</v>
      </c>
      <c r="E9" s="3">
        <f>B9+C9-D9</f>
        <v>0</v>
      </c>
      <c r="F9" s="3">
        <f>SUMIFS(Sales_Amount, Sales_Date, $A9)</f>
        <v>0</v>
      </c>
      <c r="G9" s="3">
        <f>F9-E9</f>
        <v>0</v>
      </c>
    </row>
    <row r="10" spans="1:7">
      <c r="A10" s="2">
        <v>45913</v>
      </c>
      <c r="B10" s="3">
        <f>Cfg_BaselineOpeningValue + SUMIFS(Mov_Value, Mov_Date, "&gt;"&amp;Cfg_BaselineDate, Mov_Date, "&lt;"&amp;$A10)</f>
        <v>0</v>
      </c>
      <c r="C10" s="3">
        <f>SUMIFS(Mov_Value, Mov_Type, "Receipt", Mov_Date, $A10)</f>
        <v>0</v>
      </c>
      <c r="D10" s="3">
        <f>Cfg_BaselineOpeningValue + SUMIFS(Mov_Value, Mov_Date, "&gt;"&amp;Cfg_BaselineDate, Mov_Date, "&lt;="&amp;$A10)</f>
        <v>0</v>
      </c>
      <c r="E10" s="3">
        <f>B10+C10-D10</f>
        <v>0</v>
      </c>
      <c r="F10" s="3">
        <f>SUMIFS(Sales_Amount, Sales_Date, $A10)</f>
        <v>0</v>
      </c>
      <c r="G10" s="3">
        <f>F10-E10</f>
        <v>0</v>
      </c>
    </row>
    <row r="11" spans="1:7">
      <c r="A11" s="2">
        <v>45914</v>
      </c>
      <c r="B11" s="3">
        <f>Cfg_BaselineOpeningValue + SUMIFS(Mov_Value, Mov_Date, "&gt;"&amp;Cfg_BaselineDate, Mov_Date, "&lt;"&amp;$A11)</f>
        <v>0</v>
      </c>
      <c r="C11" s="3">
        <f>SUMIFS(Mov_Value, Mov_Type, "Receipt", Mov_Date, $A11)</f>
        <v>0</v>
      </c>
      <c r="D11" s="3">
        <f>Cfg_BaselineOpeningValue + SUMIFS(Mov_Value, Mov_Date, "&gt;"&amp;Cfg_BaselineDate, Mov_Date, "&lt;="&amp;$A11)</f>
        <v>0</v>
      </c>
      <c r="E11" s="3">
        <f>B11+C11-D11</f>
        <v>0</v>
      </c>
      <c r="F11" s="3">
        <f>SUMIFS(Sales_Amount, Sales_Date, $A11)</f>
        <v>0</v>
      </c>
      <c r="G11" s="3">
        <f>F11-E11</f>
        <v>0</v>
      </c>
    </row>
    <row r="12" spans="1:7">
      <c r="A12" s="2">
        <v>45915</v>
      </c>
      <c r="B12" s="3">
        <f>Cfg_BaselineOpeningValue + SUMIFS(Mov_Value, Mov_Date, "&gt;"&amp;Cfg_BaselineDate, Mov_Date, "&lt;"&amp;$A12)</f>
        <v>0</v>
      </c>
      <c r="C12" s="3">
        <f>SUMIFS(Mov_Value, Mov_Type, "Receipt", Mov_Date, $A12)</f>
        <v>0</v>
      </c>
      <c r="D12" s="3">
        <f>Cfg_BaselineOpeningValue + SUMIFS(Mov_Value, Mov_Date, "&gt;"&amp;Cfg_BaselineDate, Mov_Date, "&lt;="&amp;$A12)</f>
        <v>0</v>
      </c>
      <c r="E12" s="3">
        <f>B12+C12-D12</f>
        <v>0</v>
      </c>
      <c r="F12" s="3">
        <f>SUMIFS(Sales_Amount, Sales_Date, $A12)</f>
        <v>0</v>
      </c>
      <c r="G12" s="3">
        <f>F12-E12</f>
        <v>0</v>
      </c>
    </row>
    <row r="13" spans="1:7">
      <c r="A13" s="2">
        <v>45916</v>
      </c>
      <c r="B13" s="3">
        <f>Cfg_BaselineOpeningValue + SUMIFS(Mov_Value, Mov_Date, "&gt;"&amp;Cfg_BaselineDate, Mov_Date, "&lt;"&amp;$A13)</f>
        <v>0</v>
      </c>
      <c r="C13" s="3">
        <f>SUMIFS(Mov_Value, Mov_Type, "Receipt", Mov_Date, $A13)</f>
        <v>0</v>
      </c>
      <c r="D13" s="3">
        <f>Cfg_BaselineOpeningValue + SUMIFS(Mov_Value, Mov_Date, "&gt;"&amp;Cfg_BaselineDate, Mov_Date, "&lt;="&amp;$A13)</f>
        <v>0</v>
      </c>
      <c r="E13" s="3">
        <f>B13+C13-D13</f>
        <v>0</v>
      </c>
      <c r="F13" s="3">
        <f>SUMIFS(Sales_Amount, Sales_Date, $A13)</f>
        <v>0</v>
      </c>
      <c r="G13" s="3">
        <f>F13-E13</f>
        <v>0</v>
      </c>
    </row>
    <row r="14" spans="1:7">
      <c r="A14" s="2">
        <v>45917</v>
      </c>
      <c r="B14" s="3">
        <f>Cfg_BaselineOpeningValue + SUMIFS(Mov_Value, Mov_Date, "&gt;"&amp;Cfg_BaselineDate, Mov_Date, "&lt;"&amp;$A14)</f>
        <v>0</v>
      </c>
      <c r="C14" s="3">
        <f>SUMIFS(Mov_Value, Mov_Type, "Receipt", Mov_Date, $A14)</f>
        <v>0</v>
      </c>
      <c r="D14" s="3">
        <f>Cfg_BaselineOpeningValue + SUMIFS(Mov_Value, Mov_Date, "&gt;"&amp;Cfg_BaselineDate, Mov_Date, "&lt;="&amp;$A14)</f>
        <v>0</v>
      </c>
      <c r="E14" s="3">
        <f>B14+C14-D14</f>
        <v>0</v>
      </c>
      <c r="F14" s="3">
        <f>SUMIFS(Sales_Amount, Sales_Date, $A14)</f>
        <v>0</v>
      </c>
      <c r="G14" s="3">
        <f>F14-E14</f>
        <v>0</v>
      </c>
    </row>
    <row r="15" spans="1:7">
      <c r="A15" s="2">
        <v>45918</v>
      </c>
      <c r="B15" s="3">
        <f>Cfg_BaselineOpeningValue + SUMIFS(Mov_Value, Mov_Date, "&gt;"&amp;Cfg_BaselineDate, Mov_Date, "&lt;"&amp;$A15)</f>
        <v>0</v>
      </c>
      <c r="C15" s="3">
        <f>SUMIFS(Mov_Value, Mov_Type, "Receipt", Mov_Date, $A15)</f>
        <v>0</v>
      </c>
      <c r="D15" s="3">
        <f>Cfg_BaselineOpeningValue + SUMIFS(Mov_Value, Mov_Date, "&gt;"&amp;Cfg_BaselineDate, Mov_Date, "&lt;="&amp;$A15)</f>
        <v>0</v>
      </c>
      <c r="E15" s="3">
        <f>B15+C15-D15</f>
        <v>0</v>
      </c>
      <c r="F15" s="3">
        <f>SUMIFS(Sales_Amount, Sales_Date, $A15)</f>
        <v>0</v>
      </c>
      <c r="G15" s="3">
        <f>F15-E15</f>
        <v>0</v>
      </c>
    </row>
    <row r="16" spans="1:7">
      <c r="A16" s="2">
        <v>45919</v>
      </c>
      <c r="B16" s="3">
        <f>Cfg_BaselineOpeningValue + SUMIFS(Mov_Value, Mov_Date, "&gt;"&amp;Cfg_BaselineDate, Mov_Date, "&lt;"&amp;$A16)</f>
        <v>0</v>
      </c>
      <c r="C16" s="3">
        <f>SUMIFS(Mov_Value, Mov_Type, "Receipt", Mov_Date, $A16)</f>
        <v>0</v>
      </c>
      <c r="D16" s="3">
        <f>Cfg_BaselineOpeningValue + SUMIFS(Mov_Value, Mov_Date, "&gt;"&amp;Cfg_BaselineDate, Mov_Date, "&lt;="&amp;$A16)</f>
        <v>0</v>
      </c>
      <c r="E16" s="3">
        <f>B16+C16-D16</f>
        <v>0</v>
      </c>
      <c r="F16" s="3">
        <f>SUMIFS(Sales_Amount, Sales_Date, $A16)</f>
        <v>0</v>
      </c>
      <c r="G16" s="3">
        <f>F16-E16</f>
        <v>0</v>
      </c>
    </row>
    <row r="17" spans="1:7">
      <c r="A17" s="2">
        <v>45920</v>
      </c>
      <c r="B17" s="3">
        <f>Cfg_BaselineOpeningValue + SUMIFS(Mov_Value, Mov_Date, "&gt;"&amp;Cfg_BaselineDate, Mov_Date, "&lt;"&amp;$A17)</f>
        <v>0</v>
      </c>
      <c r="C17" s="3">
        <f>SUMIFS(Mov_Value, Mov_Type, "Receipt", Mov_Date, $A17)</f>
        <v>0</v>
      </c>
      <c r="D17" s="3">
        <f>Cfg_BaselineOpeningValue + SUMIFS(Mov_Value, Mov_Date, "&gt;"&amp;Cfg_BaselineDate, Mov_Date, "&lt;="&amp;$A17)</f>
        <v>0</v>
      </c>
      <c r="E17" s="3">
        <f>B17+C17-D17</f>
        <v>0</v>
      </c>
      <c r="F17" s="3">
        <f>SUMIFS(Sales_Amount, Sales_Date, $A17)</f>
        <v>0</v>
      </c>
      <c r="G17" s="3">
        <f>F17-E17</f>
        <v>0</v>
      </c>
    </row>
    <row r="18" spans="1:7">
      <c r="A18" s="2">
        <v>45921</v>
      </c>
      <c r="B18" s="3">
        <f>Cfg_BaselineOpeningValue + SUMIFS(Mov_Value, Mov_Date, "&gt;"&amp;Cfg_BaselineDate, Mov_Date, "&lt;"&amp;$A18)</f>
        <v>0</v>
      </c>
      <c r="C18" s="3">
        <f>SUMIFS(Mov_Value, Mov_Type, "Receipt", Mov_Date, $A18)</f>
        <v>0</v>
      </c>
      <c r="D18" s="3">
        <f>Cfg_BaselineOpeningValue + SUMIFS(Mov_Value, Mov_Date, "&gt;"&amp;Cfg_BaselineDate, Mov_Date, "&lt;="&amp;$A18)</f>
        <v>0</v>
      </c>
      <c r="E18" s="3">
        <f>B18+C18-D18</f>
        <v>0</v>
      </c>
      <c r="F18" s="3">
        <f>SUMIFS(Sales_Amount, Sales_Date, $A18)</f>
        <v>0</v>
      </c>
      <c r="G18" s="3">
        <f>F18-E18</f>
        <v>0</v>
      </c>
    </row>
    <row r="19" spans="1:7">
      <c r="A19" s="2">
        <v>45922</v>
      </c>
      <c r="B19" s="3">
        <f>Cfg_BaselineOpeningValue + SUMIFS(Mov_Value, Mov_Date, "&gt;"&amp;Cfg_BaselineDate, Mov_Date, "&lt;"&amp;$A19)</f>
        <v>0</v>
      </c>
      <c r="C19" s="3">
        <f>SUMIFS(Mov_Value, Mov_Type, "Receipt", Mov_Date, $A19)</f>
        <v>0</v>
      </c>
      <c r="D19" s="3">
        <f>Cfg_BaselineOpeningValue + SUMIFS(Mov_Value, Mov_Date, "&gt;"&amp;Cfg_BaselineDate, Mov_Date, "&lt;="&amp;$A19)</f>
        <v>0</v>
      </c>
      <c r="E19" s="3">
        <f>B19+C19-D19</f>
        <v>0</v>
      </c>
      <c r="F19" s="3">
        <f>SUMIFS(Sales_Amount, Sales_Date, $A19)</f>
        <v>0</v>
      </c>
      <c r="G19" s="3">
        <f>F19-E19</f>
        <v>0</v>
      </c>
    </row>
    <row r="20" spans="1:7">
      <c r="A20" s="2">
        <v>45923</v>
      </c>
      <c r="B20" s="3">
        <f>Cfg_BaselineOpeningValue + SUMIFS(Mov_Value, Mov_Date, "&gt;"&amp;Cfg_BaselineDate, Mov_Date, "&lt;"&amp;$A20)</f>
        <v>0</v>
      </c>
      <c r="C20" s="3">
        <f>SUMIFS(Mov_Value, Mov_Type, "Receipt", Mov_Date, $A20)</f>
        <v>0</v>
      </c>
      <c r="D20" s="3">
        <f>Cfg_BaselineOpeningValue + SUMIFS(Mov_Value, Mov_Date, "&gt;"&amp;Cfg_BaselineDate, Mov_Date, "&lt;="&amp;$A20)</f>
        <v>0</v>
      </c>
      <c r="E20" s="3">
        <f>B20+C20-D20</f>
        <v>0</v>
      </c>
      <c r="F20" s="3">
        <f>SUMIFS(Sales_Amount, Sales_Date, $A20)</f>
        <v>0</v>
      </c>
      <c r="G20" s="3">
        <f>F20-E20</f>
        <v>0</v>
      </c>
    </row>
    <row r="21" spans="1:7">
      <c r="A21" s="2">
        <v>45924</v>
      </c>
      <c r="B21" s="3">
        <f>Cfg_BaselineOpeningValue + SUMIFS(Mov_Value, Mov_Date, "&gt;"&amp;Cfg_BaselineDate, Mov_Date, "&lt;"&amp;$A21)</f>
        <v>0</v>
      </c>
      <c r="C21" s="3">
        <f>SUMIFS(Mov_Value, Mov_Type, "Receipt", Mov_Date, $A21)</f>
        <v>0</v>
      </c>
      <c r="D21" s="3">
        <f>Cfg_BaselineOpeningValue + SUMIFS(Mov_Value, Mov_Date, "&gt;"&amp;Cfg_BaselineDate, Mov_Date, "&lt;="&amp;$A21)</f>
        <v>0</v>
      </c>
      <c r="E21" s="3">
        <f>B21+C21-D21</f>
        <v>0</v>
      </c>
      <c r="F21" s="3">
        <f>SUMIFS(Sales_Amount, Sales_Date, $A21)</f>
        <v>0</v>
      </c>
      <c r="G21" s="3">
        <f>F21-E21</f>
        <v>0</v>
      </c>
    </row>
    <row r="22" spans="1:7">
      <c r="A22" s="2">
        <v>45925</v>
      </c>
      <c r="B22" s="3">
        <f>Cfg_BaselineOpeningValue + SUMIFS(Mov_Value, Mov_Date, "&gt;"&amp;Cfg_BaselineDate, Mov_Date, "&lt;"&amp;$A22)</f>
        <v>0</v>
      </c>
      <c r="C22" s="3">
        <f>SUMIFS(Mov_Value, Mov_Type, "Receipt", Mov_Date, $A22)</f>
        <v>0</v>
      </c>
      <c r="D22" s="3">
        <f>Cfg_BaselineOpeningValue + SUMIFS(Mov_Value, Mov_Date, "&gt;"&amp;Cfg_BaselineDate, Mov_Date, "&lt;="&amp;$A22)</f>
        <v>0</v>
      </c>
      <c r="E22" s="3">
        <f>B22+C22-D22</f>
        <v>0</v>
      </c>
      <c r="F22" s="3">
        <f>SUMIFS(Sales_Amount, Sales_Date, $A22)</f>
        <v>0</v>
      </c>
      <c r="G22" s="3">
        <f>F22-E22</f>
        <v>0</v>
      </c>
    </row>
    <row r="23" spans="1:7">
      <c r="A23" s="2">
        <v>45926</v>
      </c>
      <c r="B23" s="3">
        <f>Cfg_BaselineOpeningValue + SUMIFS(Mov_Value, Mov_Date, "&gt;"&amp;Cfg_BaselineDate, Mov_Date, "&lt;"&amp;$A23)</f>
        <v>0</v>
      </c>
      <c r="C23" s="3">
        <f>SUMIFS(Mov_Value, Mov_Type, "Receipt", Mov_Date, $A23)</f>
        <v>0</v>
      </c>
      <c r="D23" s="3">
        <f>Cfg_BaselineOpeningValue + SUMIFS(Mov_Value, Mov_Date, "&gt;"&amp;Cfg_BaselineDate, Mov_Date, "&lt;="&amp;$A23)</f>
        <v>0</v>
      </c>
      <c r="E23" s="3">
        <f>B23+C23-D23</f>
        <v>0</v>
      </c>
      <c r="F23" s="3">
        <f>SUMIFS(Sales_Amount, Sales_Date, $A23)</f>
        <v>0</v>
      </c>
      <c r="G23" s="3">
        <f>F23-E23</f>
        <v>0</v>
      </c>
    </row>
    <row r="24" spans="1:7">
      <c r="A24" s="2">
        <v>45927</v>
      </c>
      <c r="B24" s="3">
        <f>Cfg_BaselineOpeningValue + SUMIFS(Mov_Value, Mov_Date, "&gt;"&amp;Cfg_BaselineDate, Mov_Date, "&lt;"&amp;$A24)</f>
        <v>0</v>
      </c>
      <c r="C24" s="3">
        <f>SUMIFS(Mov_Value, Mov_Type, "Receipt", Mov_Date, $A24)</f>
        <v>0</v>
      </c>
      <c r="D24" s="3">
        <f>Cfg_BaselineOpeningValue + SUMIFS(Mov_Value, Mov_Date, "&gt;"&amp;Cfg_BaselineDate, Mov_Date, "&lt;="&amp;$A24)</f>
        <v>0</v>
      </c>
      <c r="E24" s="3">
        <f>B24+C24-D24</f>
        <v>0</v>
      </c>
      <c r="F24" s="3">
        <f>SUMIFS(Sales_Amount, Sales_Date, $A24)</f>
        <v>0</v>
      </c>
      <c r="G24" s="3">
        <f>F24-E24</f>
        <v>0</v>
      </c>
    </row>
    <row r="25" spans="1:7">
      <c r="A25" s="2">
        <v>45928</v>
      </c>
      <c r="B25" s="3">
        <f>Cfg_BaselineOpeningValue + SUMIFS(Mov_Value, Mov_Date, "&gt;"&amp;Cfg_BaselineDate, Mov_Date, "&lt;"&amp;$A25)</f>
        <v>0</v>
      </c>
      <c r="C25" s="3">
        <f>SUMIFS(Mov_Value, Mov_Type, "Receipt", Mov_Date, $A25)</f>
        <v>0</v>
      </c>
      <c r="D25" s="3">
        <f>Cfg_BaselineOpeningValue + SUMIFS(Mov_Value, Mov_Date, "&gt;"&amp;Cfg_BaselineDate, Mov_Date, "&lt;="&amp;$A25)</f>
        <v>0</v>
      </c>
      <c r="E25" s="3">
        <f>B25+C25-D25</f>
        <v>0</v>
      </c>
      <c r="F25" s="3">
        <f>SUMIFS(Sales_Amount, Sales_Date, $A25)</f>
        <v>0</v>
      </c>
      <c r="G25" s="3">
        <f>F25-E25</f>
        <v>0</v>
      </c>
    </row>
    <row r="26" spans="1:7">
      <c r="A26" s="2">
        <v>45929</v>
      </c>
      <c r="B26" s="3">
        <f>Cfg_BaselineOpeningValue + SUMIFS(Mov_Value, Mov_Date, "&gt;"&amp;Cfg_BaselineDate, Mov_Date, "&lt;"&amp;$A26)</f>
        <v>0</v>
      </c>
      <c r="C26" s="3">
        <f>SUMIFS(Mov_Value, Mov_Type, "Receipt", Mov_Date, $A26)</f>
        <v>0</v>
      </c>
      <c r="D26" s="3">
        <f>Cfg_BaselineOpeningValue + SUMIFS(Mov_Value, Mov_Date, "&gt;"&amp;Cfg_BaselineDate, Mov_Date, "&lt;="&amp;$A26)</f>
        <v>0</v>
      </c>
      <c r="E26" s="3">
        <f>B26+C26-D26</f>
        <v>0</v>
      </c>
      <c r="F26" s="3">
        <f>SUMIFS(Sales_Amount, Sales_Date, $A26)</f>
        <v>0</v>
      </c>
      <c r="G26" s="3">
        <f>F26-E26</f>
        <v>0</v>
      </c>
    </row>
    <row r="27" spans="1:7">
      <c r="A27" s="2">
        <v>45930</v>
      </c>
      <c r="B27" s="3">
        <f>Cfg_BaselineOpeningValue + SUMIFS(Mov_Value, Mov_Date, "&gt;"&amp;Cfg_BaselineDate, Mov_Date, "&lt;"&amp;$A27)</f>
        <v>0</v>
      </c>
      <c r="C27" s="3">
        <f>SUMIFS(Mov_Value, Mov_Type, "Receipt", Mov_Date, $A27)</f>
        <v>0</v>
      </c>
      <c r="D27" s="3">
        <f>Cfg_BaselineOpeningValue + SUMIFS(Mov_Value, Mov_Date, "&gt;"&amp;Cfg_BaselineDate, Mov_Date, "&lt;="&amp;$A27)</f>
        <v>0</v>
      </c>
      <c r="E27" s="3">
        <f>B27+C27-D27</f>
        <v>0</v>
      </c>
      <c r="F27" s="3">
        <f>SUMIFS(Sales_Amount, Sales_Date, $A27)</f>
        <v>0</v>
      </c>
      <c r="G27" s="3">
        <f>F27-E27</f>
        <v>0</v>
      </c>
    </row>
    <row r="28" spans="1:7">
      <c r="A28" s="2">
        <v>45931</v>
      </c>
      <c r="B28" s="3">
        <f>Cfg_BaselineOpeningValue + SUMIFS(Mov_Value, Mov_Date, "&gt;"&amp;Cfg_BaselineDate, Mov_Date, "&lt;"&amp;$A28)</f>
        <v>0</v>
      </c>
      <c r="C28" s="3">
        <f>SUMIFS(Mov_Value, Mov_Type, "Receipt", Mov_Date, $A28)</f>
        <v>0</v>
      </c>
      <c r="D28" s="3">
        <f>Cfg_BaselineOpeningValue + SUMIFS(Mov_Value, Mov_Date, "&gt;"&amp;Cfg_BaselineDate, Mov_Date, "&lt;="&amp;$A28)</f>
        <v>0</v>
      </c>
      <c r="E28" s="3">
        <f>B28+C28-D28</f>
        <v>0</v>
      </c>
      <c r="F28" s="3">
        <f>SUMIFS(Sales_Amount, Sales_Date, $A28)</f>
        <v>0</v>
      </c>
      <c r="G28" s="3">
        <f>F28-E28</f>
        <v>0</v>
      </c>
    </row>
    <row r="29" spans="1:7">
      <c r="A29" s="2">
        <v>45932</v>
      </c>
      <c r="B29" s="3">
        <f>Cfg_BaselineOpeningValue + SUMIFS(Mov_Value, Mov_Date, "&gt;"&amp;Cfg_BaselineDate, Mov_Date, "&lt;"&amp;$A29)</f>
        <v>0</v>
      </c>
      <c r="C29" s="3">
        <f>SUMIFS(Mov_Value, Mov_Type, "Receipt", Mov_Date, $A29)</f>
        <v>0</v>
      </c>
      <c r="D29" s="3">
        <f>Cfg_BaselineOpeningValue + SUMIFS(Mov_Value, Mov_Date, "&gt;"&amp;Cfg_BaselineDate, Mov_Date, "&lt;="&amp;$A29)</f>
        <v>0</v>
      </c>
      <c r="E29" s="3">
        <f>B29+C29-D29</f>
        <v>0</v>
      </c>
      <c r="F29" s="3">
        <f>SUMIFS(Sales_Amount, Sales_Date, $A29)</f>
        <v>0</v>
      </c>
      <c r="G29" s="3">
        <f>F29-E29</f>
        <v>0</v>
      </c>
    </row>
    <row r="30" spans="1:7">
      <c r="A30" s="2">
        <v>45933</v>
      </c>
      <c r="B30" s="3">
        <f>Cfg_BaselineOpeningValue + SUMIFS(Mov_Value, Mov_Date, "&gt;"&amp;Cfg_BaselineDate, Mov_Date, "&lt;"&amp;$A30)</f>
        <v>0</v>
      </c>
      <c r="C30" s="3">
        <f>SUMIFS(Mov_Value, Mov_Type, "Receipt", Mov_Date, $A30)</f>
        <v>0</v>
      </c>
      <c r="D30" s="3">
        <f>Cfg_BaselineOpeningValue + SUMIFS(Mov_Value, Mov_Date, "&gt;"&amp;Cfg_BaselineDate, Mov_Date, "&lt;="&amp;$A30)</f>
        <v>0</v>
      </c>
      <c r="E30" s="3">
        <f>B30+C30-D30</f>
        <v>0</v>
      </c>
      <c r="F30" s="3">
        <f>SUMIFS(Sales_Amount, Sales_Date, $A30)</f>
        <v>0</v>
      </c>
      <c r="G30" s="3">
        <f>F30-E30</f>
        <v>0</v>
      </c>
    </row>
    <row r="31" spans="1:7">
      <c r="A31" s="2">
        <v>45934</v>
      </c>
      <c r="B31" s="3">
        <f>Cfg_BaselineOpeningValue + SUMIFS(Mov_Value, Mov_Date, "&gt;"&amp;Cfg_BaselineDate, Mov_Date, "&lt;"&amp;$A31)</f>
        <v>0</v>
      </c>
      <c r="C31" s="3">
        <f>SUMIFS(Mov_Value, Mov_Type, "Receipt", Mov_Date, $A31)</f>
        <v>0</v>
      </c>
      <c r="D31" s="3">
        <f>Cfg_BaselineOpeningValue + SUMIFS(Mov_Value, Mov_Date, "&gt;"&amp;Cfg_BaselineDate, Mov_Date, "&lt;="&amp;$A31)</f>
        <v>0</v>
      </c>
      <c r="E31" s="3">
        <f>B31+C31-D31</f>
        <v>0</v>
      </c>
      <c r="F31" s="3">
        <f>SUMIFS(Sales_Amount, Sales_Date, $A31)</f>
        <v>0</v>
      </c>
      <c r="G31" s="3">
        <f>F31-E31</f>
        <v>0</v>
      </c>
    </row>
    <row r="32" spans="1:7">
      <c r="A32" s="2">
        <v>45935</v>
      </c>
      <c r="B32" s="3">
        <f>Cfg_BaselineOpeningValue + SUMIFS(Mov_Value, Mov_Date, "&gt;"&amp;Cfg_BaselineDate, Mov_Date, "&lt;"&amp;$A32)</f>
        <v>0</v>
      </c>
      <c r="C32" s="3">
        <f>SUMIFS(Mov_Value, Mov_Type, "Receipt", Mov_Date, $A32)</f>
        <v>0</v>
      </c>
      <c r="D32" s="3">
        <f>Cfg_BaselineOpeningValue + SUMIFS(Mov_Value, Mov_Date, "&gt;"&amp;Cfg_BaselineDate, Mov_Date, "&lt;="&amp;$A32)</f>
        <v>0</v>
      </c>
      <c r="E32" s="3">
        <f>B32+C32-D32</f>
        <v>0</v>
      </c>
      <c r="F32" s="3">
        <f>SUMIFS(Sales_Amount, Sales_Date, $A32)</f>
        <v>0</v>
      </c>
      <c r="G32" s="3">
        <f>F32-E32</f>
        <v>0</v>
      </c>
    </row>
    <row r="33" spans="1:7">
      <c r="A33" s="2">
        <v>45936</v>
      </c>
      <c r="B33" s="3">
        <f>Cfg_BaselineOpeningValue + SUMIFS(Mov_Value, Mov_Date, "&gt;"&amp;Cfg_BaselineDate, Mov_Date, "&lt;"&amp;$A33)</f>
        <v>0</v>
      </c>
      <c r="C33" s="3">
        <f>SUMIFS(Mov_Value, Mov_Type, "Receipt", Mov_Date, $A33)</f>
        <v>0</v>
      </c>
      <c r="D33" s="3">
        <f>Cfg_BaselineOpeningValue + SUMIFS(Mov_Value, Mov_Date, "&gt;"&amp;Cfg_BaselineDate, Mov_Date, "&lt;="&amp;$A33)</f>
        <v>0</v>
      </c>
      <c r="E33" s="3">
        <f>B33+C33-D33</f>
        <v>0</v>
      </c>
      <c r="F33" s="3">
        <f>SUMIFS(Sales_Amount, Sales_Date, $A33)</f>
        <v>0</v>
      </c>
      <c r="G33" s="3">
        <f>F33-E33</f>
        <v>0</v>
      </c>
    </row>
    <row r="34" spans="1:7">
      <c r="A34" s="2">
        <v>45937</v>
      </c>
      <c r="B34" s="3">
        <f>Cfg_BaselineOpeningValue + SUMIFS(Mov_Value, Mov_Date, "&gt;"&amp;Cfg_BaselineDate, Mov_Date, "&lt;"&amp;$A34)</f>
        <v>0</v>
      </c>
      <c r="C34" s="3">
        <f>SUMIFS(Mov_Value, Mov_Type, "Receipt", Mov_Date, $A34)</f>
        <v>0</v>
      </c>
      <c r="D34" s="3">
        <f>Cfg_BaselineOpeningValue + SUMIFS(Mov_Value, Mov_Date, "&gt;"&amp;Cfg_BaselineDate, Mov_Date, "&lt;="&amp;$A34)</f>
        <v>0</v>
      </c>
      <c r="E34" s="3">
        <f>B34+C34-D34</f>
        <v>0</v>
      </c>
      <c r="F34" s="3">
        <f>SUMIFS(Sales_Amount, Sales_Date, $A34)</f>
        <v>0</v>
      </c>
      <c r="G34" s="3">
        <f>F34-E34</f>
        <v>0</v>
      </c>
    </row>
    <row r="35" spans="1:7">
      <c r="A35" s="2">
        <v>45938</v>
      </c>
      <c r="B35" s="3">
        <f>Cfg_BaselineOpeningValue + SUMIFS(Mov_Value, Mov_Date, "&gt;"&amp;Cfg_BaselineDate, Mov_Date, "&lt;"&amp;$A35)</f>
        <v>0</v>
      </c>
      <c r="C35" s="3">
        <f>SUMIFS(Mov_Value, Mov_Type, "Receipt", Mov_Date, $A35)</f>
        <v>0</v>
      </c>
      <c r="D35" s="3">
        <f>Cfg_BaselineOpeningValue + SUMIFS(Mov_Value, Mov_Date, "&gt;"&amp;Cfg_BaselineDate, Mov_Date, "&lt;="&amp;$A35)</f>
        <v>0</v>
      </c>
      <c r="E35" s="3">
        <f>B35+C35-D35</f>
        <v>0</v>
      </c>
      <c r="F35" s="3">
        <f>SUMIFS(Sales_Amount, Sales_Date, $A35)</f>
        <v>0</v>
      </c>
      <c r="G35" s="3">
        <f>F35-E35</f>
        <v>0</v>
      </c>
    </row>
    <row r="36" spans="1:7">
      <c r="A36" s="2">
        <v>45939</v>
      </c>
      <c r="B36" s="3">
        <f>Cfg_BaselineOpeningValue + SUMIFS(Mov_Value, Mov_Date, "&gt;"&amp;Cfg_BaselineDate, Mov_Date, "&lt;"&amp;$A36)</f>
        <v>0</v>
      </c>
      <c r="C36" s="3">
        <f>SUMIFS(Mov_Value, Mov_Type, "Receipt", Mov_Date, $A36)</f>
        <v>0</v>
      </c>
      <c r="D36" s="3">
        <f>Cfg_BaselineOpeningValue + SUMIFS(Mov_Value, Mov_Date, "&gt;"&amp;Cfg_BaselineDate, Mov_Date, "&lt;="&amp;$A36)</f>
        <v>0</v>
      </c>
      <c r="E36" s="3">
        <f>B36+C36-D36</f>
        <v>0</v>
      </c>
      <c r="F36" s="3">
        <f>SUMIFS(Sales_Amount, Sales_Date, $A36)</f>
        <v>0</v>
      </c>
      <c r="G36" s="3">
        <f>F36-E36</f>
        <v>0</v>
      </c>
    </row>
    <row r="37" spans="1:7">
      <c r="A37" s="2">
        <v>45940</v>
      </c>
      <c r="B37" s="3">
        <f>Cfg_BaselineOpeningValue + SUMIFS(Mov_Value, Mov_Date, "&gt;"&amp;Cfg_BaselineDate, Mov_Date, "&lt;"&amp;$A37)</f>
        <v>0</v>
      </c>
      <c r="C37" s="3">
        <f>SUMIFS(Mov_Value, Mov_Type, "Receipt", Mov_Date, $A37)</f>
        <v>0</v>
      </c>
      <c r="D37" s="3">
        <f>Cfg_BaselineOpeningValue + SUMIFS(Mov_Value, Mov_Date, "&gt;"&amp;Cfg_BaselineDate, Mov_Date, "&lt;="&amp;$A37)</f>
        <v>0</v>
      </c>
      <c r="E37" s="3">
        <f>B37+C37-D37</f>
        <v>0</v>
      </c>
      <c r="F37" s="3">
        <f>SUMIFS(Sales_Amount, Sales_Date, $A37)</f>
        <v>0</v>
      </c>
      <c r="G37" s="3">
        <f>F37-E37</f>
        <v>0</v>
      </c>
    </row>
    <row r="38" spans="1:7">
      <c r="A38" s="2">
        <v>45941</v>
      </c>
      <c r="B38" s="3">
        <f>Cfg_BaselineOpeningValue + SUMIFS(Mov_Value, Mov_Date, "&gt;"&amp;Cfg_BaselineDate, Mov_Date, "&lt;"&amp;$A38)</f>
        <v>0</v>
      </c>
      <c r="C38" s="3">
        <f>SUMIFS(Mov_Value, Mov_Type, "Receipt", Mov_Date, $A38)</f>
        <v>0</v>
      </c>
      <c r="D38" s="3">
        <f>Cfg_BaselineOpeningValue + SUMIFS(Mov_Value, Mov_Date, "&gt;"&amp;Cfg_BaselineDate, Mov_Date, "&lt;="&amp;$A38)</f>
        <v>0</v>
      </c>
      <c r="E38" s="3">
        <f>B38+C38-D38</f>
        <v>0</v>
      </c>
      <c r="F38" s="3">
        <f>SUMIFS(Sales_Amount, Sales_Date, $A38)</f>
        <v>0</v>
      </c>
      <c r="G38" s="3">
        <f>F38-E38</f>
        <v>0</v>
      </c>
    </row>
    <row r="39" spans="1:7">
      <c r="A39" s="2">
        <v>45942</v>
      </c>
      <c r="B39" s="3">
        <f>Cfg_BaselineOpeningValue + SUMIFS(Mov_Value, Mov_Date, "&gt;"&amp;Cfg_BaselineDate, Mov_Date, "&lt;"&amp;$A39)</f>
        <v>0</v>
      </c>
      <c r="C39" s="3">
        <f>SUMIFS(Mov_Value, Mov_Type, "Receipt", Mov_Date, $A39)</f>
        <v>0</v>
      </c>
      <c r="D39" s="3">
        <f>Cfg_BaselineOpeningValue + SUMIFS(Mov_Value, Mov_Date, "&gt;"&amp;Cfg_BaselineDate, Mov_Date, "&lt;="&amp;$A39)</f>
        <v>0</v>
      </c>
      <c r="E39" s="3">
        <f>B39+C39-D39</f>
        <v>0</v>
      </c>
      <c r="F39" s="3">
        <f>SUMIFS(Sales_Amount, Sales_Date, $A39)</f>
        <v>0</v>
      </c>
      <c r="G39" s="3">
        <f>F39-E39</f>
        <v>0</v>
      </c>
    </row>
    <row r="40" spans="1:7">
      <c r="A40" s="2">
        <v>45943</v>
      </c>
      <c r="B40" s="3">
        <f>Cfg_BaselineOpeningValue + SUMIFS(Mov_Value, Mov_Date, "&gt;"&amp;Cfg_BaselineDate, Mov_Date, "&lt;"&amp;$A40)</f>
        <v>0</v>
      </c>
      <c r="C40" s="3">
        <f>SUMIFS(Mov_Value, Mov_Type, "Receipt", Mov_Date, $A40)</f>
        <v>0</v>
      </c>
      <c r="D40" s="3">
        <f>Cfg_BaselineOpeningValue + SUMIFS(Mov_Value, Mov_Date, "&gt;"&amp;Cfg_BaselineDate, Mov_Date, "&lt;="&amp;$A40)</f>
        <v>0</v>
      </c>
      <c r="E40" s="3">
        <f>B40+C40-D40</f>
        <v>0</v>
      </c>
      <c r="F40" s="3">
        <f>SUMIFS(Sales_Amount, Sales_Date, $A40)</f>
        <v>0</v>
      </c>
      <c r="G40" s="3">
        <f>F40-E40</f>
        <v>0</v>
      </c>
    </row>
    <row r="41" spans="1:7">
      <c r="A41" s="2">
        <v>45944</v>
      </c>
      <c r="B41" s="3">
        <f>Cfg_BaselineOpeningValue + SUMIFS(Mov_Value, Mov_Date, "&gt;"&amp;Cfg_BaselineDate, Mov_Date, "&lt;"&amp;$A41)</f>
        <v>0</v>
      </c>
      <c r="C41" s="3">
        <f>SUMIFS(Mov_Value, Mov_Type, "Receipt", Mov_Date, $A41)</f>
        <v>0</v>
      </c>
      <c r="D41" s="3">
        <f>Cfg_BaselineOpeningValue + SUMIFS(Mov_Value, Mov_Date, "&gt;"&amp;Cfg_BaselineDate, Mov_Date, "&lt;="&amp;$A41)</f>
        <v>0</v>
      </c>
      <c r="E41" s="3">
        <f>B41+C41-D41</f>
        <v>0</v>
      </c>
      <c r="F41" s="3">
        <f>SUMIFS(Sales_Amount, Sales_Date, $A41)</f>
        <v>0</v>
      </c>
      <c r="G41" s="3">
        <f>F41-E41</f>
        <v>0</v>
      </c>
    </row>
    <row r="42" spans="1:7">
      <c r="A42" s="2">
        <v>45945</v>
      </c>
      <c r="B42" s="3">
        <f>Cfg_BaselineOpeningValue + SUMIFS(Mov_Value, Mov_Date, "&gt;"&amp;Cfg_BaselineDate, Mov_Date, "&lt;"&amp;$A42)</f>
        <v>0</v>
      </c>
      <c r="C42" s="3">
        <f>SUMIFS(Mov_Value, Mov_Type, "Receipt", Mov_Date, $A42)</f>
        <v>0</v>
      </c>
      <c r="D42" s="3">
        <f>Cfg_BaselineOpeningValue + SUMIFS(Mov_Value, Mov_Date, "&gt;"&amp;Cfg_BaselineDate, Mov_Date, "&lt;="&amp;$A42)</f>
        <v>0</v>
      </c>
      <c r="E42" s="3">
        <f>B42+C42-D42</f>
        <v>0</v>
      </c>
      <c r="F42" s="3">
        <f>SUMIFS(Sales_Amount, Sales_Date, $A42)</f>
        <v>0</v>
      </c>
      <c r="G42" s="3">
        <f>F42-E42</f>
        <v>0</v>
      </c>
    </row>
    <row r="43" spans="1:7">
      <c r="A43" s="2">
        <v>45946</v>
      </c>
      <c r="B43" s="3">
        <f>Cfg_BaselineOpeningValue + SUMIFS(Mov_Value, Mov_Date, "&gt;"&amp;Cfg_BaselineDate, Mov_Date, "&lt;"&amp;$A43)</f>
        <v>0</v>
      </c>
      <c r="C43" s="3">
        <f>SUMIFS(Mov_Value, Mov_Type, "Receipt", Mov_Date, $A43)</f>
        <v>0</v>
      </c>
      <c r="D43" s="3">
        <f>Cfg_BaselineOpeningValue + SUMIFS(Mov_Value, Mov_Date, "&gt;"&amp;Cfg_BaselineDate, Mov_Date, "&lt;="&amp;$A43)</f>
        <v>0</v>
      </c>
      <c r="E43" s="3">
        <f>B43+C43-D43</f>
        <v>0</v>
      </c>
      <c r="F43" s="3">
        <f>SUMIFS(Sales_Amount, Sales_Date, $A43)</f>
        <v>0</v>
      </c>
      <c r="G43" s="3">
        <f>F43-E43</f>
        <v>0</v>
      </c>
    </row>
    <row r="44" spans="1:7">
      <c r="A44" s="2">
        <v>45947</v>
      </c>
      <c r="B44" s="3">
        <f>Cfg_BaselineOpeningValue + SUMIFS(Mov_Value, Mov_Date, "&gt;"&amp;Cfg_BaselineDate, Mov_Date, "&lt;"&amp;$A44)</f>
        <v>0</v>
      </c>
      <c r="C44" s="3">
        <f>SUMIFS(Mov_Value, Mov_Type, "Receipt", Mov_Date, $A44)</f>
        <v>0</v>
      </c>
      <c r="D44" s="3">
        <f>Cfg_BaselineOpeningValue + SUMIFS(Mov_Value, Mov_Date, "&gt;"&amp;Cfg_BaselineDate, Mov_Date, "&lt;="&amp;$A44)</f>
        <v>0</v>
      </c>
      <c r="E44" s="3">
        <f>B44+C44-D44</f>
        <v>0</v>
      </c>
      <c r="F44" s="3">
        <f>SUMIFS(Sales_Amount, Sales_Date, $A44)</f>
        <v>0</v>
      </c>
      <c r="G44" s="3">
        <f>F44-E44</f>
        <v>0</v>
      </c>
    </row>
    <row r="45" spans="1:7">
      <c r="A45" s="2">
        <v>45948</v>
      </c>
      <c r="B45" s="3">
        <f>Cfg_BaselineOpeningValue + SUMIFS(Mov_Value, Mov_Date, "&gt;"&amp;Cfg_BaselineDate, Mov_Date, "&lt;"&amp;$A45)</f>
        <v>0</v>
      </c>
      <c r="C45" s="3">
        <f>SUMIFS(Mov_Value, Mov_Type, "Receipt", Mov_Date, $A45)</f>
        <v>0</v>
      </c>
      <c r="D45" s="3">
        <f>Cfg_BaselineOpeningValue + SUMIFS(Mov_Value, Mov_Date, "&gt;"&amp;Cfg_BaselineDate, Mov_Date, "&lt;="&amp;$A45)</f>
        <v>0</v>
      </c>
      <c r="E45" s="3">
        <f>B45+C45-D45</f>
        <v>0</v>
      </c>
      <c r="F45" s="3">
        <f>SUMIFS(Sales_Amount, Sales_Date, $A45)</f>
        <v>0</v>
      </c>
      <c r="G45" s="3">
        <f>F45-E45</f>
        <v>0</v>
      </c>
    </row>
    <row r="46" spans="1:7">
      <c r="A46" s="2">
        <v>45949</v>
      </c>
      <c r="B46" s="3">
        <f>Cfg_BaselineOpeningValue + SUMIFS(Mov_Value, Mov_Date, "&gt;"&amp;Cfg_BaselineDate, Mov_Date, "&lt;"&amp;$A46)</f>
        <v>0</v>
      </c>
      <c r="C46" s="3">
        <f>SUMIFS(Mov_Value, Mov_Type, "Receipt", Mov_Date, $A46)</f>
        <v>0</v>
      </c>
      <c r="D46" s="3">
        <f>Cfg_BaselineOpeningValue + SUMIFS(Mov_Value, Mov_Date, "&gt;"&amp;Cfg_BaselineDate, Mov_Date, "&lt;="&amp;$A46)</f>
        <v>0</v>
      </c>
      <c r="E46" s="3">
        <f>B46+C46-D46</f>
        <v>0</v>
      </c>
      <c r="F46" s="3">
        <f>SUMIFS(Sales_Amount, Sales_Date, $A46)</f>
        <v>0</v>
      </c>
      <c r="G46" s="3">
        <f>F46-E46</f>
        <v>0</v>
      </c>
    </row>
    <row r="47" spans="1:7">
      <c r="A47" s="2">
        <v>45950</v>
      </c>
      <c r="B47" s="3">
        <f>Cfg_BaselineOpeningValue + SUMIFS(Mov_Value, Mov_Date, "&gt;"&amp;Cfg_BaselineDate, Mov_Date, "&lt;"&amp;$A47)</f>
        <v>0</v>
      </c>
      <c r="C47" s="3">
        <f>SUMIFS(Mov_Value, Mov_Type, "Receipt", Mov_Date, $A47)</f>
        <v>0</v>
      </c>
      <c r="D47" s="3">
        <f>Cfg_BaselineOpeningValue + SUMIFS(Mov_Value, Mov_Date, "&gt;"&amp;Cfg_BaselineDate, Mov_Date, "&lt;="&amp;$A47)</f>
        <v>0</v>
      </c>
      <c r="E47" s="3">
        <f>B47+C47-D47</f>
        <v>0</v>
      </c>
      <c r="F47" s="3">
        <f>SUMIFS(Sales_Amount, Sales_Date, $A47)</f>
        <v>0</v>
      </c>
      <c r="G47" s="3">
        <f>F47-E47</f>
        <v>0</v>
      </c>
    </row>
    <row r="48" spans="1:7">
      <c r="A48" s="2">
        <v>45951</v>
      </c>
      <c r="B48" s="3">
        <f>Cfg_BaselineOpeningValue + SUMIFS(Mov_Value, Mov_Date, "&gt;"&amp;Cfg_BaselineDate, Mov_Date, "&lt;"&amp;$A48)</f>
        <v>0</v>
      </c>
      <c r="C48" s="3">
        <f>SUMIFS(Mov_Value, Mov_Type, "Receipt", Mov_Date, $A48)</f>
        <v>0</v>
      </c>
      <c r="D48" s="3">
        <f>Cfg_BaselineOpeningValue + SUMIFS(Mov_Value, Mov_Date, "&gt;"&amp;Cfg_BaselineDate, Mov_Date, "&lt;="&amp;$A48)</f>
        <v>0</v>
      </c>
      <c r="E48" s="3">
        <f>B48+C48-D48</f>
        <v>0</v>
      </c>
      <c r="F48" s="3">
        <f>SUMIFS(Sales_Amount, Sales_Date, $A48)</f>
        <v>0</v>
      </c>
      <c r="G48" s="3">
        <f>F48-E48</f>
        <v>0</v>
      </c>
    </row>
    <row r="49" spans="1:7">
      <c r="A49" s="2">
        <v>45952</v>
      </c>
      <c r="B49" s="3">
        <f>Cfg_BaselineOpeningValue + SUMIFS(Mov_Value, Mov_Date, "&gt;"&amp;Cfg_BaselineDate, Mov_Date, "&lt;"&amp;$A49)</f>
        <v>0</v>
      </c>
      <c r="C49" s="3">
        <f>SUMIFS(Mov_Value, Mov_Type, "Receipt", Mov_Date, $A49)</f>
        <v>0</v>
      </c>
      <c r="D49" s="3">
        <f>Cfg_BaselineOpeningValue + SUMIFS(Mov_Value, Mov_Date, "&gt;"&amp;Cfg_BaselineDate, Mov_Date, "&lt;="&amp;$A49)</f>
        <v>0</v>
      </c>
      <c r="E49" s="3">
        <f>B49+C49-D49</f>
        <v>0</v>
      </c>
      <c r="F49" s="3">
        <f>SUMIFS(Sales_Amount, Sales_Date, $A49)</f>
        <v>0</v>
      </c>
      <c r="G49" s="3">
        <f>F49-E49</f>
        <v>0</v>
      </c>
    </row>
    <row r="50" spans="1:7">
      <c r="A50" s="2">
        <v>45953</v>
      </c>
      <c r="B50" s="3">
        <f>Cfg_BaselineOpeningValue + SUMIFS(Mov_Value, Mov_Date, "&gt;"&amp;Cfg_BaselineDate, Mov_Date, "&lt;"&amp;$A50)</f>
        <v>0</v>
      </c>
      <c r="C50" s="3">
        <f>SUMIFS(Mov_Value, Mov_Type, "Receipt", Mov_Date, $A50)</f>
        <v>0</v>
      </c>
      <c r="D50" s="3">
        <f>Cfg_BaselineOpeningValue + SUMIFS(Mov_Value, Mov_Date, "&gt;"&amp;Cfg_BaselineDate, Mov_Date, "&lt;="&amp;$A50)</f>
        <v>0</v>
      </c>
      <c r="E50" s="3">
        <f>B50+C50-D50</f>
        <v>0</v>
      </c>
      <c r="F50" s="3">
        <f>SUMIFS(Sales_Amount, Sales_Date, $A50)</f>
        <v>0</v>
      </c>
      <c r="G50" s="3">
        <f>F50-E50</f>
        <v>0</v>
      </c>
    </row>
    <row r="51" spans="1:7">
      <c r="A51" s="2">
        <v>45954</v>
      </c>
      <c r="B51" s="3">
        <f>Cfg_BaselineOpeningValue + SUMIFS(Mov_Value, Mov_Date, "&gt;"&amp;Cfg_BaselineDate, Mov_Date, "&lt;"&amp;$A51)</f>
        <v>0</v>
      </c>
      <c r="C51" s="3">
        <f>SUMIFS(Mov_Value, Mov_Type, "Receipt", Mov_Date, $A51)</f>
        <v>0</v>
      </c>
      <c r="D51" s="3">
        <f>Cfg_BaselineOpeningValue + SUMIFS(Mov_Value, Mov_Date, "&gt;"&amp;Cfg_BaselineDate, Mov_Date, "&lt;="&amp;$A51)</f>
        <v>0</v>
      </c>
      <c r="E51" s="3">
        <f>B51+C51-D51</f>
        <v>0</v>
      </c>
      <c r="F51" s="3">
        <f>SUMIFS(Sales_Amount, Sales_Date, $A51)</f>
        <v>0</v>
      </c>
      <c r="G51" s="3">
        <f>F51-E51</f>
        <v>0</v>
      </c>
    </row>
    <row r="52" spans="1:7">
      <c r="A52" s="2">
        <v>45955</v>
      </c>
      <c r="B52" s="3">
        <f>Cfg_BaselineOpeningValue + SUMIFS(Mov_Value, Mov_Date, "&gt;"&amp;Cfg_BaselineDate, Mov_Date, "&lt;"&amp;$A52)</f>
        <v>0</v>
      </c>
      <c r="C52" s="3">
        <f>SUMIFS(Mov_Value, Mov_Type, "Receipt", Mov_Date, $A52)</f>
        <v>0</v>
      </c>
      <c r="D52" s="3">
        <f>Cfg_BaselineOpeningValue + SUMIFS(Mov_Value, Mov_Date, "&gt;"&amp;Cfg_BaselineDate, Mov_Date, "&lt;="&amp;$A52)</f>
        <v>0</v>
      </c>
      <c r="E52" s="3">
        <f>B52+C52-D52</f>
        <v>0</v>
      </c>
      <c r="F52" s="3">
        <f>SUMIFS(Sales_Amount, Sales_Date, $A52)</f>
        <v>0</v>
      </c>
      <c r="G52" s="3">
        <f>F52-E52</f>
        <v>0</v>
      </c>
    </row>
    <row r="53" spans="1:7">
      <c r="A53" s="2">
        <v>45956</v>
      </c>
      <c r="B53" s="3">
        <f>Cfg_BaselineOpeningValue + SUMIFS(Mov_Value, Mov_Date, "&gt;"&amp;Cfg_BaselineDate, Mov_Date, "&lt;"&amp;$A53)</f>
        <v>0</v>
      </c>
      <c r="C53" s="3">
        <f>SUMIFS(Mov_Value, Mov_Type, "Receipt", Mov_Date, $A53)</f>
        <v>0</v>
      </c>
      <c r="D53" s="3">
        <f>Cfg_BaselineOpeningValue + SUMIFS(Mov_Value, Mov_Date, "&gt;"&amp;Cfg_BaselineDate, Mov_Date, "&lt;="&amp;$A53)</f>
        <v>0</v>
      </c>
      <c r="E53" s="3">
        <f>B53+C53-D53</f>
        <v>0</v>
      </c>
      <c r="F53" s="3">
        <f>SUMIFS(Sales_Amount, Sales_Date, $A53)</f>
        <v>0</v>
      </c>
      <c r="G53" s="3">
        <f>F53-E53</f>
        <v>0</v>
      </c>
    </row>
    <row r="54" spans="1:7">
      <c r="A54" s="2">
        <v>45957</v>
      </c>
      <c r="B54" s="3">
        <f>Cfg_BaselineOpeningValue + SUMIFS(Mov_Value, Mov_Date, "&gt;"&amp;Cfg_BaselineDate, Mov_Date, "&lt;"&amp;$A54)</f>
        <v>0</v>
      </c>
      <c r="C54" s="3">
        <f>SUMIFS(Mov_Value, Mov_Type, "Receipt", Mov_Date, $A54)</f>
        <v>0</v>
      </c>
      <c r="D54" s="3">
        <f>Cfg_BaselineOpeningValue + SUMIFS(Mov_Value, Mov_Date, "&gt;"&amp;Cfg_BaselineDate, Mov_Date, "&lt;="&amp;$A54)</f>
        <v>0</v>
      </c>
      <c r="E54" s="3">
        <f>B54+C54-D54</f>
        <v>0</v>
      </c>
      <c r="F54" s="3">
        <f>SUMIFS(Sales_Amount, Sales_Date, $A54)</f>
        <v>0</v>
      </c>
      <c r="G54" s="3">
        <f>F54-E54</f>
        <v>0</v>
      </c>
    </row>
    <row r="55" spans="1:7">
      <c r="A55" s="2">
        <v>45958</v>
      </c>
      <c r="B55" s="3">
        <f>Cfg_BaselineOpeningValue + SUMIFS(Mov_Value, Mov_Date, "&gt;"&amp;Cfg_BaselineDate, Mov_Date, "&lt;"&amp;$A55)</f>
        <v>0</v>
      </c>
      <c r="C55" s="3">
        <f>SUMIFS(Mov_Value, Mov_Type, "Receipt", Mov_Date, $A55)</f>
        <v>0</v>
      </c>
      <c r="D55" s="3">
        <f>Cfg_BaselineOpeningValue + SUMIFS(Mov_Value, Mov_Date, "&gt;"&amp;Cfg_BaselineDate, Mov_Date, "&lt;="&amp;$A55)</f>
        <v>0</v>
      </c>
      <c r="E55" s="3">
        <f>B55+C55-D55</f>
        <v>0</v>
      </c>
      <c r="F55" s="3">
        <f>SUMIFS(Sales_Amount, Sales_Date, $A55)</f>
        <v>0</v>
      </c>
      <c r="G55" s="3">
        <f>F55-E55</f>
        <v>0</v>
      </c>
    </row>
    <row r="56" spans="1:7">
      <c r="A56" s="2">
        <v>45959</v>
      </c>
      <c r="B56" s="3">
        <f>Cfg_BaselineOpeningValue + SUMIFS(Mov_Value, Mov_Date, "&gt;"&amp;Cfg_BaselineDate, Mov_Date, "&lt;"&amp;$A56)</f>
        <v>0</v>
      </c>
      <c r="C56" s="3">
        <f>SUMIFS(Mov_Value, Mov_Type, "Receipt", Mov_Date, $A56)</f>
        <v>0</v>
      </c>
      <c r="D56" s="3">
        <f>Cfg_BaselineOpeningValue + SUMIFS(Mov_Value, Mov_Date, "&gt;"&amp;Cfg_BaselineDate, Mov_Date, "&lt;="&amp;$A56)</f>
        <v>0</v>
      </c>
      <c r="E56" s="3">
        <f>B56+C56-D56</f>
        <v>0</v>
      </c>
      <c r="F56" s="3">
        <f>SUMIFS(Sales_Amount, Sales_Date, $A56)</f>
        <v>0</v>
      </c>
      <c r="G56" s="3">
        <f>F56-E56</f>
        <v>0</v>
      </c>
    </row>
    <row r="57" spans="1:7">
      <c r="A57" s="2">
        <v>45960</v>
      </c>
      <c r="B57" s="3">
        <f>Cfg_BaselineOpeningValue + SUMIFS(Mov_Value, Mov_Date, "&gt;"&amp;Cfg_BaselineDate, Mov_Date, "&lt;"&amp;$A57)</f>
        <v>0</v>
      </c>
      <c r="C57" s="3">
        <f>SUMIFS(Mov_Value, Mov_Type, "Receipt", Mov_Date, $A57)</f>
        <v>0</v>
      </c>
      <c r="D57" s="3">
        <f>Cfg_BaselineOpeningValue + SUMIFS(Mov_Value, Mov_Date, "&gt;"&amp;Cfg_BaselineDate, Mov_Date, "&lt;="&amp;$A57)</f>
        <v>0</v>
      </c>
      <c r="E57" s="3">
        <f>B57+C57-D57</f>
        <v>0</v>
      </c>
      <c r="F57" s="3">
        <f>SUMIFS(Sales_Amount, Sales_Date, $A57)</f>
        <v>0</v>
      </c>
      <c r="G57" s="3">
        <f>F57-E57</f>
        <v>0</v>
      </c>
    </row>
    <row r="58" spans="1:7">
      <c r="A58" s="2">
        <v>45961</v>
      </c>
      <c r="B58" s="3">
        <f>Cfg_BaselineOpeningValue + SUMIFS(Mov_Value, Mov_Date, "&gt;"&amp;Cfg_BaselineDate, Mov_Date, "&lt;"&amp;$A58)</f>
        <v>0</v>
      </c>
      <c r="C58" s="3">
        <f>SUMIFS(Mov_Value, Mov_Type, "Receipt", Mov_Date, $A58)</f>
        <v>0</v>
      </c>
      <c r="D58" s="3">
        <f>Cfg_BaselineOpeningValue + SUMIFS(Mov_Value, Mov_Date, "&gt;"&amp;Cfg_BaselineDate, Mov_Date, "&lt;="&amp;$A58)</f>
        <v>0</v>
      </c>
      <c r="E58" s="3">
        <f>B58+C58-D58</f>
        <v>0</v>
      </c>
      <c r="F58" s="3">
        <f>SUMIFS(Sales_Amount, Sales_Date, $A58)</f>
        <v>0</v>
      </c>
      <c r="G58" s="3">
        <f>F58-E58</f>
        <v>0</v>
      </c>
    </row>
    <row r="59" spans="1:7">
      <c r="A59" s="2">
        <v>45962</v>
      </c>
      <c r="B59" s="3">
        <f>Cfg_BaselineOpeningValue + SUMIFS(Mov_Value, Mov_Date, "&gt;"&amp;Cfg_BaselineDate, Mov_Date, "&lt;"&amp;$A59)</f>
        <v>0</v>
      </c>
      <c r="C59" s="3">
        <f>SUMIFS(Mov_Value, Mov_Type, "Receipt", Mov_Date, $A59)</f>
        <v>0</v>
      </c>
      <c r="D59" s="3">
        <f>Cfg_BaselineOpeningValue + SUMIFS(Mov_Value, Mov_Date, "&gt;"&amp;Cfg_BaselineDate, Mov_Date, "&lt;="&amp;$A59)</f>
        <v>0</v>
      </c>
      <c r="E59" s="3">
        <f>B59+C59-D59</f>
        <v>0</v>
      </c>
      <c r="F59" s="3">
        <f>SUMIFS(Sales_Amount, Sales_Date, $A59)</f>
        <v>0</v>
      </c>
      <c r="G59" s="3">
        <f>F59-E59</f>
        <v>0</v>
      </c>
    </row>
    <row r="60" spans="1:7">
      <c r="A60" s="2">
        <v>45963</v>
      </c>
      <c r="B60" s="3">
        <f>Cfg_BaselineOpeningValue + SUMIFS(Mov_Value, Mov_Date, "&gt;"&amp;Cfg_BaselineDate, Mov_Date, "&lt;"&amp;$A60)</f>
        <v>0</v>
      </c>
      <c r="C60" s="3">
        <f>SUMIFS(Mov_Value, Mov_Type, "Receipt", Mov_Date, $A60)</f>
        <v>0</v>
      </c>
      <c r="D60" s="3">
        <f>Cfg_BaselineOpeningValue + SUMIFS(Mov_Value, Mov_Date, "&gt;"&amp;Cfg_BaselineDate, Mov_Date, "&lt;="&amp;$A60)</f>
        <v>0</v>
      </c>
      <c r="E60" s="3">
        <f>B60+C60-D60</f>
        <v>0</v>
      </c>
      <c r="F60" s="3">
        <f>SUMIFS(Sales_Amount, Sales_Date, $A60)</f>
        <v>0</v>
      </c>
      <c r="G60" s="3">
        <f>F60-E60</f>
        <v>0</v>
      </c>
    </row>
    <row r="61" spans="1:7">
      <c r="A61" s="2">
        <v>45964</v>
      </c>
      <c r="B61" s="3">
        <f>Cfg_BaselineOpeningValue + SUMIFS(Mov_Value, Mov_Date, "&gt;"&amp;Cfg_BaselineDate, Mov_Date, "&lt;"&amp;$A61)</f>
        <v>0</v>
      </c>
      <c r="C61" s="3">
        <f>SUMIFS(Mov_Value, Mov_Type, "Receipt", Mov_Date, $A61)</f>
        <v>0</v>
      </c>
      <c r="D61" s="3">
        <f>Cfg_BaselineOpeningValue + SUMIFS(Mov_Value, Mov_Date, "&gt;"&amp;Cfg_BaselineDate, Mov_Date, "&lt;="&amp;$A61)</f>
        <v>0</v>
      </c>
      <c r="E61" s="3">
        <f>B61+C61-D61</f>
        <v>0</v>
      </c>
      <c r="F61" s="3">
        <f>SUMIFS(Sales_Amount, Sales_Date, $A61)</f>
        <v>0</v>
      </c>
      <c r="G61" s="3">
        <f>F61-E61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8.7109375" customWidth="1"/>
    <col min="4" max="9" width="18.7109375" style="3" customWidth="1"/>
  </cols>
  <sheetData>
    <row r="1" spans="1:9">
      <c r="A1" s="1" t="s">
        <v>97</v>
      </c>
      <c r="B1" s="1" t="s">
        <v>98</v>
      </c>
      <c r="C1" s="1" t="s">
        <v>99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</row>
    <row r="2" spans="1:9">
      <c r="A2" s="2">
        <v>45887</v>
      </c>
      <c r="B2" s="2">
        <v>45893</v>
      </c>
      <c r="C2" t="s">
        <v>100</v>
      </c>
      <c r="D2" s="3">
        <f>Cfg_BaselineOpeningValue + SUMIFS(Mov_Value, Mov_Date, "&gt;"&amp;Cfg_BaselineDate, Mov_Date, "&lt;"&amp;$A2)</f>
        <v>0</v>
      </c>
      <c r="E2" s="3">
        <f>SUMIFS(Mov_Value, Mov_Type, "Receipt", Mov_Date, "&gt;="&amp;$A2, Mov_Date, "&lt;="&amp;$B2)</f>
        <v>0</v>
      </c>
      <c r="F2" s="3">
        <f>Cfg_BaselineOpeningValue + SUMIFS(Mov_Value, Mov_Date, "&gt;"&amp;Cfg_BaselineDate, Mov_Date, "&lt;="&amp;$B2)</f>
        <v>0</v>
      </c>
      <c r="G2" s="3">
        <f>D2+E2-F2</f>
        <v>0</v>
      </c>
      <c r="H2" s="3">
        <f>SUMIFS(Sales_Amount, Sales_Date, "&gt;="&amp;$A2, Sales_Date, "&lt;="&amp;$B2)</f>
        <v>0</v>
      </c>
      <c r="I2" s="3">
        <f>H2-G2</f>
        <v>0</v>
      </c>
    </row>
    <row r="3" spans="1:9">
      <c r="A3" s="2">
        <v>45894</v>
      </c>
      <c r="B3" s="2">
        <v>45900</v>
      </c>
      <c r="C3" t="s">
        <v>101</v>
      </c>
      <c r="D3" s="3">
        <f>Cfg_BaselineOpeningValue + SUMIFS(Mov_Value, Mov_Date, "&gt;"&amp;Cfg_BaselineDate, Mov_Date, "&lt;"&amp;$A3)</f>
        <v>0</v>
      </c>
      <c r="E3" s="3">
        <f>SUMIFS(Mov_Value, Mov_Type, "Receipt", Mov_Date, "&gt;="&amp;$A3, Mov_Date, "&lt;="&amp;$B3)</f>
        <v>0</v>
      </c>
      <c r="F3" s="3">
        <f>Cfg_BaselineOpeningValue + SUMIFS(Mov_Value, Mov_Date, "&gt;"&amp;Cfg_BaselineDate, Mov_Date, "&lt;="&amp;$B3)</f>
        <v>0</v>
      </c>
      <c r="G3" s="3">
        <f>D3+E3-F3</f>
        <v>0</v>
      </c>
      <c r="H3" s="3">
        <f>SUMIFS(Sales_Amount, Sales_Date, "&gt;="&amp;$A3, Sales_Date, "&lt;="&amp;$B3)</f>
        <v>0</v>
      </c>
      <c r="I3" s="3">
        <f>H3-G3</f>
        <v>0</v>
      </c>
    </row>
    <row r="4" spans="1:9">
      <c r="A4" s="2">
        <v>45901</v>
      </c>
      <c r="B4" s="2">
        <v>45907</v>
      </c>
      <c r="C4" t="s">
        <v>102</v>
      </c>
      <c r="D4" s="3">
        <f>Cfg_BaselineOpeningValue + SUMIFS(Mov_Value, Mov_Date, "&gt;"&amp;Cfg_BaselineDate, Mov_Date, "&lt;"&amp;$A4)</f>
        <v>0</v>
      </c>
      <c r="E4" s="3">
        <f>SUMIFS(Mov_Value, Mov_Type, "Receipt", Mov_Date, "&gt;="&amp;$A4, Mov_Date, "&lt;="&amp;$B4)</f>
        <v>0</v>
      </c>
      <c r="F4" s="3">
        <f>Cfg_BaselineOpeningValue + SUMIFS(Mov_Value, Mov_Date, "&gt;"&amp;Cfg_BaselineDate, Mov_Date, "&lt;="&amp;$B4)</f>
        <v>0</v>
      </c>
      <c r="G4" s="3">
        <f>D4+E4-F4</f>
        <v>0</v>
      </c>
      <c r="H4" s="3">
        <f>SUMIFS(Sales_Amount, Sales_Date, "&gt;="&amp;$A4, Sales_Date, "&lt;="&amp;$B4)</f>
        <v>0</v>
      </c>
      <c r="I4" s="3">
        <f>H4-G4</f>
        <v>0</v>
      </c>
    </row>
    <row r="5" spans="1:9">
      <c r="A5" s="2">
        <v>45908</v>
      </c>
      <c r="B5" s="2">
        <v>45914</v>
      </c>
      <c r="C5" t="s">
        <v>103</v>
      </c>
      <c r="D5" s="3">
        <f>Cfg_BaselineOpeningValue + SUMIFS(Mov_Value, Mov_Date, "&gt;"&amp;Cfg_BaselineDate, Mov_Date, "&lt;"&amp;$A5)</f>
        <v>0</v>
      </c>
      <c r="E5" s="3">
        <f>SUMIFS(Mov_Value, Mov_Type, "Receipt", Mov_Date, "&gt;="&amp;$A5, Mov_Date, "&lt;="&amp;$B5)</f>
        <v>0</v>
      </c>
      <c r="F5" s="3">
        <f>Cfg_BaselineOpeningValue + SUMIFS(Mov_Value, Mov_Date, "&gt;"&amp;Cfg_BaselineDate, Mov_Date, "&lt;="&amp;$B5)</f>
        <v>0</v>
      </c>
      <c r="G5" s="3">
        <f>D5+E5-F5</f>
        <v>0</v>
      </c>
      <c r="H5" s="3">
        <f>SUMIFS(Sales_Amount, Sales_Date, "&gt;="&amp;$A5, Sales_Date, "&lt;="&amp;$B5)</f>
        <v>0</v>
      </c>
      <c r="I5" s="3">
        <f>H5-G5</f>
        <v>0</v>
      </c>
    </row>
    <row r="6" spans="1:9">
      <c r="A6" s="2">
        <v>45915</v>
      </c>
      <c r="B6" s="2">
        <v>45921</v>
      </c>
      <c r="C6" t="s">
        <v>104</v>
      </c>
      <c r="D6" s="3">
        <f>Cfg_BaselineOpeningValue + SUMIFS(Mov_Value, Mov_Date, "&gt;"&amp;Cfg_BaselineDate, Mov_Date, "&lt;"&amp;$A6)</f>
        <v>0</v>
      </c>
      <c r="E6" s="3">
        <f>SUMIFS(Mov_Value, Mov_Type, "Receipt", Mov_Date, "&gt;="&amp;$A6, Mov_Date, "&lt;="&amp;$B6)</f>
        <v>0</v>
      </c>
      <c r="F6" s="3">
        <f>Cfg_BaselineOpeningValue + SUMIFS(Mov_Value, Mov_Date, "&gt;"&amp;Cfg_BaselineDate, Mov_Date, "&lt;="&amp;$B6)</f>
        <v>0</v>
      </c>
      <c r="G6" s="3">
        <f>D6+E6-F6</f>
        <v>0</v>
      </c>
      <c r="H6" s="3">
        <f>SUMIFS(Sales_Amount, Sales_Date, "&gt;="&amp;$A6, Sales_Date, "&lt;="&amp;$B6)</f>
        <v>0</v>
      </c>
      <c r="I6" s="3">
        <f>H6-G6</f>
        <v>0</v>
      </c>
    </row>
    <row r="7" spans="1:9">
      <c r="A7" s="2">
        <v>45922</v>
      </c>
      <c r="B7" s="2">
        <v>45928</v>
      </c>
      <c r="C7" t="s">
        <v>105</v>
      </c>
      <c r="D7" s="3">
        <f>Cfg_BaselineOpeningValue + SUMIFS(Mov_Value, Mov_Date, "&gt;"&amp;Cfg_BaselineDate, Mov_Date, "&lt;"&amp;$A7)</f>
        <v>0</v>
      </c>
      <c r="E7" s="3">
        <f>SUMIFS(Mov_Value, Mov_Type, "Receipt", Mov_Date, "&gt;="&amp;$A7, Mov_Date, "&lt;="&amp;$B7)</f>
        <v>0</v>
      </c>
      <c r="F7" s="3">
        <f>Cfg_BaselineOpeningValue + SUMIFS(Mov_Value, Mov_Date, "&gt;"&amp;Cfg_BaselineDate, Mov_Date, "&lt;="&amp;$B7)</f>
        <v>0</v>
      </c>
      <c r="G7" s="3">
        <f>D7+E7-F7</f>
        <v>0</v>
      </c>
      <c r="H7" s="3">
        <f>SUMIFS(Sales_Amount, Sales_Date, "&gt;="&amp;$A7, Sales_Date, "&lt;="&amp;$B7)</f>
        <v>0</v>
      </c>
      <c r="I7" s="3">
        <f>H7-G7</f>
        <v>0</v>
      </c>
    </row>
    <row r="8" spans="1:9">
      <c r="A8" s="2">
        <v>45929</v>
      </c>
      <c r="B8" s="2">
        <v>45935</v>
      </c>
      <c r="C8" t="s">
        <v>106</v>
      </c>
      <c r="D8" s="3">
        <f>Cfg_BaselineOpeningValue + SUMIFS(Mov_Value, Mov_Date, "&gt;"&amp;Cfg_BaselineDate, Mov_Date, "&lt;"&amp;$A8)</f>
        <v>0</v>
      </c>
      <c r="E8" s="3">
        <f>SUMIFS(Mov_Value, Mov_Type, "Receipt", Mov_Date, "&gt;="&amp;$A8, Mov_Date, "&lt;="&amp;$B8)</f>
        <v>0</v>
      </c>
      <c r="F8" s="3">
        <f>Cfg_BaselineOpeningValue + SUMIFS(Mov_Value, Mov_Date, "&gt;"&amp;Cfg_BaselineDate, Mov_Date, "&lt;="&amp;$B8)</f>
        <v>0</v>
      </c>
      <c r="G8" s="3">
        <f>D8+E8-F8</f>
        <v>0</v>
      </c>
      <c r="H8" s="3">
        <f>SUMIFS(Sales_Amount, Sales_Date, "&gt;="&amp;$A8, Sales_Date, "&lt;="&amp;$B8)</f>
        <v>0</v>
      </c>
      <c r="I8" s="3">
        <f>H8-G8</f>
        <v>0</v>
      </c>
    </row>
    <row r="9" spans="1:9">
      <c r="A9" s="2">
        <v>45936</v>
      </c>
      <c r="B9" s="2">
        <v>45942</v>
      </c>
      <c r="C9" t="s">
        <v>107</v>
      </c>
      <c r="D9" s="3">
        <f>Cfg_BaselineOpeningValue + SUMIFS(Mov_Value, Mov_Date, "&gt;"&amp;Cfg_BaselineDate, Mov_Date, "&lt;"&amp;$A9)</f>
        <v>0</v>
      </c>
      <c r="E9" s="3">
        <f>SUMIFS(Mov_Value, Mov_Type, "Receipt", Mov_Date, "&gt;="&amp;$A9, Mov_Date, "&lt;="&amp;$B9)</f>
        <v>0</v>
      </c>
      <c r="F9" s="3">
        <f>Cfg_BaselineOpeningValue + SUMIFS(Mov_Value, Mov_Date, "&gt;"&amp;Cfg_BaselineDate, Mov_Date, "&lt;="&amp;$B9)</f>
        <v>0</v>
      </c>
      <c r="G9" s="3">
        <f>D9+E9-F9</f>
        <v>0</v>
      </c>
      <c r="H9" s="3">
        <f>SUMIFS(Sales_Amount, Sales_Date, "&gt;="&amp;$A9, Sales_Date, "&lt;="&amp;$B9)</f>
        <v>0</v>
      </c>
      <c r="I9" s="3">
        <f>H9-G9</f>
        <v>0</v>
      </c>
    </row>
    <row r="10" spans="1:9">
      <c r="A10" s="2">
        <v>45943</v>
      </c>
      <c r="B10" s="2">
        <v>45949</v>
      </c>
      <c r="C10" t="s">
        <v>108</v>
      </c>
      <c r="D10" s="3">
        <f>Cfg_BaselineOpeningValue + SUMIFS(Mov_Value, Mov_Date, "&gt;"&amp;Cfg_BaselineDate, Mov_Date, "&lt;"&amp;$A10)</f>
        <v>0</v>
      </c>
      <c r="E10" s="3">
        <f>SUMIFS(Mov_Value, Mov_Type, "Receipt", Mov_Date, "&gt;="&amp;$A10, Mov_Date, "&lt;="&amp;$B10)</f>
        <v>0</v>
      </c>
      <c r="F10" s="3">
        <f>Cfg_BaselineOpeningValue + SUMIFS(Mov_Value, Mov_Date, "&gt;"&amp;Cfg_BaselineDate, Mov_Date, "&lt;="&amp;$B10)</f>
        <v>0</v>
      </c>
      <c r="G10" s="3">
        <f>D10+E10-F10</f>
        <v>0</v>
      </c>
      <c r="H10" s="3">
        <f>SUMIFS(Sales_Amount, Sales_Date, "&gt;="&amp;$A10, Sales_Date, "&lt;="&amp;$B10)</f>
        <v>0</v>
      </c>
      <c r="I10" s="3">
        <f>H10-G10</f>
        <v>0</v>
      </c>
    </row>
    <row r="11" spans="1:9">
      <c r="A11" s="2">
        <v>45950</v>
      </c>
      <c r="B11" s="2">
        <v>45956</v>
      </c>
      <c r="C11" t="s">
        <v>109</v>
      </c>
      <c r="D11" s="3">
        <f>Cfg_BaselineOpeningValue + SUMIFS(Mov_Value, Mov_Date, "&gt;"&amp;Cfg_BaselineDate, Mov_Date, "&lt;"&amp;$A11)</f>
        <v>0</v>
      </c>
      <c r="E11" s="3">
        <f>SUMIFS(Mov_Value, Mov_Type, "Receipt", Mov_Date, "&gt;="&amp;$A11, Mov_Date, "&lt;="&amp;$B11)</f>
        <v>0</v>
      </c>
      <c r="F11" s="3">
        <f>Cfg_BaselineOpeningValue + SUMIFS(Mov_Value, Mov_Date, "&gt;"&amp;Cfg_BaselineDate, Mov_Date, "&lt;="&amp;$B11)</f>
        <v>0</v>
      </c>
      <c r="G11" s="3">
        <f>D11+E11-F11</f>
        <v>0</v>
      </c>
      <c r="H11" s="3">
        <f>SUMIFS(Sales_Amount, Sales_Date, "&gt;="&amp;$A11, Sales_Date, "&lt;="&amp;$B11)</f>
        <v>0</v>
      </c>
      <c r="I11" s="3">
        <f>H11-G11</f>
        <v>0</v>
      </c>
    </row>
    <row r="12" spans="1:9">
      <c r="A12" s="2">
        <v>45957</v>
      </c>
      <c r="B12" s="2">
        <v>45963</v>
      </c>
      <c r="C12" t="s">
        <v>110</v>
      </c>
      <c r="D12" s="3">
        <f>Cfg_BaselineOpeningValue + SUMIFS(Mov_Value, Mov_Date, "&gt;"&amp;Cfg_BaselineDate, Mov_Date, "&lt;"&amp;$A12)</f>
        <v>0</v>
      </c>
      <c r="E12" s="3">
        <f>SUMIFS(Mov_Value, Mov_Type, "Receipt", Mov_Date, "&gt;="&amp;$A12, Mov_Date, "&lt;="&amp;$B12)</f>
        <v>0</v>
      </c>
      <c r="F12" s="3">
        <f>Cfg_BaselineOpeningValue + SUMIFS(Mov_Value, Mov_Date, "&gt;"&amp;Cfg_BaselineDate, Mov_Date, "&lt;="&amp;$B12)</f>
        <v>0</v>
      </c>
      <c r="G12" s="3">
        <f>D12+E12-F12</f>
        <v>0</v>
      </c>
      <c r="H12" s="3">
        <f>SUMIFS(Sales_Amount, Sales_Date, "&gt;="&amp;$A12, Sales_Date, "&lt;="&amp;$B12)</f>
        <v>0</v>
      </c>
      <c r="I12" s="3">
        <f>H12-G12</f>
        <v>0</v>
      </c>
    </row>
    <row r="13" spans="1:9">
      <c r="A13" s="2">
        <v>45964</v>
      </c>
      <c r="B13" s="2">
        <v>45970</v>
      </c>
      <c r="C13" t="s">
        <v>111</v>
      </c>
      <c r="D13" s="3">
        <f>Cfg_BaselineOpeningValue + SUMIFS(Mov_Value, Mov_Date, "&gt;"&amp;Cfg_BaselineDate, Mov_Date, "&lt;"&amp;$A13)</f>
        <v>0</v>
      </c>
      <c r="E13" s="3">
        <f>SUMIFS(Mov_Value, Mov_Type, "Receipt", Mov_Date, "&gt;="&amp;$A13, Mov_Date, "&lt;="&amp;$B13)</f>
        <v>0</v>
      </c>
      <c r="F13" s="3">
        <f>Cfg_BaselineOpeningValue + SUMIFS(Mov_Value, Mov_Date, "&gt;"&amp;Cfg_BaselineDate, Mov_Date, "&lt;="&amp;$B13)</f>
        <v>0</v>
      </c>
      <c r="G13" s="3">
        <f>D13+E13-F13</f>
        <v>0</v>
      </c>
      <c r="H13" s="3">
        <f>SUMIFS(Sales_Amount, Sales_Date, "&gt;="&amp;$A13, Sales_Date, "&lt;="&amp;$B13)</f>
        <v>0</v>
      </c>
      <c r="I13" s="3">
        <f>H13-G13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8.7109375" customWidth="1"/>
    <col min="4" max="9" width="18.7109375" style="3" customWidth="1"/>
  </cols>
  <sheetData>
    <row r="1" spans="1:9">
      <c r="A1" s="1" t="s">
        <v>97</v>
      </c>
      <c r="B1" s="1" t="s">
        <v>98</v>
      </c>
      <c r="C1" s="1" t="s">
        <v>99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</row>
    <row r="2" spans="1:9">
      <c r="A2" s="2">
        <v>45627</v>
      </c>
      <c r="B2" s="2">
        <v>45657</v>
      </c>
      <c r="C2" t="s">
        <v>112</v>
      </c>
      <c r="D2" s="3">
        <f>Cfg_BaselineOpeningValue + SUMIFS(Mov_Value, Mov_Date, "&gt;"&amp;Cfg_BaselineDate, Mov_Date, "&lt;"&amp;$A2)</f>
        <v>0</v>
      </c>
      <c r="E2" s="3">
        <f>SUMIFS(Mov_Value, Mov_Type, "Receipt", Mov_Date, "&gt;="&amp;$A2, Mov_Date, "&lt;="&amp;$B2)</f>
        <v>0</v>
      </c>
      <c r="F2" s="3">
        <f>Cfg_BaselineOpeningValue + SUMIFS(Mov_Value, Mov_Date, "&gt;"&amp;Cfg_BaselineDate, Mov_Date, "&lt;="&amp;$B2)</f>
        <v>0</v>
      </c>
      <c r="G2" s="3">
        <f>D2+E2-F2</f>
        <v>0</v>
      </c>
      <c r="H2" s="3">
        <f>SUMIFS(Sales_Amount, Sales_Date, "&gt;="&amp;$A2, Sales_Date, "&lt;="&amp;$B2)</f>
        <v>0</v>
      </c>
      <c r="I2" s="3">
        <f>H2-G2</f>
        <v>0</v>
      </c>
    </row>
    <row r="3" spans="1:9">
      <c r="A3" s="2">
        <v>45658</v>
      </c>
      <c r="B3" s="2">
        <v>45688</v>
      </c>
      <c r="C3" t="s">
        <v>113</v>
      </c>
      <c r="D3" s="3">
        <f>Cfg_BaselineOpeningValue + SUMIFS(Mov_Value, Mov_Date, "&gt;"&amp;Cfg_BaselineDate, Mov_Date, "&lt;"&amp;$A3)</f>
        <v>0</v>
      </c>
      <c r="E3" s="3">
        <f>SUMIFS(Mov_Value, Mov_Type, "Receipt", Mov_Date, "&gt;="&amp;$A3, Mov_Date, "&lt;="&amp;$B3)</f>
        <v>0</v>
      </c>
      <c r="F3" s="3">
        <f>Cfg_BaselineOpeningValue + SUMIFS(Mov_Value, Mov_Date, "&gt;"&amp;Cfg_BaselineDate, Mov_Date, "&lt;="&amp;$B3)</f>
        <v>0</v>
      </c>
      <c r="G3" s="3">
        <f>D3+E3-F3</f>
        <v>0</v>
      </c>
      <c r="H3" s="3">
        <f>SUMIFS(Sales_Amount, Sales_Date, "&gt;="&amp;$A3, Sales_Date, "&lt;="&amp;$B3)</f>
        <v>0</v>
      </c>
      <c r="I3" s="3">
        <f>H3-G3</f>
        <v>0</v>
      </c>
    </row>
    <row r="4" spans="1:9">
      <c r="A4" s="2">
        <v>45689</v>
      </c>
      <c r="B4" s="2">
        <v>45716</v>
      </c>
      <c r="C4" t="s">
        <v>114</v>
      </c>
      <c r="D4" s="3">
        <f>Cfg_BaselineOpeningValue + SUMIFS(Mov_Value, Mov_Date, "&gt;"&amp;Cfg_BaselineDate, Mov_Date, "&lt;"&amp;$A4)</f>
        <v>0</v>
      </c>
      <c r="E4" s="3">
        <f>SUMIFS(Mov_Value, Mov_Type, "Receipt", Mov_Date, "&gt;="&amp;$A4, Mov_Date, "&lt;="&amp;$B4)</f>
        <v>0</v>
      </c>
      <c r="F4" s="3">
        <f>Cfg_BaselineOpeningValue + SUMIFS(Mov_Value, Mov_Date, "&gt;"&amp;Cfg_BaselineDate, Mov_Date, "&lt;="&amp;$B4)</f>
        <v>0</v>
      </c>
      <c r="G4" s="3">
        <f>D4+E4-F4</f>
        <v>0</v>
      </c>
      <c r="H4" s="3">
        <f>SUMIFS(Sales_Amount, Sales_Date, "&gt;="&amp;$A4, Sales_Date, "&lt;="&amp;$B4)</f>
        <v>0</v>
      </c>
      <c r="I4" s="3">
        <f>H4-G4</f>
        <v>0</v>
      </c>
    </row>
    <row r="5" spans="1:9">
      <c r="A5" s="2">
        <v>45717</v>
      </c>
      <c r="B5" s="2">
        <v>45747</v>
      </c>
      <c r="C5" t="s">
        <v>115</v>
      </c>
      <c r="D5" s="3">
        <f>Cfg_BaselineOpeningValue + SUMIFS(Mov_Value, Mov_Date, "&gt;"&amp;Cfg_BaselineDate, Mov_Date, "&lt;"&amp;$A5)</f>
        <v>0</v>
      </c>
      <c r="E5" s="3">
        <f>SUMIFS(Mov_Value, Mov_Type, "Receipt", Mov_Date, "&gt;="&amp;$A5, Mov_Date, "&lt;="&amp;$B5)</f>
        <v>0</v>
      </c>
      <c r="F5" s="3">
        <f>Cfg_BaselineOpeningValue + SUMIFS(Mov_Value, Mov_Date, "&gt;"&amp;Cfg_BaselineDate, Mov_Date, "&lt;="&amp;$B5)</f>
        <v>0</v>
      </c>
      <c r="G5" s="3">
        <f>D5+E5-F5</f>
        <v>0</v>
      </c>
      <c r="H5" s="3">
        <f>SUMIFS(Sales_Amount, Sales_Date, "&gt;="&amp;$A5, Sales_Date, "&lt;="&amp;$B5)</f>
        <v>0</v>
      </c>
      <c r="I5" s="3">
        <f>H5-G5</f>
        <v>0</v>
      </c>
    </row>
    <row r="6" spans="1:9">
      <c r="A6" s="2">
        <v>45748</v>
      </c>
      <c r="B6" s="2">
        <v>45777</v>
      </c>
      <c r="C6" t="s">
        <v>116</v>
      </c>
      <c r="D6" s="3">
        <f>Cfg_BaselineOpeningValue + SUMIFS(Mov_Value, Mov_Date, "&gt;"&amp;Cfg_BaselineDate, Mov_Date, "&lt;"&amp;$A6)</f>
        <v>0</v>
      </c>
      <c r="E6" s="3">
        <f>SUMIFS(Mov_Value, Mov_Type, "Receipt", Mov_Date, "&gt;="&amp;$A6, Mov_Date, "&lt;="&amp;$B6)</f>
        <v>0</v>
      </c>
      <c r="F6" s="3">
        <f>Cfg_BaselineOpeningValue + SUMIFS(Mov_Value, Mov_Date, "&gt;"&amp;Cfg_BaselineDate, Mov_Date, "&lt;="&amp;$B6)</f>
        <v>0</v>
      </c>
      <c r="G6" s="3">
        <f>D6+E6-F6</f>
        <v>0</v>
      </c>
      <c r="H6" s="3">
        <f>SUMIFS(Sales_Amount, Sales_Date, "&gt;="&amp;$A6, Sales_Date, "&lt;="&amp;$B6)</f>
        <v>0</v>
      </c>
      <c r="I6" s="3">
        <f>H6-G6</f>
        <v>0</v>
      </c>
    </row>
    <row r="7" spans="1:9">
      <c r="A7" s="2">
        <v>45778</v>
      </c>
      <c r="B7" s="2">
        <v>45808</v>
      </c>
      <c r="C7" t="s">
        <v>117</v>
      </c>
      <c r="D7" s="3">
        <f>Cfg_BaselineOpeningValue + SUMIFS(Mov_Value, Mov_Date, "&gt;"&amp;Cfg_BaselineDate, Mov_Date, "&lt;"&amp;$A7)</f>
        <v>0</v>
      </c>
      <c r="E7" s="3">
        <f>SUMIFS(Mov_Value, Mov_Type, "Receipt", Mov_Date, "&gt;="&amp;$A7, Mov_Date, "&lt;="&amp;$B7)</f>
        <v>0</v>
      </c>
      <c r="F7" s="3">
        <f>Cfg_BaselineOpeningValue + SUMIFS(Mov_Value, Mov_Date, "&gt;"&amp;Cfg_BaselineDate, Mov_Date, "&lt;="&amp;$B7)</f>
        <v>0</v>
      </c>
      <c r="G7" s="3">
        <f>D7+E7-F7</f>
        <v>0</v>
      </c>
      <c r="H7" s="3">
        <f>SUMIFS(Sales_Amount, Sales_Date, "&gt;="&amp;$A7, Sales_Date, "&lt;="&amp;$B7)</f>
        <v>0</v>
      </c>
      <c r="I7" s="3">
        <f>H7-G7</f>
        <v>0</v>
      </c>
    </row>
    <row r="8" spans="1:9">
      <c r="A8" s="2">
        <v>45809</v>
      </c>
      <c r="B8" s="2">
        <v>45838</v>
      </c>
      <c r="C8" t="s">
        <v>118</v>
      </c>
      <c r="D8" s="3">
        <f>Cfg_BaselineOpeningValue + SUMIFS(Mov_Value, Mov_Date, "&gt;"&amp;Cfg_BaselineDate, Mov_Date, "&lt;"&amp;$A8)</f>
        <v>0</v>
      </c>
      <c r="E8" s="3">
        <f>SUMIFS(Mov_Value, Mov_Type, "Receipt", Mov_Date, "&gt;="&amp;$A8, Mov_Date, "&lt;="&amp;$B8)</f>
        <v>0</v>
      </c>
      <c r="F8" s="3">
        <f>Cfg_BaselineOpeningValue + SUMIFS(Mov_Value, Mov_Date, "&gt;"&amp;Cfg_BaselineDate, Mov_Date, "&lt;="&amp;$B8)</f>
        <v>0</v>
      </c>
      <c r="G8" s="3">
        <f>D8+E8-F8</f>
        <v>0</v>
      </c>
      <c r="H8" s="3">
        <f>SUMIFS(Sales_Amount, Sales_Date, "&gt;="&amp;$A8, Sales_Date, "&lt;="&amp;$B8)</f>
        <v>0</v>
      </c>
      <c r="I8" s="3">
        <f>H8-G8</f>
        <v>0</v>
      </c>
    </row>
    <row r="9" spans="1:9">
      <c r="A9" s="2">
        <v>45839</v>
      </c>
      <c r="B9" s="2">
        <v>45869</v>
      </c>
      <c r="C9" t="s">
        <v>119</v>
      </c>
      <c r="D9" s="3">
        <f>Cfg_BaselineOpeningValue + SUMIFS(Mov_Value, Mov_Date, "&gt;"&amp;Cfg_BaselineDate, Mov_Date, "&lt;"&amp;$A9)</f>
        <v>0</v>
      </c>
      <c r="E9" s="3">
        <f>SUMIFS(Mov_Value, Mov_Type, "Receipt", Mov_Date, "&gt;="&amp;$A9, Mov_Date, "&lt;="&amp;$B9)</f>
        <v>0</v>
      </c>
      <c r="F9" s="3">
        <f>Cfg_BaselineOpeningValue + SUMIFS(Mov_Value, Mov_Date, "&gt;"&amp;Cfg_BaselineDate, Mov_Date, "&lt;="&amp;$B9)</f>
        <v>0</v>
      </c>
      <c r="G9" s="3">
        <f>D9+E9-F9</f>
        <v>0</v>
      </c>
      <c r="H9" s="3">
        <f>SUMIFS(Sales_Amount, Sales_Date, "&gt;="&amp;$A9, Sales_Date, "&lt;="&amp;$B9)</f>
        <v>0</v>
      </c>
      <c r="I9" s="3">
        <f>H9-G9</f>
        <v>0</v>
      </c>
    </row>
    <row r="10" spans="1:9">
      <c r="A10" s="2">
        <v>45870</v>
      </c>
      <c r="B10" s="2">
        <v>45900</v>
      </c>
      <c r="C10" t="s">
        <v>120</v>
      </c>
      <c r="D10" s="3">
        <f>Cfg_BaselineOpeningValue + SUMIFS(Mov_Value, Mov_Date, "&gt;"&amp;Cfg_BaselineDate, Mov_Date, "&lt;"&amp;$A10)</f>
        <v>0</v>
      </c>
      <c r="E10" s="3">
        <f>SUMIFS(Mov_Value, Mov_Type, "Receipt", Mov_Date, "&gt;="&amp;$A10, Mov_Date, "&lt;="&amp;$B10)</f>
        <v>0</v>
      </c>
      <c r="F10" s="3">
        <f>Cfg_BaselineOpeningValue + SUMIFS(Mov_Value, Mov_Date, "&gt;"&amp;Cfg_BaselineDate, Mov_Date, "&lt;="&amp;$B10)</f>
        <v>0</v>
      </c>
      <c r="G10" s="3">
        <f>D10+E10-F10</f>
        <v>0</v>
      </c>
      <c r="H10" s="3">
        <f>SUMIFS(Sales_Amount, Sales_Date, "&gt;="&amp;$A10, Sales_Date, "&lt;="&amp;$B10)</f>
        <v>0</v>
      </c>
      <c r="I10" s="3">
        <f>H10-G10</f>
        <v>0</v>
      </c>
    </row>
    <row r="11" spans="1:9">
      <c r="A11" s="2">
        <v>45901</v>
      </c>
      <c r="B11" s="2">
        <v>45930</v>
      </c>
      <c r="C11" t="s">
        <v>121</v>
      </c>
      <c r="D11" s="3">
        <f>Cfg_BaselineOpeningValue + SUMIFS(Mov_Value, Mov_Date, "&gt;"&amp;Cfg_BaselineDate, Mov_Date, "&lt;"&amp;$A11)</f>
        <v>0</v>
      </c>
      <c r="E11" s="3">
        <f>SUMIFS(Mov_Value, Mov_Type, "Receipt", Mov_Date, "&gt;="&amp;$A11, Mov_Date, "&lt;="&amp;$B11)</f>
        <v>0</v>
      </c>
      <c r="F11" s="3">
        <f>Cfg_BaselineOpeningValue + SUMIFS(Mov_Value, Mov_Date, "&gt;"&amp;Cfg_BaselineDate, Mov_Date, "&lt;="&amp;$B11)</f>
        <v>0</v>
      </c>
      <c r="G11" s="3">
        <f>D11+E11-F11</f>
        <v>0</v>
      </c>
      <c r="H11" s="3">
        <f>SUMIFS(Sales_Amount, Sales_Date, "&gt;="&amp;$A11, Sales_Date, "&lt;="&amp;$B11)</f>
        <v>0</v>
      </c>
      <c r="I11" s="3">
        <f>H11-G11</f>
        <v>0</v>
      </c>
    </row>
    <row r="12" spans="1:9">
      <c r="A12" s="2">
        <v>45931</v>
      </c>
      <c r="B12" s="2">
        <v>45961</v>
      </c>
      <c r="C12" t="s">
        <v>122</v>
      </c>
      <c r="D12" s="3">
        <f>Cfg_BaselineOpeningValue + SUMIFS(Mov_Value, Mov_Date, "&gt;"&amp;Cfg_BaselineDate, Mov_Date, "&lt;"&amp;$A12)</f>
        <v>0</v>
      </c>
      <c r="E12" s="3">
        <f>SUMIFS(Mov_Value, Mov_Type, "Receipt", Mov_Date, "&gt;="&amp;$A12, Mov_Date, "&lt;="&amp;$B12)</f>
        <v>0</v>
      </c>
      <c r="F12" s="3">
        <f>Cfg_BaselineOpeningValue + SUMIFS(Mov_Value, Mov_Date, "&gt;"&amp;Cfg_BaselineDate, Mov_Date, "&lt;="&amp;$B12)</f>
        <v>0</v>
      </c>
      <c r="G12" s="3">
        <f>D12+E12-F12</f>
        <v>0</v>
      </c>
      <c r="H12" s="3">
        <f>SUMIFS(Sales_Amount, Sales_Date, "&gt;="&amp;$A12, Sales_Date, "&lt;="&amp;$B12)</f>
        <v>0</v>
      </c>
      <c r="I12" s="3">
        <f>H12-G12</f>
        <v>0</v>
      </c>
    </row>
    <row r="13" spans="1:9">
      <c r="A13" s="2">
        <v>45962</v>
      </c>
      <c r="B13" s="2">
        <v>45991</v>
      </c>
      <c r="C13" t="s">
        <v>123</v>
      </c>
      <c r="D13" s="3">
        <f>Cfg_BaselineOpeningValue + SUMIFS(Mov_Value, Mov_Date, "&gt;"&amp;Cfg_BaselineDate, Mov_Date, "&lt;"&amp;$A13)</f>
        <v>0</v>
      </c>
      <c r="E13" s="3">
        <f>SUMIFS(Mov_Value, Mov_Type, "Receipt", Mov_Date, "&gt;="&amp;$A13, Mov_Date, "&lt;="&amp;$B13)</f>
        <v>0</v>
      </c>
      <c r="F13" s="3">
        <f>Cfg_BaselineOpeningValue + SUMIFS(Mov_Value, Mov_Date, "&gt;"&amp;Cfg_BaselineDate, Mov_Date, "&lt;="&amp;$B13)</f>
        <v>0</v>
      </c>
      <c r="G13" s="3">
        <f>D13+E13-F13</f>
        <v>0</v>
      </c>
      <c r="H13" s="3">
        <f>SUMIFS(Sales_Amount, Sales_Date, "&gt;="&amp;$A13, Sales_Date, "&lt;="&amp;$B13)</f>
        <v>0</v>
      </c>
      <c r="I13" s="3">
        <f>H13-G13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9" width="18.7109375" customWidth="1"/>
  </cols>
  <sheetData>
    <row r="1" spans="1:5">
      <c r="A1" s="1" t="s">
        <v>124</v>
      </c>
      <c r="B1" s="1" t="s">
        <v>97</v>
      </c>
      <c r="C1" s="1" t="s">
        <v>98</v>
      </c>
      <c r="D1" s="1" t="s">
        <v>125</v>
      </c>
      <c r="E1" s="1" t="s">
        <v>126</v>
      </c>
    </row>
    <row r="2" spans="1:5">
      <c r="A2" t="s">
        <v>118</v>
      </c>
      <c r="B2" s="2">
        <v>45809</v>
      </c>
      <c r="C2" s="2">
        <v>45838</v>
      </c>
      <c r="D2">
        <f>SUMIFS(-Mov_Qty, Mov_Type, "Consumption", Mov_Date, "&gt;="&amp;Analytics!$B$2, Mov_Date, "&lt;="&amp;Analytics!$C$2)</f>
        <v>0</v>
      </c>
      <c r="E2">
        <f>SUMIFS(Mov_COGSValue, Mov_Date, "&gt;="&amp;Analytics!$B$2, Mov_Date, "&lt;="&amp;Analytics!$C$2)</f>
        <v>0</v>
      </c>
    </row>
    <row r="3" spans="1:5">
      <c r="A3" t="s">
        <v>119</v>
      </c>
      <c r="B3" s="2">
        <v>45839</v>
      </c>
      <c r="C3" s="2">
        <v>45869</v>
      </c>
      <c r="D3">
        <f>SUMIFS(-Mov_Qty, Mov_Type, "Consumption", Mov_Date, "&gt;="&amp;Analytics!$B$3, Mov_Date, "&lt;="&amp;Analytics!$C$3)</f>
        <v>0</v>
      </c>
      <c r="E3">
        <f>SUMIFS(Mov_COGSValue, Mov_Date, "&gt;="&amp;Analytics!$B$3, Mov_Date, "&lt;="&amp;Analytics!$C$3)</f>
        <v>0</v>
      </c>
    </row>
    <row r="4" spans="1:5">
      <c r="A4" t="s">
        <v>120</v>
      </c>
      <c r="B4" s="2">
        <v>45870</v>
      </c>
      <c r="C4" s="2">
        <v>45900</v>
      </c>
      <c r="D4">
        <f>SUMIFS(-Mov_Qty, Mov_Type, "Consumption", Mov_Date, "&gt;="&amp;Analytics!$B$4, Mov_Date, "&lt;="&amp;Analytics!$C$4)</f>
        <v>0</v>
      </c>
      <c r="E4">
        <f>SUMIFS(Mov_COGSValue, Mov_Date, "&gt;="&amp;Analytics!$B$4, Mov_Date, "&lt;="&amp;Analytics!$C$4)</f>
        <v>0</v>
      </c>
    </row>
    <row r="5" spans="1:5">
      <c r="A5" t="s">
        <v>121</v>
      </c>
      <c r="B5" s="2">
        <v>45901</v>
      </c>
      <c r="C5" s="2">
        <v>45930</v>
      </c>
      <c r="D5">
        <f>SUMIFS(-Mov_Qty, Mov_Type, "Consumption", Mov_Date, "&gt;="&amp;Analytics!$B$5, Mov_Date, "&lt;="&amp;Analytics!$C$5)</f>
        <v>0</v>
      </c>
      <c r="E5">
        <f>SUMIFS(Mov_COGSValue, Mov_Date, "&gt;="&amp;Analytics!$B$5, Mov_Date, "&lt;="&amp;Analytics!$C$5)</f>
        <v>0</v>
      </c>
    </row>
    <row r="6" spans="1:5">
      <c r="A6" t="s">
        <v>122</v>
      </c>
      <c r="B6" s="2">
        <v>45931</v>
      </c>
      <c r="C6" s="2">
        <v>45961</v>
      </c>
      <c r="D6">
        <f>SUMIFS(-Mov_Qty, Mov_Type, "Consumption", Mov_Date, "&gt;="&amp;Analytics!$B$6, Mov_Date, "&lt;="&amp;Analytics!$C$6)</f>
        <v>0</v>
      </c>
      <c r="E6">
        <f>SUMIFS(Mov_COGSValue, Mov_Date, "&gt;="&amp;Analytics!$B$6, Mov_Date, "&lt;="&amp;Analytics!$C$6)</f>
        <v>0</v>
      </c>
    </row>
    <row r="7" spans="1:5">
      <c r="A7" t="s">
        <v>123</v>
      </c>
      <c r="B7" s="2">
        <v>45962</v>
      </c>
      <c r="C7" s="2">
        <v>45991</v>
      </c>
      <c r="D7">
        <f>SUMIFS(-Mov_Qty, Mov_Type, "Consumption", Mov_Date, "&gt;="&amp;Analytics!$B$7, Mov_Date, "&lt;="&amp;Analytics!$C$7)</f>
        <v>0</v>
      </c>
      <c r="E7">
        <f>SUMIFS(Mov_COGSValue, Mov_Date, "&gt;="&amp;Analytics!$B$7, Mov_Date, "&lt;="&amp;Analytics!$C$7)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9" width="42.7109375" customWidth="1"/>
  </cols>
  <sheetData>
    <row r="1" spans="1:2">
      <c r="A1" s="4" t="s">
        <v>145</v>
      </c>
    </row>
    <row r="3" spans="1:2">
      <c r="A3" t="s">
        <v>146</v>
      </c>
      <c r="B3">
        <f>Cfg_Today</f>
        <v>0</v>
      </c>
    </row>
    <row r="5" spans="1:2">
      <c r="A5" s="5" t="s">
        <v>147</v>
      </c>
      <c r="B5" s="6">
        <f>COUNTIF(Items!J2:J1004, "&lt;=0")</f>
        <v>0</v>
      </c>
    </row>
    <row r="6" spans="1:2">
      <c r="A6" s="5" t="s">
        <v>148</v>
      </c>
      <c r="B6" s="6">
        <f>COUNTIF(Items!R2:R1004, "Yes")</f>
        <v>0</v>
      </c>
    </row>
    <row r="7" spans="1:2">
      <c r="A7" s="5" t="s">
        <v>149</v>
      </c>
      <c r="B7" s="6">
        <f>SUMPRODUCT((Items!P2:P1004="Yes")*(Items!J2:J1004&lt;Items!Q2:Q1004))</f>
        <v>0</v>
      </c>
    </row>
    <row r="9" spans="1:2">
      <c r="A9" s="5" t="s">
        <v>150</v>
      </c>
      <c r="B9" s="3">
        <f>SUM(Items!K2:K1004)</f>
        <v>0</v>
      </c>
    </row>
    <row r="10" spans="1:2">
      <c r="A10" s="5" t="s">
        <v>151</v>
      </c>
      <c r="B10" s="3">
        <f>SUMIFS(Mov_COGSValue, Mov_Date, "&gt;="&amp;EOMONTH(Cfg_Today,-1)+1, Mov_Date, "&lt;="&amp;EOMONTH(Cfg_Today,0))</f>
        <v>0</v>
      </c>
    </row>
    <row r="12" spans="1:2">
      <c r="A12" s="5" t="s">
        <v>152</v>
      </c>
    </row>
    <row r="13" spans="1:2">
      <c r="A13" cm="1">
        <f t="array" ref="A13">IFERROR(_xlfn._xlws.FILTER(Items!A2:S1004, Items!J2:J1004&lt;=0), "None")</f>
        <v>0</v>
      </c>
    </row>
    <row r="17" spans="1:1">
      <c r="A17" s="5" t="s">
        <v>153</v>
      </c>
    </row>
    <row r="18" spans="1:1">
      <c r="A18" cm="1">
        <f t="array" ref="A18">IFERROR(_xlfn._xlws.FILTER(Items!A2:S1004, Items!R2:R1004="Yes"), "None")</f>
        <v>0</v>
      </c>
    </row>
    <row r="22" spans="1:1">
      <c r="A22" s="5" t="s">
        <v>154</v>
      </c>
    </row>
    <row r="23" spans="1:1">
      <c r="A23" cm="1">
        <f t="array" ref="A23">IFERROR(_xlfn._xlws.FILTER(Items!A2:S1004, (Items!P2:P1004="Yes")*(Items!J2:J1004&lt;Items!Q2:Q1004)), "None")</f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115.7109375" customWidth="1"/>
  </cols>
  <sheetData>
    <row r="1" spans="1:1">
      <c r="A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13</vt:i4>
      </vt:variant>
    </vt:vector>
  </HeadingPairs>
  <TitlesOfParts>
    <vt:vector size="23" baseType="lpstr">
      <vt:lpstr>Items</vt:lpstr>
      <vt:lpstr>Movements</vt:lpstr>
      <vt:lpstr>Sales</vt:lpstr>
      <vt:lpstr>Config</vt:lpstr>
      <vt:lpstr>PnL_Daily</vt:lpstr>
      <vt:lpstr>PnL_Weekly</vt:lpstr>
      <vt:lpstr>PnL_Monthly</vt:lpstr>
      <vt:lpstr>Analytics</vt:lpstr>
      <vt:lpstr>Dashboard</vt:lpstr>
      <vt:lpstr>README</vt:lpstr>
      <vt:lpstr>Cfg_BaselineDate</vt:lpstr>
      <vt:lpstr>Cfg_BaselineOpeningValue</vt:lpstr>
      <vt:lpstr>Cfg_CovWarn</vt:lpstr>
      <vt:lpstr>Cfg_HiMove</vt:lpstr>
      <vt:lpstr>Cfg_Today</vt:lpstr>
      <vt:lpstr>Mov_COGSValue</vt:lpstr>
      <vt:lpstr>Mov_Date</vt:lpstr>
      <vt:lpstr>Mov_Item</vt:lpstr>
      <vt:lpstr>Mov_Qty</vt:lpstr>
      <vt:lpstr>Mov_Type</vt:lpstr>
      <vt:lpstr>Mov_Value</vt:lpstr>
      <vt:lpstr>Sales_Amount</vt:lpstr>
      <vt:lpstr>Sales_Date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2025-11-03T01:11:33Z</dcterms:created>
  <dcterms:modified xsi:type="dcterms:W3CDTF">2025-11-03T01:11:33Z</dcterms:modified>
</cp:coreProperties>
</file>